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Politecnico di Milano\Documenti\POLIMI\Tesi\distillation\yolo\"/>
    </mc:Choice>
  </mc:AlternateContent>
  <xr:revisionPtr revIDLastSave="0" documentId="8_{783C1437-6E3B-46B0-874E-BA5A00BCAB99}" xr6:coauthVersionLast="47" xr6:coauthVersionMax="47" xr10:uidLastSave="{00000000-0000-0000-0000-000000000000}"/>
  <bookViews>
    <workbookView xWindow="-120" yWindow="-120" windowWidth="29040" windowHeight="15720" activeTab="2" xr2:uid="{3DC33CAD-AE2E-4F34-817A-D82C033DBAF9}"/>
  </bookViews>
  <sheets>
    <sheet name="results_yolo1" sheetId="2" r:id="rId1"/>
    <sheet name="results_yolo (2)" sheetId="3" r:id="rId2"/>
    <sheet name="results_yolo (4)" sheetId="5" r:id="rId3"/>
    <sheet name="results_yolo (3)" sheetId="4" r:id="rId4"/>
    <sheet name="Foglio1" sheetId="1" r:id="rId5"/>
  </sheets>
  <definedNames>
    <definedName name="DatiEsterni_1" localSheetId="1" hidden="1">'results_yolo (2)'!$A$1:$F$77</definedName>
    <definedName name="DatiEsterni_1" localSheetId="3" hidden="1">'results_yolo (3)'!$A$1:$F$77</definedName>
    <definedName name="DatiEsterni_1" localSheetId="0" hidden="1">results_yolo1!$A$1:$F$77</definedName>
    <definedName name="DatiEsterni_2" localSheetId="2" hidden="1">'results_yolo (4)'!$A$1:$F$77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9" i="2" l="1"/>
  <c r="E79" i="2"/>
  <c r="D79" i="2"/>
  <c r="C79" i="2"/>
  <c r="B79" i="2"/>
  <c r="F79" i="3"/>
  <c r="E79" i="3"/>
  <c r="D79" i="3"/>
  <c r="C79" i="3"/>
  <c r="B79" i="3"/>
  <c r="F79" i="4"/>
  <c r="E79" i="4"/>
  <c r="D79" i="4"/>
  <c r="C79" i="4"/>
  <c r="B79" i="4"/>
  <c r="F79" i="5"/>
  <c r="E79" i="5"/>
  <c r="D79" i="5"/>
  <c r="C79" i="5"/>
  <c r="B79" i="5"/>
  <c r="F78" i="5"/>
  <c r="E78" i="5"/>
  <c r="D78" i="5"/>
  <c r="C78" i="5"/>
  <c r="B78" i="5"/>
  <c r="F78" i="4"/>
  <c r="E78" i="4"/>
  <c r="D78" i="4"/>
  <c r="C78" i="4"/>
  <c r="B78" i="4"/>
  <c r="F78" i="3"/>
  <c r="E78" i="3"/>
  <c r="D78" i="3"/>
  <c r="C78" i="3"/>
  <c r="B78" i="3"/>
  <c r="F78" i="2"/>
  <c r="E78" i="2"/>
  <c r="D78" i="2"/>
  <c r="C78" i="2"/>
  <c r="B7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4E8CC4-358C-45EF-88A7-36C9E6B543C3}" keepAlive="1" name="Query - results_yolo" description="Connessione alla query 'results_yolo' nella cartella di lavoro." type="5" refreshedVersion="8" background="1" saveData="1">
    <dbPr connection="Provider=Microsoft.Mashup.OleDb.1;Data Source=$Workbook$;Location=results_yolo;Extended Properties=&quot;&quot;" command="SELECT * FROM [results_yolo]"/>
  </connection>
  <connection id="2" xr16:uid="{7BF26A04-8B44-47E7-AA21-B3B02819F707}" keepAlive="1" name="Query - results_yolo (2)" description="Connessione alla query 'results_yolo (2)' nella cartella di lavoro." type="5" refreshedVersion="8" background="1" saveData="1">
    <dbPr connection="Provider=Microsoft.Mashup.OleDb.1;Data Source=$Workbook$;Location=&quot;results_yolo (2)&quot;;Extended Properties=&quot;&quot;" command="SELECT * FROM [results_yolo (2)]"/>
  </connection>
  <connection id="3" xr16:uid="{99FCCAFD-9CA6-4360-BAFB-F446D1DAC472}" keepAlive="1" name="Query - results_yolo (3)" description="Connessione alla query 'results_yolo (3)' nella cartella di lavoro." type="5" refreshedVersion="8" background="1" saveData="1">
    <dbPr connection="Provider=Microsoft.Mashup.OleDb.1;Data Source=$Workbook$;Location=&quot;results_yolo (3)&quot;;Extended Properties=&quot;&quot;" command="SELECT * FROM [results_yolo (3)]"/>
  </connection>
  <connection id="4" xr16:uid="{530D1E6E-2060-494D-A315-A903E7501426}" keepAlive="1" name="Query - results_yolo (4)" description="Connessione alla query 'results_yolo (4)' nella cartella di lavoro." type="5" refreshedVersion="8" background="1" saveData="1">
    <dbPr connection="Provider=Microsoft.Mashup.OleDb.1;Data Source=$Workbook$;Location=&quot;results_yolo (4)&quot;;Extended Properties=&quot;&quot;" command="SELECT * FROM [results_yolo (4)]"/>
  </connection>
</connections>
</file>

<file path=xl/sharedStrings.xml><?xml version="1.0" encoding="utf-8"?>
<sst xmlns="http://schemas.openxmlformats.org/spreadsheetml/2006/main" count="348" uniqueCount="87">
  <si>
    <t>Column1</t>
  </si>
  <si>
    <t>Column2</t>
  </si>
  <si>
    <t>Column3</t>
  </si>
  <si>
    <t>Column4</t>
  </si>
  <si>
    <t>Column5</t>
  </si>
  <si>
    <t>Column6</t>
  </si>
  <si>
    <t>index</t>
  </si>
  <si>
    <t>time_ms</t>
  </si>
  <si>
    <t>iou</t>
  </si>
  <si>
    <t>dice</t>
  </si>
  <si>
    <t>sensitivity</t>
  </si>
  <si>
    <t>specificity</t>
  </si>
  <si>
    <t>0.0</t>
  </si>
  <si>
    <t>1.0</t>
  </si>
  <si>
    <t>2.0</t>
  </si>
  <si>
    <t>3.0</t>
  </si>
  <si>
    <t>4.0</t>
  </si>
  <si>
    <t>5.0</t>
  </si>
  <si>
    <t>6.0</t>
  </si>
  <si>
    <t>7.0</t>
  </si>
  <si>
    <t>8.0</t>
  </si>
  <si>
    <t>9.0</t>
  </si>
  <si>
    <t>10.0</t>
  </si>
  <si>
    <t>11.0</t>
  </si>
  <si>
    <t>12.0</t>
  </si>
  <si>
    <t>13.0</t>
  </si>
  <si>
    <t>14.0</t>
  </si>
  <si>
    <t>15.0</t>
  </si>
  <si>
    <t>16.0</t>
  </si>
  <si>
    <t>17.0</t>
  </si>
  <si>
    <t>18.0</t>
  </si>
  <si>
    <t>19.0</t>
  </si>
  <si>
    <t>20.0</t>
  </si>
  <si>
    <t>21.0</t>
  </si>
  <si>
    <t>22.0</t>
  </si>
  <si>
    <t>23.0</t>
  </si>
  <si>
    <t>24.0</t>
  </si>
  <si>
    <t>25.0</t>
  </si>
  <si>
    <t>26.0</t>
  </si>
  <si>
    <t>27.0</t>
  </si>
  <si>
    <t>28.0</t>
  </si>
  <si>
    <t>29.0</t>
  </si>
  <si>
    <t>30.0</t>
  </si>
  <si>
    <t>31.0</t>
  </si>
  <si>
    <t>32.0</t>
  </si>
  <si>
    <t>33.0</t>
  </si>
  <si>
    <t>34.0</t>
  </si>
  <si>
    <t>35.0</t>
  </si>
  <si>
    <t>36.0</t>
  </si>
  <si>
    <t>37.0</t>
  </si>
  <si>
    <t>38.0</t>
  </si>
  <si>
    <t>39.0</t>
  </si>
  <si>
    <t>40.0</t>
  </si>
  <si>
    <t>41.0</t>
  </si>
  <si>
    <t>42.0</t>
  </si>
  <si>
    <t>43.0</t>
  </si>
  <si>
    <t>44.0</t>
  </si>
  <si>
    <t>45.0</t>
  </si>
  <si>
    <t>46.0</t>
  </si>
  <si>
    <t>47.0</t>
  </si>
  <si>
    <t>48.0</t>
  </si>
  <si>
    <t>49.0</t>
  </si>
  <si>
    <t>50.0</t>
  </si>
  <si>
    <t>51.0</t>
  </si>
  <si>
    <t>52.0</t>
  </si>
  <si>
    <t>53.0</t>
  </si>
  <si>
    <t>54.0</t>
  </si>
  <si>
    <t>55.0</t>
  </si>
  <si>
    <t>56.0</t>
  </si>
  <si>
    <t>57.0</t>
  </si>
  <si>
    <t>58.0</t>
  </si>
  <si>
    <t>59.0</t>
  </si>
  <si>
    <t>60.0</t>
  </si>
  <si>
    <t>61.0</t>
  </si>
  <si>
    <t>62.0</t>
  </si>
  <si>
    <t>63.0</t>
  </si>
  <si>
    <t>64.0</t>
  </si>
  <si>
    <t>65.0</t>
  </si>
  <si>
    <t>66.0</t>
  </si>
  <si>
    <t>67.0</t>
  </si>
  <si>
    <t>68.0</t>
  </si>
  <si>
    <t>69.0</t>
  </si>
  <si>
    <t>70.0</t>
  </si>
  <si>
    <t>71.0</t>
  </si>
  <si>
    <t>72.0</t>
  </si>
  <si>
    <t>73.0</t>
  </si>
  <si>
    <t>74.0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</si>
</sst>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4" fontId="0" fillId="0" borderId="0" xfId="0" applyNumberFormat="1"/>
  </cellXfs>
  <cellStyles count="1">
    <cellStyle name="Normale" xfId="0" builtinId="0"/>
  </cellStyles>
  <dxfs count="52"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B663D2D2-2AF0-4C12-AA9F-3119D5D0EB6D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0428C63A-CE33-43FF-98DB-AE24E3C5A3B8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4" xr16:uid="{654F25CC-BB53-4A08-84E3-F30F500CF0D5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3" xr16:uid="{66D11220-59B9-4439-99F5-717097963AD1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8118F7-6C10-45D8-804C-783A9579C14E}" name="results_yolo" displayName="results_yolo" ref="A1:F78" tableType="queryTable" totalsRowCount="1" totalsRowDxfId="0">
  <autoFilter ref="A1:F77" xr:uid="{DD8118F7-6C10-45D8-804C-783A9579C14E}"/>
  <tableColumns count="6">
    <tableColumn id="1" xr3:uid="{A83ECA52-834E-468F-A17A-F26B2DCAEF62}" uniqueName="1" name="Column1" queryTableFieldId="1" dataDxfId="51" totalsRowDxfId="6"/>
    <tableColumn id="2" xr3:uid="{618096C8-7CB1-41F2-BC15-F32175F5579C}" uniqueName="2" name="Column2" totalsRowFunction="custom" queryTableFieldId="2" dataDxfId="50" totalsRowDxfId="5">
      <totalsRowFormula>AVERAGE(B4:B77)</totalsRowFormula>
    </tableColumn>
    <tableColumn id="3" xr3:uid="{78C61DFC-0016-41C3-81F5-4120E0F6C58D}" uniqueName="3" name="Column3" totalsRowFunction="average" queryTableFieldId="3" dataDxfId="49" totalsRowDxfId="4"/>
    <tableColumn id="4" xr3:uid="{F71230B1-CA86-4A9A-B1EA-DDDF74676E48}" uniqueName="4" name="Column4" totalsRowFunction="average" queryTableFieldId="4" dataDxfId="48" totalsRowDxfId="3"/>
    <tableColumn id="5" xr3:uid="{8C90646F-D3DA-4185-ADFB-957118D6E594}" uniqueName="5" name="Column5" totalsRowFunction="average" queryTableFieldId="5" dataDxfId="47" totalsRowDxfId="2"/>
    <tableColumn id="6" xr3:uid="{21FFB001-05EB-4C54-8468-AE8A9EF99AE2}" uniqueName="6" name="Column6" totalsRowFunction="average" queryTableFieldId="6" dataDxfId="46" totalsRow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CE075C-3FD4-4302-B8F8-DDCCE2C434CA}" name="results_yolo__2" displayName="results_yolo__2" ref="A1:F78" tableType="queryTable" totalsRowCount="1" totalsRowDxfId="7">
  <autoFilter ref="A1:F77" xr:uid="{5FCE075C-3FD4-4302-B8F8-DDCCE2C434CA}"/>
  <tableColumns count="6">
    <tableColumn id="1" xr3:uid="{B127F063-1409-48FC-9FD0-CC682E2B383B}" uniqueName="1" name="Column1" queryTableFieldId="1" dataDxfId="45" totalsRowDxfId="13"/>
    <tableColumn id="2" xr3:uid="{B4C9C3FE-0986-477F-9526-60A6AEAC4B04}" uniqueName="2" name="Column2" totalsRowFunction="custom" queryTableFieldId="2" dataDxfId="44" totalsRowDxfId="12">
      <totalsRowFormula>AVERAGE(B4:B77)</totalsRowFormula>
    </tableColumn>
    <tableColumn id="3" xr3:uid="{02EA4272-0A81-45BB-8BD0-466C702AD4DB}" uniqueName="3" name="Column3" totalsRowFunction="average" queryTableFieldId="3" dataDxfId="43" totalsRowDxfId="11"/>
    <tableColumn id="4" xr3:uid="{E4B43D88-0A06-4B60-9990-A119685CCEB0}" uniqueName="4" name="Column4" totalsRowFunction="average" queryTableFieldId="4" dataDxfId="42" totalsRowDxfId="10"/>
    <tableColumn id="5" xr3:uid="{0010CEE6-5872-41BC-B346-EB46085FD9B5}" uniqueName="5" name="Column5" totalsRowFunction="average" queryTableFieldId="5" dataDxfId="41" totalsRowDxfId="9"/>
    <tableColumn id="6" xr3:uid="{7F36E506-EAD9-438B-847C-67E2D3C63A5D}" uniqueName="6" name="Column6" totalsRowFunction="average" queryTableFieldId="6" dataDxfId="40" totalsRow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F8AD5C1-39BA-42D9-862A-F364133ABAA2}" name="results_yolo__4" displayName="results_yolo__4" ref="A1:F78" tableType="queryTable" totalsRowCount="1" totalsRowDxfId="21">
  <autoFilter ref="A1:F77" xr:uid="{5F8AD5C1-39BA-42D9-862A-F364133ABAA2}"/>
  <tableColumns count="6">
    <tableColumn id="1" xr3:uid="{20727661-20FB-4256-903B-9352C6E04F89}" uniqueName="1" name="Column1" queryTableFieldId="1" dataDxfId="33" totalsRowDxfId="27"/>
    <tableColumn id="2" xr3:uid="{545BA5E6-F967-441A-AA47-715A421869C8}" uniqueName="2" name="Column2" totalsRowFunction="custom" queryTableFieldId="2" dataDxfId="32" totalsRowDxfId="26">
      <totalsRowFormula>AVERAGE(B4:B77)</totalsRowFormula>
    </tableColumn>
    <tableColumn id="3" xr3:uid="{90EE646F-8FA7-4C12-99F2-C5DAF248F0AE}" uniqueName="3" name="Column3" totalsRowFunction="average" queryTableFieldId="3" dataDxfId="31" totalsRowDxfId="25"/>
    <tableColumn id="4" xr3:uid="{2C0104E3-89A6-49E3-82C0-FECE15834FA6}" uniqueName="4" name="Column4" totalsRowFunction="average" queryTableFieldId="4" dataDxfId="30" totalsRowDxfId="24"/>
    <tableColumn id="5" xr3:uid="{B55BCE46-84A7-4737-A2C0-3395D9E517E9}" uniqueName="5" name="Column5" totalsRowFunction="average" queryTableFieldId="5" dataDxfId="29" totalsRowDxfId="23"/>
    <tableColumn id="6" xr3:uid="{7A35EDBB-88F5-45CD-9C3D-52F3B9EB9429}" uniqueName="6" name="Column6" totalsRowFunction="average" queryTableFieldId="6" dataDxfId="28" totalsRowDxfId="2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B288EE-52F6-49BE-AE2F-B3E4C29FCD07}" name="results_yolo__3" displayName="results_yolo__3" ref="A1:F78" tableType="queryTable" totalsRowCount="1" totalsRowDxfId="14">
  <autoFilter ref="A1:F77" xr:uid="{97B288EE-52F6-49BE-AE2F-B3E4C29FCD07}"/>
  <tableColumns count="6">
    <tableColumn id="1" xr3:uid="{C5AABAE2-A2E8-400A-BE60-552A570A82A2}" uniqueName="1" name="Column1" queryTableFieldId="1" dataDxfId="39" totalsRowDxfId="20"/>
    <tableColumn id="2" xr3:uid="{206E7179-7298-435F-9E90-9FB4E8958CE4}" uniqueName="2" name="Column2" totalsRowFunction="custom" queryTableFieldId="2" dataDxfId="38" totalsRowDxfId="19">
      <totalsRowFormula>AVERAGE(B4:B77)</totalsRowFormula>
    </tableColumn>
    <tableColumn id="3" xr3:uid="{D8D3A384-F99A-44CE-99EB-16B2E9F9EF2B}" uniqueName="3" name="Column3" totalsRowFunction="average" queryTableFieldId="3" dataDxfId="37" totalsRowDxfId="18"/>
    <tableColumn id="4" xr3:uid="{6C855784-09B6-4635-B262-DC912E789B4F}" uniqueName="4" name="Column4" totalsRowFunction="average" queryTableFieldId="4" dataDxfId="36" totalsRowDxfId="17"/>
    <tableColumn id="5" xr3:uid="{B51FB51E-6C86-46B2-BFB2-8DF9B826BAE3}" uniqueName="5" name="Column5" totalsRowFunction="average" queryTableFieldId="5" dataDxfId="35" totalsRowDxfId="16"/>
    <tableColumn id="6" xr3:uid="{244617E6-B7A6-48F7-A6C4-D265E979B787}" uniqueName="6" name="Column6" totalsRowFunction="average" queryTableFieldId="6" dataDxfId="34" totalsRowDxf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1576E-B56B-459F-9677-4E4A6FC023AA}">
  <dimension ref="A1:G80"/>
  <sheetViews>
    <sheetView topLeftCell="A55" workbookViewId="0">
      <selection activeCell="J63" sqref="J63"/>
    </sheetView>
  </sheetViews>
  <sheetFormatPr defaultRowHeight="15" x14ac:dyDescent="0.25"/>
  <cols>
    <col min="1" max="1" width="11.42578125" bestFit="1" customWidth="1"/>
    <col min="2" max="2" width="18.85546875" bestFit="1" customWidth="1"/>
    <col min="3" max="5" width="19.85546875" bestFit="1" customWidth="1"/>
    <col min="6" max="6" width="18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>
        <v>794.73614692687897</v>
      </c>
      <c r="C3" s="1">
        <v>0.85523519929644298</v>
      </c>
      <c r="D3" s="1">
        <v>0.92196956981063305</v>
      </c>
      <c r="E3" s="1">
        <v>0.99615950841686496</v>
      </c>
      <c r="F3" s="1">
        <v>0.99229016069568199</v>
      </c>
    </row>
    <row r="4" spans="1:6" x14ac:dyDescent="0.25">
      <c r="A4" s="1" t="s">
        <v>13</v>
      </c>
      <c r="B4" s="1">
        <v>189.42666053771899</v>
      </c>
      <c r="C4" s="1">
        <v>0.86812014333436605</v>
      </c>
      <c r="D4" s="1">
        <v>0.92940504542162605</v>
      </c>
      <c r="E4" s="1">
        <v>0.99526864844881002</v>
      </c>
      <c r="F4" s="1">
        <v>0.99368712994205399</v>
      </c>
    </row>
    <row r="5" spans="1:6" x14ac:dyDescent="0.25">
      <c r="A5" s="1" t="s">
        <v>14</v>
      </c>
      <c r="B5" s="1">
        <v>27.957439422607401</v>
      </c>
      <c r="C5" s="1">
        <v>0.86217002702123002</v>
      </c>
      <c r="D5" s="1">
        <v>0.92598421681222798</v>
      </c>
      <c r="E5" s="1">
        <v>0.99850749861558497</v>
      </c>
      <c r="F5" s="1">
        <v>0.99347689007828899</v>
      </c>
    </row>
    <row r="6" spans="1:6" x14ac:dyDescent="0.25">
      <c r="A6" s="1" t="s">
        <v>15</v>
      </c>
      <c r="B6" s="1">
        <v>27.6718139648437</v>
      </c>
      <c r="C6" s="1">
        <v>0.79773776215395698</v>
      </c>
      <c r="D6" s="1">
        <v>0.88749068851749402</v>
      </c>
      <c r="E6" s="1">
        <v>0.90376852428790699</v>
      </c>
      <c r="F6" s="1">
        <v>0.99515056861707096</v>
      </c>
    </row>
    <row r="7" spans="1:6" x14ac:dyDescent="0.25">
      <c r="A7" s="1" t="s">
        <v>16</v>
      </c>
      <c r="B7" s="1">
        <v>26.930332183837798</v>
      </c>
      <c r="C7" s="1">
        <v>0.83572015285138501</v>
      </c>
      <c r="D7" s="1">
        <v>0.91050931870337504</v>
      </c>
      <c r="E7" s="1">
        <v>0.96363860978382299</v>
      </c>
      <c r="F7" s="1">
        <v>0.99637115197618398</v>
      </c>
    </row>
    <row r="8" spans="1:6" x14ac:dyDescent="0.25">
      <c r="A8" s="1" t="s">
        <v>17</v>
      </c>
      <c r="B8" s="1">
        <v>27.045726776123001</v>
      </c>
      <c r="C8" s="1">
        <v>0.88360027998481305</v>
      </c>
      <c r="D8" s="1">
        <v>0.93820359804994002</v>
      </c>
      <c r="E8" s="1">
        <v>0.99600853986772597</v>
      </c>
      <c r="F8" s="1">
        <v>0.99733113930458706</v>
      </c>
    </row>
    <row r="9" spans="1:6" x14ac:dyDescent="0.25">
      <c r="A9" s="1" t="s">
        <v>18</v>
      </c>
      <c r="B9" s="1">
        <v>27.5235176086425</v>
      </c>
      <c r="C9" s="1">
        <v>0.82961771526863504</v>
      </c>
      <c r="D9" s="1">
        <v>0.90687547277801195</v>
      </c>
      <c r="E9" s="1">
        <v>0.92539742145411297</v>
      </c>
      <c r="F9" s="1">
        <v>0.99729945764675998</v>
      </c>
    </row>
    <row r="10" spans="1:6" x14ac:dyDescent="0.25">
      <c r="A10" s="1" t="s">
        <v>19</v>
      </c>
      <c r="B10" s="1">
        <v>26.590108871459901</v>
      </c>
      <c r="C10" s="1">
        <v>0.86237046000100204</v>
      </c>
      <c r="D10" s="1">
        <v>0.92609980508447098</v>
      </c>
      <c r="E10" s="1">
        <v>0.97806454468967596</v>
      </c>
      <c r="F10" s="1">
        <v>0.99395952553223099</v>
      </c>
    </row>
    <row r="11" spans="1:6" x14ac:dyDescent="0.25">
      <c r="A11" s="1" t="s">
        <v>20</v>
      </c>
      <c r="B11" s="1">
        <v>24.310588836669901</v>
      </c>
      <c r="C11" s="1">
        <v>0</v>
      </c>
      <c r="D11" s="1">
        <v>0</v>
      </c>
      <c r="E11" s="1">
        <v>0</v>
      </c>
      <c r="F11" s="1">
        <v>0.99999999999999001</v>
      </c>
    </row>
    <row r="12" spans="1:6" x14ac:dyDescent="0.25">
      <c r="A12" s="1" t="s">
        <v>21</v>
      </c>
      <c r="B12" s="1">
        <v>28.316736221313398</v>
      </c>
      <c r="C12" s="1">
        <v>0.84472038560073703</v>
      </c>
      <c r="D12" s="1">
        <v>0.91582485041563799</v>
      </c>
      <c r="E12" s="1">
        <v>0.95694624878187795</v>
      </c>
      <c r="F12" s="1">
        <v>0.99345049393981999</v>
      </c>
    </row>
    <row r="13" spans="1:6" x14ac:dyDescent="0.25">
      <c r="A13" s="1" t="s">
        <v>22</v>
      </c>
      <c r="B13" s="1">
        <v>27.385473251342699</v>
      </c>
      <c r="C13" s="1">
        <v>0.82795186464897097</v>
      </c>
      <c r="D13" s="1">
        <v>0.90587928562108599</v>
      </c>
      <c r="E13" s="1">
        <v>0.94234681028285205</v>
      </c>
      <c r="F13" s="1">
        <v>0.99284623108116998</v>
      </c>
    </row>
    <row r="14" spans="1:6" x14ac:dyDescent="0.25">
      <c r="A14" s="1" t="s">
        <v>23</v>
      </c>
      <c r="B14" s="1">
        <v>27.148723602294901</v>
      </c>
      <c r="C14" s="1">
        <v>0.826883480280726</v>
      </c>
      <c r="D14" s="1">
        <v>0.90523943010712804</v>
      </c>
      <c r="E14" s="1">
        <v>0.98546529918811498</v>
      </c>
      <c r="F14" s="1">
        <v>0.99086419481723897</v>
      </c>
    </row>
    <row r="15" spans="1:6" x14ac:dyDescent="0.25">
      <c r="A15" s="1" t="s">
        <v>24</v>
      </c>
      <c r="B15" s="1">
        <v>25.622129440307599</v>
      </c>
      <c r="C15" s="1">
        <v>0.85277956724376502</v>
      </c>
      <c r="D15" s="1">
        <v>0.920540772707655</v>
      </c>
      <c r="E15" s="1">
        <v>0.98896945726192298</v>
      </c>
      <c r="F15" s="1">
        <v>0.99275421557503696</v>
      </c>
    </row>
    <row r="16" spans="1:6" x14ac:dyDescent="0.25">
      <c r="A16" s="1" t="s">
        <v>25</v>
      </c>
      <c r="B16" s="1">
        <v>26.153087615966701</v>
      </c>
      <c r="C16" s="1">
        <v>0.82730636295798698</v>
      </c>
      <c r="D16" s="1">
        <v>0.90549278405485201</v>
      </c>
      <c r="E16" s="1">
        <v>0.98561529531254799</v>
      </c>
      <c r="F16" s="1">
        <v>0.98938142711041699</v>
      </c>
    </row>
    <row r="17" spans="1:6" x14ac:dyDescent="0.25">
      <c r="A17" s="1" t="s">
        <v>26</v>
      </c>
      <c r="B17" s="1">
        <v>26.85546875</v>
      </c>
      <c r="C17" s="1">
        <v>0.87095044679108502</v>
      </c>
      <c r="D17" s="1">
        <v>0.93102460119654595</v>
      </c>
      <c r="E17" s="1">
        <v>0.98707396564087202</v>
      </c>
      <c r="F17" s="1">
        <v>0.99271724798267402</v>
      </c>
    </row>
    <row r="18" spans="1:6" x14ac:dyDescent="0.25">
      <c r="A18" s="1" t="s">
        <v>27</v>
      </c>
      <c r="B18" s="1">
        <v>25.672435760498001</v>
      </c>
      <c r="C18" s="1">
        <v>0.42722980601446497</v>
      </c>
      <c r="D18" s="1">
        <v>0.59868397396702699</v>
      </c>
      <c r="E18" s="1">
        <v>0.46002099795533502</v>
      </c>
      <c r="F18" s="1">
        <v>0.99725597649897901</v>
      </c>
    </row>
    <row r="19" spans="1:6" x14ac:dyDescent="0.25">
      <c r="A19" s="1" t="s">
        <v>28</v>
      </c>
      <c r="B19" s="1">
        <v>27.444362640380799</v>
      </c>
      <c r="C19" s="1">
        <v>0.294868990857728</v>
      </c>
      <c r="D19" s="1">
        <v>0.45544219985128398</v>
      </c>
      <c r="E19" s="1">
        <v>0.63032399831659702</v>
      </c>
      <c r="F19" s="1">
        <v>0.97631103197372004</v>
      </c>
    </row>
    <row r="20" spans="1:6" x14ac:dyDescent="0.25">
      <c r="A20" s="1" t="s">
        <v>29</v>
      </c>
      <c r="B20" s="1">
        <v>26.587963104248001</v>
      </c>
      <c r="C20" s="1">
        <v>0.75519509902859205</v>
      </c>
      <c r="D20" s="1">
        <v>0.860525532969586</v>
      </c>
      <c r="E20" s="1">
        <v>0.90464078722390595</v>
      </c>
      <c r="F20" s="1">
        <v>0.99536791682159598</v>
      </c>
    </row>
    <row r="21" spans="1:6" x14ac:dyDescent="0.25">
      <c r="A21" s="1" t="s">
        <v>30</v>
      </c>
      <c r="B21" s="1">
        <v>27.032375335693299</v>
      </c>
      <c r="C21" s="1">
        <v>0.81203834226083604</v>
      </c>
      <c r="D21" s="1">
        <v>0.89627059573990697</v>
      </c>
      <c r="E21" s="1">
        <v>0.93771975517614903</v>
      </c>
      <c r="F21" s="1">
        <v>0.99532941661917096</v>
      </c>
    </row>
    <row r="22" spans="1:6" x14ac:dyDescent="0.25">
      <c r="A22" s="1" t="s">
        <v>31</v>
      </c>
      <c r="B22" s="1">
        <v>25.988578796386701</v>
      </c>
      <c r="C22" s="1">
        <v>0.69977072222481695</v>
      </c>
      <c r="D22" s="1">
        <v>0.82337072062153405</v>
      </c>
      <c r="E22" s="1">
        <v>0.78077468509279502</v>
      </c>
      <c r="F22" s="1">
        <v>0.99588885388592596</v>
      </c>
    </row>
    <row r="23" spans="1:6" x14ac:dyDescent="0.25">
      <c r="A23" s="1" t="s">
        <v>32</v>
      </c>
      <c r="B23" s="1">
        <v>25.353908538818299</v>
      </c>
      <c r="C23" s="1">
        <v>0.82451072434442496</v>
      </c>
      <c r="D23" s="1">
        <v>0.90381570614300899</v>
      </c>
      <c r="E23" s="1">
        <v>0.95686548400587801</v>
      </c>
      <c r="F23" s="1">
        <v>0.994326512839389</v>
      </c>
    </row>
    <row r="24" spans="1:6" x14ac:dyDescent="0.25">
      <c r="A24" s="1" t="s">
        <v>33</v>
      </c>
      <c r="B24" s="1">
        <v>28.125047683715799</v>
      </c>
      <c r="C24" s="1">
        <v>0.81902999460230297</v>
      </c>
      <c r="D24" s="1">
        <v>0.90051290746458301</v>
      </c>
      <c r="E24" s="1">
        <v>0.97211714460006904</v>
      </c>
      <c r="F24" s="1">
        <v>0.99396827709499702</v>
      </c>
    </row>
    <row r="25" spans="1:6" x14ac:dyDescent="0.25">
      <c r="A25" s="1" t="s">
        <v>34</v>
      </c>
      <c r="B25" s="1">
        <v>25.5250930786132</v>
      </c>
      <c r="C25" s="1">
        <v>0.83162993460866197</v>
      </c>
      <c r="D25" s="1">
        <v>0.90807637382967799</v>
      </c>
      <c r="E25" s="1">
        <v>0.96961653583301199</v>
      </c>
      <c r="F25" s="1">
        <v>0.99420033518824202</v>
      </c>
    </row>
    <row r="26" spans="1:6" x14ac:dyDescent="0.25">
      <c r="A26" s="1" t="s">
        <v>35</v>
      </c>
      <c r="B26" s="1">
        <v>26.960372924804599</v>
      </c>
      <c r="C26" s="1">
        <v>0.74770825029867505</v>
      </c>
      <c r="D26" s="1">
        <v>0.85564424173301801</v>
      </c>
      <c r="E26" s="1">
        <v>0.837874050915275</v>
      </c>
      <c r="F26" s="1">
        <v>0.99682883955101598</v>
      </c>
    </row>
    <row r="27" spans="1:6" x14ac:dyDescent="0.25">
      <c r="A27" s="1" t="s">
        <v>36</v>
      </c>
      <c r="B27" s="1">
        <v>25.353193283081001</v>
      </c>
      <c r="C27" s="1">
        <v>0.82018144787971803</v>
      </c>
      <c r="D27" s="1">
        <v>0.90120844692173496</v>
      </c>
      <c r="E27" s="1">
        <v>0.92168449086558102</v>
      </c>
      <c r="F27" s="1">
        <v>0.99709724804668398</v>
      </c>
    </row>
    <row r="28" spans="1:6" x14ac:dyDescent="0.25">
      <c r="A28" s="1" t="s">
        <v>37</v>
      </c>
      <c r="B28" s="1">
        <v>25.065660476684499</v>
      </c>
      <c r="C28" s="1">
        <v>0.86207397718157697</v>
      </c>
      <c r="D28" s="1">
        <v>0.92592881673413097</v>
      </c>
      <c r="E28" s="1">
        <v>0.96872448146293899</v>
      </c>
      <c r="F28" s="1">
        <v>0.99704125833426704</v>
      </c>
    </row>
    <row r="29" spans="1:6" x14ac:dyDescent="0.25">
      <c r="A29" s="1" t="s">
        <v>38</v>
      </c>
      <c r="B29" s="1">
        <v>23.333072662353501</v>
      </c>
      <c r="C29" s="1">
        <v>0</v>
      </c>
      <c r="D29" s="1">
        <v>0</v>
      </c>
      <c r="E29" s="1">
        <v>0</v>
      </c>
      <c r="F29" s="1">
        <v>0.99999999999999001</v>
      </c>
    </row>
    <row r="30" spans="1:6" x14ac:dyDescent="0.25">
      <c r="A30" s="1" t="s">
        <v>39</v>
      </c>
      <c r="B30" s="1">
        <v>23.347139358520501</v>
      </c>
      <c r="C30" s="1">
        <v>0</v>
      </c>
      <c r="D30" s="1">
        <v>0</v>
      </c>
      <c r="E30" s="1">
        <v>0</v>
      </c>
      <c r="F30" s="1">
        <v>0.99999999999999001</v>
      </c>
    </row>
    <row r="31" spans="1:6" x14ac:dyDescent="0.25">
      <c r="A31" s="1" t="s">
        <v>40</v>
      </c>
      <c r="B31" s="1">
        <v>22.7072238922119</v>
      </c>
      <c r="C31" s="1">
        <v>0</v>
      </c>
      <c r="D31" s="1">
        <v>0</v>
      </c>
      <c r="E31" s="1">
        <v>0</v>
      </c>
      <c r="F31" s="1">
        <v>0.99999999999999001</v>
      </c>
    </row>
    <row r="32" spans="1:6" x14ac:dyDescent="0.25">
      <c r="A32" s="1" t="s">
        <v>41</v>
      </c>
      <c r="B32" s="1">
        <v>24.078369140625</v>
      </c>
      <c r="C32" s="1">
        <v>0</v>
      </c>
      <c r="D32" s="1">
        <v>0</v>
      </c>
      <c r="E32" s="1">
        <v>0</v>
      </c>
      <c r="F32" s="1">
        <v>0.99999999999999001</v>
      </c>
    </row>
    <row r="33" spans="1:6" x14ac:dyDescent="0.25">
      <c r="A33" s="1" t="s">
        <v>42</v>
      </c>
      <c r="B33" s="1">
        <v>25.448560714721602</v>
      </c>
      <c r="C33" s="1">
        <v>0.79607433030295305</v>
      </c>
      <c r="D33" s="1">
        <v>0.886460339499062</v>
      </c>
      <c r="E33" s="1">
        <v>0.91566042100350797</v>
      </c>
      <c r="F33" s="1">
        <v>0.99683824410078803</v>
      </c>
    </row>
    <row r="34" spans="1:6" x14ac:dyDescent="0.25">
      <c r="A34" s="1" t="s">
        <v>43</v>
      </c>
      <c r="B34" s="1">
        <v>26.261091232299801</v>
      </c>
      <c r="C34" s="1">
        <v>5.4454090411376797E-2</v>
      </c>
      <c r="D34" s="1">
        <v>0.103283947412319</v>
      </c>
      <c r="E34" s="1">
        <v>0.118063504175625</v>
      </c>
      <c r="F34" s="1">
        <v>0.97311673221220396</v>
      </c>
    </row>
    <row r="35" spans="1:6" x14ac:dyDescent="0.25">
      <c r="A35" s="1" t="s">
        <v>44</v>
      </c>
      <c r="B35" s="1">
        <v>26.045799255371001</v>
      </c>
      <c r="C35" s="1">
        <v>0.115015822029972</v>
      </c>
      <c r="D35" s="1">
        <v>0.20630347974897201</v>
      </c>
      <c r="E35" s="1">
        <v>0.25772314270434399</v>
      </c>
      <c r="F35" s="1">
        <v>0.96587787882736198</v>
      </c>
    </row>
    <row r="36" spans="1:6" x14ac:dyDescent="0.25">
      <c r="A36" s="1" t="s">
        <v>45</v>
      </c>
      <c r="B36" s="1">
        <v>34.8498821258544</v>
      </c>
      <c r="C36" s="1">
        <v>0.75448629222204899</v>
      </c>
      <c r="D36" s="1">
        <v>0.86006518895795503</v>
      </c>
      <c r="E36" s="1">
        <v>0.95819712576312799</v>
      </c>
      <c r="F36" s="1">
        <v>0.98220029195179703</v>
      </c>
    </row>
    <row r="37" spans="1:6" x14ac:dyDescent="0.25">
      <c r="A37" s="1" t="s">
        <v>46</v>
      </c>
      <c r="B37" s="1">
        <v>25.279521942138601</v>
      </c>
      <c r="C37" s="1">
        <v>0.84518392908096796</v>
      </c>
      <c r="D37" s="1">
        <v>0.91609721476593298</v>
      </c>
      <c r="E37" s="1">
        <v>0.97245296140304904</v>
      </c>
      <c r="F37" s="1">
        <v>0.99218005437344103</v>
      </c>
    </row>
    <row r="38" spans="1:6" x14ac:dyDescent="0.25">
      <c r="A38" s="1" t="s">
        <v>47</v>
      </c>
      <c r="B38" s="1">
        <v>25.796175003051701</v>
      </c>
      <c r="C38" s="1">
        <v>0.79543920406174995</v>
      </c>
      <c r="D38" s="1">
        <v>0.88606643128016804</v>
      </c>
      <c r="E38" s="1">
        <v>0.96732516016186298</v>
      </c>
      <c r="F38" s="1">
        <v>0.98779997561807598</v>
      </c>
    </row>
    <row r="39" spans="1:6" x14ac:dyDescent="0.25">
      <c r="A39" s="1" t="s">
        <v>48</v>
      </c>
      <c r="B39" s="1">
        <v>27.009963989257798</v>
      </c>
      <c r="C39" s="1">
        <v>0.49318122700745098</v>
      </c>
      <c r="D39" s="1">
        <v>0.66057785630731103</v>
      </c>
      <c r="E39" s="1">
        <v>0.53375158351922602</v>
      </c>
      <c r="F39" s="1">
        <v>0.99590426943118304</v>
      </c>
    </row>
    <row r="40" spans="1:6" x14ac:dyDescent="0.25">
      <c r="A40" s="1" t="s">
        <v>49</v>
      </c>
      <c r="B40" s="1">
        <v>22.793531417846602</v>
      </c>
      <c r="C40" s="1">
        <v>0</v>
      </c>
      <c r="D40" s="1">
        <v>0</v>
      </c>
      <c r="E40" s="1">
        <v>0</v>
      </c>
      <c r="F40" s="1">
        <v>0.99999999999998901</v>
      </c>
    </row>
    <row r="41" spans="1:6" x14ac:dyDescent="0.25">
      <c r="A41" s="1" t="s">
        <v>50</v>
      </c>
      <c r="B41" s="1">
        <v>23.371934890746999</v>
      </c>
      <c r="C41" s="1">
        <v>0</v>
      </c>
      <c r="D41" s="1">
        <v>0</v>
      </c>
      <c r="E41" s="1">
        <v>0</v>
      </c>
      <c r="F41" s="1">
        <v>0.99999999999998901</v>
      </c>
    </row>
    <row r="42" spans="1:6" x14ac:dyDescent="0.25">
      <c r="A42" s="1" t="s">
        <v>51</v>
      </c>
      <c r="B42" s="1">
        <v>26.171684265136701</v>
      </c>
      <c r="C42" s="1">
        <v>0.38732182292705802</v>
      </c>
      <c r="D42" s="1">
        <v>0.55837343077305901</v>
      </c>
      <c r="E42" s="1">
        <v>0.40435602752638999</v>
      </c>
      <c r="F42" s="1">
        <v>0.99745995751127203</v>
      </c>
    </row>
    <row r="43" spans="1:6" x14ac:dyDescent="0.25">
      <c r="A43" s="1" t="s">
        <v>52</v>
      </c>
      <c r="B43" s="1">
        <v>25.308609008788999</v>
      </c>
      <c r="C43" s="1">
        <v>0.42831623629281401</v>
      </c>
      <c r="D43" s="1">
        <v>0.59974986688453003</v>
      </c>
      <c r="E43" s="1">
        <v>0.44974557070154703</v>
      </c>
      <c r="F43" s="1">
        <v>0.99729172740340599</v>
      </c>
    </row>
    <row r="44" spans="1:6" x14ac:dyDescent="0.25">
      <c r="A44" s="1" t="s">
        <v>53</v>
      </c>
      <c r="B44" s="1">
        <v>26.910543441772401</v>
      </c>
      <c r="C44" s="1">
        <v>0.35801172524056202</v>
      </c>
      <c r="D44" s="1">
        <v>0.527258665866294</v>
      </c>
      <c r="E44" s="1">
        <v>0.37570942111230998</v>
      </c>
      <c r="F44" s="1">
        <v>0.99695784617532901</v>
      </c>
    </row>
    <row r="45" spans="1:6" x14ac:dyDescent="0.25">
      <c r="A45" s="1" t="s">
        <v>54</v>
      </c>
      <c r="B45" s="1">
        <v>26.0488986968994</v>
      </c>
      <c r="C45" s="1">
        <v>0.34628920481847603</v>
      </c>
      <c r="D45" s="1">
        <v>0.51443509103256502</v>
      </c>
      <c r="E45" s="1">
        <v>0.36149414125714302</v>
      </c>
      <c r="F45" s="1">
        <v>0.99725067593038197</v>
      </c>
    </row>
    <row r="46" spans="1:6" x14ac:dyDescent="0.25">
      <c r="A46" s="1" t="s">
        <v>55</v>
      </c>
      <c r="B46" s="1">
        <v>23.077487945556602</v>
      </c>
      <c r="C46" s="1">
        <v>0</v>
      </c>
      <c r="D46" s="1">
        <v>0</v>
      </c>
      <c r="E46" s="1">
        <v>0</v>
      </c>
      <c r="F46" s="1">
        <v>0.99999999999998901</v>
      </c>
    </row>
    <row r="47" spans="1:6" x14ac:dyDescent="0.25">
      <c r="A47" s="1" t="s">
        <v>56</v>
      </c>
      <c r="B47" s="1">
        <v>25.2788066864013</v>
      </c>
      <c r="C47" s="1">
        <v>0.17284434659345299</v>
      </c>
      <c r="D47" s="1">
        <v>0.294743879860073</v>
      </c>
      <c r="E47" s="1">
        <v>0.19170429837762301</v>
      </c>
      <c r="F47" s="1">
        <v>0.99340201014171903</v>
      </c>
    </row>
    <row r="48" spans="1:6" x14ac:dyDescent="0.25">
      <c r="A48" s="1" t="s">
        <v>57</v>
      </c>
      <c r="B48" s="1">
        <v>27.3284912109375</v>
      </c>
      <c r="C48" s="1">
        <v>0.30595185349279103</v>
      </c>
      <c r="D48" s="1">
        <v>0.46854997398949699</v>
      </c>
      <c r="E48" s="1">
        <v>0.33886771465487697</v>
      </c>
      <c r="F48" s="1">
        <v>0.993339362373311</v>
      </c>
    </row>
    <row r="49" spans="1:6" x14ac:dyDescent="0.25">
      <c r="A49" s="1" t="s">
        <v>58</v>
      </c>
      <c r="B49" s="1">
        <v>26.387453079223601</v>
      </c>
      <c r="C49" s="1">
        <v>0.115990784061498</v>
      </c>
      <c r="D49" s="1">
        <v>0.207870505237266</v>
      </c>
      <c r="E49" s="1">
        <v>0.12036846891775101</v>
      </c>
      <c r="F49" s="1">
        <v>0.99737556634930302</v>
      </c>
    </row>
    <row r="50" spans="1:6" x14ac:dyDescent="0.25">
      <c r="A50" s="1" t="s">
        <v>59</v>
      </c>
      <c r="B50" s="1">
        <v>25.421857833862301</v>
      </c>
      <c r="C50" s="1">
        <v>0.60575201937386502</v>
      </c>
      <c r="D50" s="1">
        <v>0.75447766786563597</v>
      </c>
      <c r="E50" s="1">
        <v>0.72461134302563601</v>
      </c>
      <c r="F50" s="1">
        <v>0.98901812688820701</v>
      </c>
    </row>
    <row r="51" spans="1:6" x14ac:dyDescent="0.25">
      <c r="A51" s="1" t="s">
        <v>60</v>
      </c>
      <c r="B51" s="1">
        <v>26.20530128479</v>
      </c>
      <c r="C51" s="1">
        <v>0.84857414448655699</v>
      </c>
      <c r="D51" s="1">
        <v>0.91808505167884302</v>
      </c>
      <c r="E51" s="1">
        <v>0.984468910250338</v>
      </c>
      <c r="F51" s="1">
        <v>0.99123589651255395</v>
      </c>
    </row>
    <row r="52" spans="1:6" x14ac:dyDescent="0.25">
      <c r="A52" s="1" t="s">
        <v>61</v>
      </c>
      <c r="B52" s="1">
        <v>25.566816329956001</v>
      </c>
      <c r="C52" s="1">
        <v>0.87786213816121095</v>
      </c>
      <c r="D52" s="1">
        <v>0.934959090256548</v>
      </c>
      <c r="E52" s="1">
        <v>0.989016736401506</v>
      </c>
      <c r="F52" s="1">
        <v>0.992413858631917</v>
      </c>
    </row>
    <row r="53" spans="1:6" x14ac:dyDescent="0.25">
      <c r="A53" s="1" t="s">
        <v>62</v>
      </c>
      <c r="B53" s="1">
        <v>26.842117309570298</v>
      </c>
      <c r="C53" s="1">
        <v>0.84398909642832998</v>
      </c>
      <c r="D53" s="1">
        <v>0.91539488824860604</v>
      </c>
      <c r="E53" s="1">
        <v>0.99168334849845396</v>
      </c>
      <c r="F53" s="1">
        <v>0.99032231443218</v>
      </c>
    </row>
    <row r="54" spans="1:6" x14ac:dyDescent="0.25">
      <c r="A54" s="1" t="s">
        <v>63</v>
      </c>
      <c r="B54" s="1">
        <v>25.5987644195556</v>
      </c>
      <c r="C54" s="1">
        <v>0.87343155053566202</v>
      </c>
      <c r="D54" s="1">
        <v>0.93244031284294904</v>
      </c>
      <c r="E54" s="1">
        <v>0.98870621612756104</v>
      </c>
      <c r="F54" s="1">
        <v>0.99269618253000702</v>
      </c>
    </row>
    <row r="55" spans="1:6" x14ac:dyDescent="0.25">
      <c r="A55" s="1" t="s">
        <v>64</v>
      </c>
      <c r="B55" s="1">
        <v>25.5911350250244</v>
      </c>
      <c r="C55" s="1">
        <v>0.66999341192292305</v>
      </c>
      <c r="D55" s="1">
        <v>0.802390485063597</v>
      </c>
      <c r="E55" s="1">
        <v>0.95816377668618602</v>
      </c>
      <c r="F55" s="1">
        <v>0.97851587728335399</v>
      </c>
    </row>
    <row r="56" spans="1:6" x14ac:dyDescent="0.25">
      <c r="A56" s="1" t="s">
        <v>65</v>
      </c>
      <c r="B56" s="1">
        <v>26.526689529418899</v>
      </c>
      <c r="C56" s="1">
        <v>0.81457523421043398</v>
      </c>
      <c r="D56" s="1">
        <v>0.89781367986638005</v>
      </c>
      <c r="E56" s="1">
        <v>0.947620106761214</v>
      </c>
      <c r="F56" s="1">
        <v>0.99568715740014602</v>
      </c>
    </row>
    <row r="57" spans="1:6" x14ac:dyDescent="0.25">
      <c r="A57" s="1" t="s">
        <v>66</v>
      </c>
      <c r="B57" s="1">
        <v>25.603532791137599</v>
      </c>
      <c r="C57" s="1">
        <v>0.38540617225561002</v>
      </c>
      <c r="D57" s="1">
        <v>0.556380042147672</v>
      </c>
      <c r="E57" s="1">
        <v>0.99898742272383301</v>
      </c>
      <c r="F57" s="1">
        <v>0.97099179267671198</v>
      </c>
    </row>
    <row r="58" spans="1:6" x14ac:dyDescent="0.25">
      <c r="A58" s="1" t="s">
        <v>67</v>
      </c>
      <c r="B58" s="1">
        <v>26.063203811645501</v>
      </c>
      <c r="C58" s="1">
        <v>0.85951990060750705</v>
      </c>
      <c r="D58" s="1">
        <v>0.92445356495157804</v>
      </c>
      <c r="E58" s="1">
        <v>0.95273460554743605</v>
      </c>
      <c r="F58" s="1">
        <v>0.99785556735559799</v>
      </c>
    </row>
    <row r="59" spans="1:6" x14ac:dyDescent="0.25">
      <c r="A59" s="1" t="s">
        <v>68</v>
      </c>
      <c r="B59" s="1">
        <v>25.5181789398193</v>
      </c>
      <c r="C59" s="1">
        <v>0.84402852049881905</v>
      </c>
      <c r="D59" s="1">
        <v>0.91541807636522299</v>
      </c>
      <c r="E59" s="1">
        <v>0.99438633334639304</v>
      </c>
      <c r="F59" s="1">
        <v>0.99569160444024496</v>
      </c>
    </row>
    <row r="60" spans="1:6" x14ac:dyDescent="0.25">
      <c r="A60" s="1" t="s">
        <v>69</v>
      </c>
      <c r="B60" s="1">
        <v>25.2265930175781</v>
      </c>
      <c r="C60" s="1">
        <v>0.33421696193545702</v>
      </c>
      <c r="D60" s="1">
        <v>0.50099342381411704</v>
      </c>
      <c r="E60" s="1">
        <v>0.35990270183331402</v>
      </c>
      <c r="F60" s="1">
        <v>0.996172529514462</v>
      </c>
    </row>
    <row r="61" spans="1:6" x14ac:dyDescent="0.25">
      <c r="A61" s="1" t="s">
        <v>70</v>
      </c>
      <c r="B61" s="1">
        <v>25.490522384643501</v>
      </c>
      <c r="C61" s="1">
        <v>0.17987333951186499</v>
      </c>
      <c r="D61" s="1">
        <v>0.30490279505134399</v>
      </c>
      <c r="E61" s="1">
        <v>0.18850057464749201</v>
      </c>
      <c r="F61" s="1">
        <v>0.99699736217810297</v>
      </c>
    </row>
    <row r="62" spans="1:6" x14ac:dyDescent="0.25">
      <c r="A62" s="1" t="s">
        <v>71</v>
      </c>
      <c r="B62" s="1">
        <v>26.648521423339801</v>
      </c>
      <c r="C62" s="1">
        <v>0.18472698212663699</v>
      </c>
      <c r="D62" s="1">
        <v>0.31184734527619801</v>
      </c>
      <c r="E62" s="1">
        <v>0.195685795685763</v>
      </c>
      <c r="F62" s="1">
        <v>0.996308568800507</v>
      </c>
    </row>
    <row r="63" spans="1:6" x14ac:dyDescent="0.25">
      <c r="A63" s="1" t="s">
        <v>72</v>
      </c>
      <c r="B63" s="1">
        <v>25.528192520141602</v>
      </c>
      <c r="C63" s="1">
        <v>0.16026792396345799</v>
      </c>
      <c r="D63" s="1">
        <v>0.276260199309803</v>
      </c>
      <c r="E63" s="1">
        <v>0.170601200276147</v>
      </c>
      <c r="F63" s="1">
        <v>0.99501058298911904</v>
      </c>
    </row>
    <row r="64" spans="1:6" x14ac:dyDescent="0.25">
      <c r="A64" s="1" t="s">
        <v>73</v>
      </c>
      <c r="B64" s="1">
        <v>35.657882690429602</v>
      </c>
      <c r="C64" s="1">
        <v>0.81861473182929601</v>
      </c>
      <c r="D64" s="1">
        <v>0.90026185040948503</v>
      </c>
      <c r="E64" s="1">
        <v>0.97096201889985601</v>
      </c>
      <c r="F64" s="1">
        <v>0.98965105533060205</v>
      </c>
    </row>
    <row r="65" spans="1:7" x14ac:dyDescent="0.25">
      <c r="A65" s="1" t="s">
        <v>74</v>
      </c>
      <c r="B65" s="1">
        <v>25.027036666870099</v>
      </c>
      <c r="C65" s="1">
        <v>0.65480721822292498</v>
      </c>
      <c r="D65" s="1">
        <v>0.79140000238349695</v>
      </c>
      <c r="E65" s="1">
        <v>0.68889534401180796</v>
      </c>
      <c r="F65" s="1">
        <v>0.99749195305782801</v>
      </c>
    </row>
    <row r="66" spans="1:7" x14ac:dyDescent="0.25">
      <c r="A66" s="1" t="s">
        <v>75</v>
      </c>
      <c r="B66" s="1">
        <v>24.972200393676701</v>
      </c>
      <c r="C66" s="1">
        <v>0.67066907273721299</v>
      </c>
      <c r="D66" s="1">
        <v>0.802874828631852</v>
      </c>
      <c r="E66" s="1">
        <v>0.76076630363449405</v>
      </c>
      <c r="F66" s="1">
        <v>0.99493404560842402</v>
      </c>
    </row>
    <row r="67" spans="1:7" x14ac:dyDescent="0.25">
      <c r="A67" s="1" t="s">
        <v>76</v>
      </c>
      <c r="B67" s="1">
        <v>25.363445281982401</v>
      </c>
      <c r="C67" s="1">
        <v>0.64555258942858595</v>
      </c>
      <c r="D67" s="1">
        <v>0.784602805860799</v>
      </c>
      <c r="E67" s="1">
        <v>0.80853795538415196</v>
      </c>
      <c r="F67" s="1">
        <v>0.99066545357449098</v>
      </c>
    </row>
    <row r="68" spans="1:7" x14ac:dyDescent="0.25">
      <c r="A68" s="1" t="s">
        <v>77</v>
      </c>
      <c r="B68" s="1">
        <v>24.983406066894499</v>
      </c>
      <c r="C68" s="1">
        <v>0.75283541768537798</v>
      </c>
      <c r="D68" s="1">
        <v>0.85899156314344505</v>
      </c>
      <c r="E68" s="1">
        <v>0.79799550717104895</v>
      </c>
      <c r="F68" s="1">
        <v>0.99758944593959498</v>
      </c>
    </row>
    <row r="69" spans="1:7" x14ac:dyDescent="0.25">
      <c r="A69" s="1" t="s">
        <v>78</v>
      </c>
      <c r="B69" s="1">
        <v>24.957180023193299</v>
      </c>
      <c r="C69" s="1">
        <v>0.86302819563064803</v>
      </c>
      <c r="D69" s="1">
        <v>0.92647894181602197</v>
      </c>
      <c r="E69" s="1">
        <v>0.92853221641605199</v>
      </c>
      <c r="F69" s="1">
        <v>0.99626473269273397</v>
      </c>
    </row>
    <row r="70" spans="1:7" x14ac:dyDescent="0.25">
      <c r="A70" s="1" t="s">
        <v>79</v>
      </c>
      <c r="B70" s="1">
        <v>22.739648818969702</v>
      </c>
      <c r="C70" s="1">
        <v>0</v>
      </c>
      <c r="D70" s="1">
        <v>0</v>
      </c>
      <c r="E70" s="1">
        <v>0</v>
      </c>
      <c r="F70" s="1">
        <v>0.99999999999998901</v>
      </c>
    </row>
    <row r="71" spans="1:7" x14ac:dyDescent="0.25">
      <c r="A71" s="1" t="s">
        <v>80</v>
      </c>
      <c r="B71" s="1">
        <v>26.425838470458899</v>
      </c>
      <c r="C71" s="1">
        <v>0.80177599899933605</v>
      </c>
      <c r="D71" s="1">
        <v>0.889984103955901</v>
      </c>
      <c r="E71" s="1">
        <v>0.85340397774157195</v>
      </c>
      <c r="F71" s="1">
        <v>0.99503111587761295</v>
      </c>
    </row>
    <row r="72" spans="1:7" x14ac:dyDescent="0.25">
      <c r="A72" s="1" t="s">
        <v>81</v>
      </c>
      <c r="B72" s="1">
        <v>25.550603866577099</v>
      </c>
      <c r="C72" s="1">
        <v>0.88387268105759098</v>
      </c>
      <c r="D72" s="1">
        <v>0.93835712991112696</v>
      </c>
      <c r="E72" s="1">
        <v>0.97701920657538899</v>
      </c>
      <c r="F72" s="1">
        <v>0.99228382110008995</v>
      </c>
    </row>
    <row r="73" spans="1:7" x14ac:dyDescent="0.25">
      <c r="A73" s="1" t="s">
        <v>82</v>
      </c>
      <c r="B73" s="1">
        <v>25.006532669067301</v>
      </c>
      <c r="C73" s="1">
        <v>0.68264021140577702</v>
      </c>
      <c r="D73" s="1">
        <v>0.81139177202410895</v>
      </c>
      <c r="E73" s="1">
        <v>0.71332705983976097</v>
      </c>
      <c r="F73" s="1">
        <v>0.997037874344464</v>
      </c>
    </row>
    <row r="74" spans="1:7" x14ac:dyDescent="0.25">
      <c r="A74" s="1" t="s">
        <v>83</v>
      </c>
      <c r="B74" s="1">
        <v>25.809288024902301</v>
      </c>
      <c r="C74" s="1">
        <v>0.89072902642773499</v>
      </c>
      <c r="D74" s="1">
        <v>0.94220696247588798</v>
      </c>
      <c r="E74" s="1">
        <v>0.99217321637646705</v>
      </c>
      <c r="F74" s="1">
        <v>0.99445542890916705</v>
      </c>
    </row>
    <row r="75" spans="1:7" x14ac:dyDescent="0.25">
      <c r="A75" s="1" t="s">
        <v>84</v>
      </c>
      <c r="B75" s="1">
        <v>25.623559951782202</v>
      </c>
      <c r="C75" s="1">
        <v>0.89964121651059503</v>
      </c>
      <c r="D75" s="1">
        <v>0.947169611494453</v>
      </c>
      <c r="E75" s="1">
        <v>0.99804705663517201</v>
      </c>
      <c r="F75" s="1">
        <v>0.99408832431485905</v>
      </c>
    </row>
    <row r="76" spans="1:7" x14ac:dyDescent="0.25">
      <c r="A76" s="1" t="s">
        <v>85</v>
      </c>
      <c r="B76" s="1">
        <v>25.3524780273437</v>
      </c>
      <c r="C76" s="1">
        <v>0.86320068463830202</v>
      </c>
      <c r="D76" s="1">
        <v>0.92657832487419101</v>
      </c>
      <c r="E76" s="1">
        <v>0.99678822017969504</v>
      </c>
      <c r="F76" s="1">
        <v>0.99048855002013403</v>
      </c>
    </row>
    <row r="77" spans="1:7" x14ac:dyDescent="0.25">
      <c r="A77" s="1" t="s">
        <v>86</v>
      </c>
      <c r="B77" s="1">
        <v>26.033878326416001</v>
      </c>
      <c r="C77" s="1">
        <v>0.90401312468438799</v>
      </c>
      <c r="D77" s="1">
        <v>0.94958707265659004</v>
      </c>
      <c r="E77" s="1">
        <v>0.99835544653793595</v>
      </c>
      <c r="F77" s="1">
        <v>0.99233434067958004</v>
      </c>
    </row>
    <row r="78" spans="1:7" x14ac:dyDescent="0.25">
      <c r="A78" s="2"/>
      <c r="B78" s="2">
        <f>AVERAGE(B4:B77)</f>
        <v>28.246154656281313</v>
      </c>
      <c r="C78" s="2">
        <f>SUBTOTAL(101,results_yolo[Column3])</f>
        <v>0.59362079427408221</v>
      </c>
      <c r="D78" s="2">
        <f>SUBTOTAL(101,results_yolo[Column4])</f>
        <v>0.67954075225662702</v>
      </c>
      <c r="E78" s="2">
        <f>SUBTOTAL(101,results_yolo[Column5])</f>
        <v>0.6911851323463104</v>
      </c>
      <c r="F78" s="2">
        <f>SUBTOTAL(101,results_yolo[Column6])</f>
        <v>0.99351231542180474</v>
      </c>
      <c r="G78" s="2"/>
    </row>
    <row r="79" spans="1:7" x14ac:dyDescent="0.25">
      <c r="A79" s="2"/>
      <c r="B79" s="2">
        <f>STDEVA(B4:B77)</f>
        <v>19.096782467962701</v>
      </c>
      <c r="C79" s="2">
        <f>STDEVA(C3:C77)</f>
        <v>0.32288927776940474</v>
      </c>
      <c r="D79" s="2">
        <f>STDEVA(D3:D77)</f>
        <v>0.3309574855455632</v>
      </c>
      <c r="E79" s="2">
        <f>STDEVA(E3:E77)</f>
        <v>0.36944625323796737</v>
      </c>
      <c r="F79" s="2">
        <f>STDEVA(F3:F77)</f>
        <v>6.5302405478548861E-3</v>
      </c>
      <c r="G79" s="2"/>
    </row>
    <row r="80" spans="1:7" x14ac:dyDescent="0.25">
      <c r="A80" s="2"/>
      <c r="B80" s="2"/>
      <c r="C80" s="2"/>
      <c r="D80" s="2"/>
      <c r="E80" s="2"/>
      <c r="F80" s="2"/>
      <c r="G80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3B179-8F97-4936-9BAD-573812B0C785}">
  <dimension ref="A1:F80"/>
  <sheetViews>
    <sheetView topLeftCell="A55" workbookViewId="0">
      <selection activeCell="F77" sqref="F3:F77"/>
    </sheetView>
  </sheetViews>
  <sheetFormatPr defaultRowHeight="15" x14ac:dyDescent="0.25"/>
  <cols>
    <col min="1" max="1" width="11.42578125" bestFit="1" customWidth="1"/>
    <col min="2" max="2" width="18.85546875" bestFit="1" customWidth="1"/>
    <col min="3" max="5" width="19.85546875" bestFit="1" customWidth="1"/>
    <col min="6" max="6" width="18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>
        <v>828.45377922058105</v>
      </c>
      <c r="C3" s="1">
        <v>0.83740121279830104</v>
      </c>
      <c r="D3" s="1">
        <v>0.91150610652201103</v>
      </c>
      <c r="E3" s="1">
        <v>0.92027372729586598</v>
      </c>
      <c r="F3" s="1">
        <v>0.99202696631065002</v>
      </c>
    </row>
    <row r="4" spans="1:6" x14ac:dyDescent="0.25">
      <c r="A4" s="1" t="s">
        <v>13</v>
      </c>
      <c r="B4" s="1">
        <v>32.145977020263601</v>
      </c>
      <c r="C4" s="1">
        <v>0.86262222222212603</v>
      </c>
      <c r="D4" s="1">
        <v>0.92624495931655904</v>
      </c>
      <c r="E4" s="1">
        <v>0.93838083496495495</v>
      </c>
      <c r="F4" s="1">
        <v>0.99247703040454804</v>
      </c>
    </row>
    <row r="5" spans="1:6" x14ac:dyDescent="0.25">
      <c r="A5" s="1" t="s">
        <v>14</v>
      </c>
      <c r="B5" s="1">
        <v>26.175022125244102</v>
      </c>
      <c r="C5" s="1">
        <v>0.91253425684783596</v>
      </c>
      <c r="D5" s="1">
        <v>0.95426709726166004</v>
      </c>
      <c r="E5" s="1">
        <v>0.99864217609916595</v>
      </c>
      <c r="F5" s="1">
        <v>0.99355717497811102</v>
      </c>
    </row>
    <row r="6" spans="1:6" x14ac:dyDescent="0.25">
      <c r="A6" s="1" t="s">
        <v>15</v>
      </c>
      <c r="B6" s="1">
        <v>27.295589447021399</v>
      </c>
      <c r="C6" s="1">
        <v>0.89478019920600305</v>
      </c>
      <c r="D6" s="1">
        <v>0.94446859807903405</v>
      </c>
      <c r="E6" s="1">
        <v>0.99803700455226996</v>
      </c>
      <c r="F6" s="1">
        <v>0.99447781031087501</v>
      </c>
    </row>
    <row r="7" spans="1:6" x14ac:dyDescent="0.25">
      <c r="A7" s="1" t="s">
        <v>16</v>
      </c>
      <c r="B7" s="1">
        <v>28.922080993652301</v>
      </c>
      <c r="C7" s="1">
        <v>0.89902252729674104</v>
      </c>
      <c r="D7" s="1">
        <v>0.94682660618723602</v>
      </c>
      <c r="E7" s="1">
        <v>0.98659601573011302</v>
      </c>
      <c r="F7" s="1">
        <v>0.99469435737464196</v>
      </c>
    </row>
    <row r="8" spans="1:6" x14ac:dyDescent="0.25">
      <c r="A8" s="1" t="s">
        <v>17</v>
      </c>
      <c r="B8" s="1">
        <v>194.06008720397901</v>
      </c>
      <c r="C8" s="1">
        <v>0.196933010492294</v>
      </c>
      <c r="D8" s="1">
        <v>0.32906271072145699</v>
      </c>
      <c r="E8" s="1">
        <v>0.20855974113189399</v>
      </c>
      <c r="F8" s="1">
        <v>0.99709737162547196</v>
      </c>
    </row>
    <row r="9" spans="1:6" x14ac:dyDescent="0.25">
      <c r="A9" s="1" t="s">
        <v>18</v>
      </c>
      <c r="B9" s="1">
        <v>26.7415046691894</v>
      </c>
      <c r="C9" s="1">
        <v>0.16614942528732399</v>
      </c>
      <c r="D9" s="1">
        <v>0.284953920457298</v>
      </c>
      <c r="E9" s="1">
        <v>0.17226106300147501</v>
      </c>
      <c r="F9" s="1">
        <v>0.99814471243041603</v>
      </c>
    </row>
    <row r="10" spans="1:6" x14ac:dyDescent="0.25">
      <c r="A10" s="1" t="s">
        <v>19</v>
      </c>
      <c r="B10" s="1">
        <v>27.107477188110298</v>
      </c>
      <c r="C10" s="1">
        <v>0.71407533881107299</v>
      </c>
      <c r="D10" s="1">
        <v>0.83319014356320398</v>
      </c>
      <c r="E10" s="1">
        <v>0.78850867269966296</v>
      </c>
      <c r="F10" s="1">
        <v>0.99560400896888501</v>
      </c>
    </row>
    <row r="11" spans="1:6" x14ac:dyDescent="0.25">
      <c r="A11" s="1" t="s">
        <v>20</v>
      </c>
      <c r="B11" s="1">
        <v>27.831554412841701</v>
      </c>
      <c r="C11" s="1">
        <v>0.86229543496962102</v>
      </c>
      <c r="D11" s="1">
        <v>0.92605654159667405</v>
      </c>
      <c r="E11" s="1">
        <v>0.98736361955218199</v>
      </c>
      <c r="F11" s="1">
        <v>0.99536870282344703</v>
      </c>
    </row>
    <row r="12" spans="1:6" x14ac:dyDescent="0.25">
      <c r="A12" s="1" t="s">
        <v>21</v>
      </c>
      <c r="B12" s="1">
        <v>25.673627853393501</v>
      </c>
      <c r="C12" s="1">
        <v>0.86602388460919499</v>
      </c>
      <c r="D12" s="1">
        <v>0.92820235769979798</v>
      </c>
      <c r="E12" s="1">
        <v>0.99970160833079702</v>
      </c>
      <c r="F12" s="1">
        <v>0.99490376459391106</v>
      </c>
    </row>
    <row r="13" spans="1:6" x14ac:dyDescent="0.25">
      <c r="A13" s="1" t="s">
        <v>22</v>
      </c>
      <c r="B13" s="1">
        <v>25.69580078125</v>
      </c>
      <c r="C13" s="1">
        <v>0.86628011854120102</v>
      </c>
      <c r="D13" s="1">
        <v>0.92834951188178405</v>
      </c>
      <c r="E13" s="1">
        <v>0.99958370502497795</v>
      </c>
      <c r="F13" s="1">
        <v>0.99490120656664405</v>
      </c>
    </row>
    <row r="14" spans="1:6" x14ac:dyDescent="0.25">
      <c r="A14" s="1" t="s">
        <v>23</v>
      </c>
      <c r="B14" s="1">
        <v>25.86030960083</v>
      </c>
      <c r="C14" s="1">
        <v>0.88857931598566298</v>
      </c>
      <c r="D14" s="1">
        <v>0.94100290992746205</v>
      </c>
      <c r="E14" s="1">
        <v>0.99741772587696897</v>
      </c>
      <c r="F14" s="1">
        <v>0.99578879042893298</v>
      </c>
    </row>
    <row r="15" spans="1:6" x14ac:dyDescent="0.25">
      <c r="A15" s="1" t="s">
        <v>24</v>
      </c>
      <c r="B15" s="1">
        <v>26.518821716308501</v>
      </c>
      <c r="C15" s="1">
        <v>0.79852446197232496</v>
      </c>
      <c r="D15" s="1">
        <v>0.88797731568981297</v>
      </c>
      <c r="E15" s="1">
        <v>0.89236322188415895</v>
      </c>
      <c r="F15" s="1">
        <v>0.99697433910878397</v>
      </c>
    </row>
    <row r="16" spans="1:6" x14ac:dyDescent="0.25">
      <c r="A16" s="1" t="s">
        <v>25</v>
      </c>
      <c r="B16" s="1">
        <v>25.957822799682599</v>
      </c>
      <c r="C16" s="1">
        <v>0.89340458444638005</v>
      </c>
      <c r="D16" s="1">
        <v>0.94370172311334699</v>
      </c>
      <c r="E16" s="1">
        <v>0.98511397115801302</v>
      </c>
      <c r="F16" s="1">
        <v>0.996743187012882</v>
      </c>
    </row>
    <row r="17" spans="1:6" x14ac:dyDescent="0.25">
      <c r="A17" s="1" t="s">
        <v>26</v>
      </c>
      <c r="B17" s="1">
        <v>25.3033638000488</v>
      </c>
      <c r="C17" s="1">
        <v>0.79912029544761198</v>
      </c>
      <c r="D17" s="1">
        <v>0.88834559586666695</v>
      </c>
      <c r="E17" s="1">
        <v>0.88105041632313896</v>
      </c>
      <c r="F17" s="1">
        <v>0.99781731692635101</v>
      </c>
    </row>
    <row r="18" spans="1:6" x14ac:dyDescent="0.25">
      <c r="A18" s="1" t="s">
        <v>27</v>
      </c>
      <c r="B18" s="1">
        <v>26.659965515136701</v>
      </c>
      <c r="C18" s="1">
        <v>0.80814861586494002</v>
      </c>
      <c r="D18" s="1">
        <v>0.89389623040289401</v>
      </c>
      <c r="E18" s="1">
        <v>0.89437293122438599</v>
      </c>
      <c r="F18" s="1">
        <v>0.99715974176265298</v>
      </c>
    </row>
    <row r="19" spans="1:6" x14ac:dyDescent="0.25">
      <c r="A19" s="1" t="s">
        <v>28</v>
      </c>
      <c r="B19" s="1">
        <v>25.940656661987301</v>
      </c>
      <c r="C19" s="1">
        <v>0.73329632620086405</v>
      </c>
      <c r="D19" s="1">
        <v>0.84612921070241198</v>
      </c>
      <c r="E19" s="1">
        <v>0.88576653459284105</v>
      </c>
      <c r="F19" s="1">
        <v>0.99328388624938202</v>
      </c>
    </row>
    <row r="20" spans="1:6" x14ac:dyDescent="0.25">
      <c r="A20" s="1" t="s">
        <v>29</v>
      </c>
      <c r="B20" s="1">
        <v>25.758266448974599</v>
      </c>
      <c r="C20" s="1">
        <v>0.83527220630348498</v>
      </c>
      <c r="D20" s="1">
        <v>0.91024339979064905</v>
      </c>
      <c r="E20" s="1">
        <v>0.89886219974687798</v>
      </c>
      <c r="F20" s="1">
        <v>0.99757022865830103</v>
      </c>
    </row>
    <row r="21" spans="1:6" x14ac:dyDescent="0.25">
      <c r="A21" s="1" t="s">
        <v>30</v>
      </c>
      <c r="B21" s="1">
        <v>25.748729705810501</v>
      </c>
      <c r="C21" s="1">
        <v>0.82854851200331103</v>
      </c>
      <c r="D21" s="1">
        <v>0.90623629240831505</v>
      </c>
      <c r="E21" s="1">
        <v>0.88413068500401804</v>
      </c>
      <c r="F21" s="1">
        <v>0.99775991358961702</v>
      </c>
    </row>
    <row r="22" spans="1:6" x14ac:dyDescent="0.25">
      <c r="A22" s="1" t="s">
        <v>31</v>
      </c>
      <c r="B22" s="1">
        <v>27.485847473144499</v>
      </c>
      <c r="C22" s="1">
        <v>0.42389370032019702</v>
      </c>
      <c r="D22" s="1">
        <v>0.59540076653878604</v>
      </c>
      <c r="E22" s="1">
        <v>0.44830614805506602</v>
      </c>
      <c r="F22" s="1">
        <v>0.99819415046384496</v>
      </c>
    </row>
    <row r="23" spans="1:6" x14ac:dyDescent="0.25">
      <c r="A23" s="1" t="s">
        <v>32</v>
      </c>
      <c r="B23" s="1">
        <v>26.2565612792968</v>
      </c>
      <c r="C23" s="1">
        <v>0.75876298789006402</v>
      </c>
      <c r="D23" s="1">
        <v>0.86283711121341</v>
      </c>
      <c r="E23" s="1">
        <v>0.96664163224403299</v>
      </c>
      <c r="F23" s="1">
        <v>0.99138812929117004</v>
      </c>
    </row>
    <row r="24" spans="1:6" x14ac:dyDescent="0.25">
      <c r="A24" s="1" t="s">
        <v>33</v>
      </c>
      <c r="B24" s="1">
        <v>25.933027267456001</v>
      </c>
      <c r="C24" s="1">
        <v>0.83381448679668602</v>
      </c>
      <c r="D24" s="1">
        <v>0.90937714016339399</v>
      </c>
      <c r="E24" s="1">
        <v>0.994397977047073</v>
      </c>
      <c r="F24" s="1">
        <v>0.99007086081955198</v>
      </c>
    </row>
    <row r="25" spans="1:6" x14ac:dyDescent="0.25">
      <c r="A25" s="1" t="s">
        <v>34</v>
      </c>
      <c r="B25" s="1">
        <v>26.587009429931602</v>
      </c>
      <c r="C25" s="1">
        <v>0.77824199229937197</v>
      </c>
      <c r="D25" s="1">
        <v>0.87529368406496699</v>
      </c>
      <c r="E25" s="1">
        <v>0.90160200440344296</v>
      </c>
      <c r="F25" s="1">
        <v>0.99161455258199604</v>
      </c>
    </row>
    <row r="26" spans="1:6" x14ac:dyDescent="0.25">
      <c r="A26" s="1" t="s">
        <v>35</v>
      </c>
      <c r="B26" s="1">
        <v>26.876449584960898</v>
      </c>
      <c r="C26" s="1">
        <v>0.25657658419078799</v>
      </c>
      <c r="D26" s="1">
        <v>0.40837397006887299</v>
      </c>
      <c r="E26" s="1">
        <v>0.27112172903450199</v>
      </c>
      <c r="F26" s="1">
        <v>0.997470581437504</v>
      </c>
    </row>
    <row r="27" spans="1:6" x14ac:dyDescent="0.25">
      <c r="A27" s="1" t="s">
        <v>36</v>
      </c>
      <c r="B27" s="1">
        <v>27.842521667480401</v>
      </c>
      <c r="C27" s="1">
        <v>0.21496840758213701</v>
      </c>
      <c r="D27" s="1">
        <v>0.35386666227797198</v>
      </c>
      <c r="E27" s="1">
        <v>0.24006877609801899</v>
      </c>
      <c r="F27" s="1">
        <v>0.99479075865242095</v>
      </c>
    </row>
    <row r="28" spans="1:6" x14ac:dyDescent="0.25">
      <c r="A28" s="1" t="s">
        <v>37</v>
      </c>
      <c r="B28" s="1">
        <v>26.3049602508544</v>
      </c>
      <c r="C28" s="1">
        <v>0.91025433010162804</v>
      </c>
      <c r="D28" s="1">
        <v>0.95301899412860003</v>
      </c>
      <c r="E28" s="1">
        <v>0.97667181685614002</v>
      </c>
      <c r="F28" s="1">
        <v>0.99665577191026899</v>
      </c>
    </row>
    <row r="29" spans="1:6" x14ac:dyDescent="0.25">
      <c r="A29" s="1" t="s">
        <v>38</v>
      </c>
      <c r="B29" s="1">
        <v>26.593446731567301</v>
      </c>
      <c r="C29" s="1">
        <v>0.89731968430077402</v>
      </c>
      <c r="D29" s="1">
        <v>0.94588138385489395</v>
      </c>
      <c r="E29" s="1">
        <v>0.98293719861871698</v>
      </c>
      <c r="F29" s="1">
        <v>0.99670063708092205</v>
      </c>
    </row>
    <row r="30" spans="1:6" x14ac:dyDescent="0.25">
      <c r="A30" s="1" t="s">
        <v>39</v>
      </c>
      <c r="B30" s="1">
        <v>31.5310955047607</v>
      </c>
      <c r="C30" s="1">
        <v>0.90018689925220197</v>
      </c>
      <c r="D30" s="1">
        <v>0.947471956160166</v>
      </c>
      <c r="E30" s="1">
        <v>0.95181856679034604</v>
      </c>
      <c r="F30" s="1">
        <v>0.99757670937408904</v>
      </c>
    </row>
    <row r="31" spans="1:6" x14ac:dyDescent="0.25">
      <c r="A31" s="1" t="s">
        <v>40</v>
      </c>
      <c r="B31" s="1">
        <v>26.238679885864201</v>
      </c>
      <c r="C31" s="1">
        <v>0.86690002314254</v>
      </c>
      <c r="D31" s="1">
        <v>0.92870535368390295</v>
      </c>
      <c r="E31" s="1">
        <v>0.99488728793831704</v>
      </c>
      <c r="F31" s="1">
        <v>0.99563358223975496</v>
      </c>
    </row>
    <row r="32" spans="1:6" x14ac:dyDescent="0.25">
      <c r="A32" s="1" t="s">
        <v>41</v>
      </c>
      <c r="B32" s="1">
        <v>25.491714477538999</v>
      </c>
      <c r="C32" s="1">
        <v>0.88290722812273603</v>
      </c>
      <c r="D32" s="1">
        <v>0.93781277689713605</v>
      </c>
      <c r="E32" s="1">
        <v>0.99467887965240698</v>
      </c>
      <c r="F32" s="1">
        <v>0.99526910314778705</v>
      </c>
    </row>
    <row r="33" spans="1:6" x14ac:dyDescent="0.25">
      <c r="A33" s="1" t="s">
        <v>42</v>
      </c>
      <c r="B33" s="1">
        <v>25.645732879638601</v>
      </c>
      <c r="C33" s="1">
        <v>0.744553321195355</v>
      </c>
      <c r="D33" s="1">
        <v>0.85357473703949904</v>
      </c>
      <c r="E33" s="1">
        <v>0.78924428060266905</v>
      </c>
      <c r="F33" s="1">
        <v>0.99723879532469595</v>
      </c>
    </row>
    <row r="34" spans="1:6" x14ac:dyDescent="0.25">
      <c r="A34" s="1" t="s">
        <v>43</v>
      </c>
      <c r="B34" s="1">
        <v>25.700807571411101</v>
      </c>
      <c r="C34" s="1">
        <v>0.83541873272406497</v>
      </c>
      <c r="D34" s="1">
        <v>0.91033039799497495</v>
      </c>
      <c r="E34" s="1">
        <v>0.97474088480736198</v>
      </c>
      <c r="F34" s="1">
        <v>0.99327947521569804</v>
      </c>
    </row>
    <row r="35" spans="1:6" x14ac:dyDescent="0.25">
      <c r="A35" s="1" t="s">
        <v>44</v>
      </c>
      <c r="B35" s="1">
        <v>27.2729396820068</v>
      </c>
      <c r="C35" s="1">
        <v>0.85520621035497602</v>
      </c>
      <c r="D35" s="1">
        <v>0.92195272480393398</v>
      </c>
      <c r="E35" s="1">
        <v>0.97657026306130001</v>
      </c>
      <c r="F35" s="1">
        <v>0.99462850898810695</v>
      </c>
    </row>
    <row r="36" spans="1:6" x14ac:dyDescent="0.25">
      <c r="A36" s="1" t="s">
        <v>45</v>
      </c>
      <c r="B36" s="1">
        <v>26.241064071655199</v>
      </c>
      <c r="C36" s="1">
        <v>0.85651183970836597</v>
      </c>
      <c r="D36" s="1">
        <v>0.92271088326903705</v>
      </c>
      <c r="E36" s="1">
        <v>0.98232145188641196</v>
      </c>
      <c r="F36" s="1">
        <v>0.99443224211876702</v>
      </c>
    </row>
    <row r="37" spans="1:6" x14ac:dyDescent="0.25">
      <c r="A37" s="1" t="s">
        <v>46</v>
      </c>
      <c r="B37" s="1">
        <v>28.419733047485298</v>
      </c>
      <c r="C37" s="1">
        <v>0.84920946890267901</v>
      </c>
      <c r="D37" s="1">
        <v>0.91845676023560496</v>
      </c>
      <c r="E37" s="1">
        <v>0.96568079664233897</v>
      </c>
      <c r="F37" s="1">
        <v>0.99452250157937006</v>
      </c>
    </row>
    <row r="38" spans="1:6" x14ac:dyDescent="0.25">
      <c r="A38" s="1" t="s">
        <v>47</v>
      </c>
      <c r="B38" s="1">
        <v>27.414083480834901</v>
      </c>
      <c r="C38" s="1">
        <v>0.89355113416410603</v>
      </c>
      <c r="D38" s="1">
        <v>0.94378347438561006</v>
      </c>
      <c r="E38" s="1">
        <v>0.98556912304649702</v>
      </c>
      <c r="F38" s="1">
        <v>0.99518434072185902</v>
      </c>
    </row>
    <row r="39" spans="1:6" x14ac:dyDescent="0.25">
      <c r="A39" s="1" t="s">
        <v>48</v>
      </c>
      <c r="B39" s="1">
        <v>30.845880508422798</v>
      </c>
      <c r="C39" s="1">
        <v>0.90002635343707105</v>
      </c>
      <c r="D39" s="1">
        <v>0.94738302109227002</v>
      </c>
      <c r="E39" s="1">
        <v>0.98206876720186798</v>
      </c>
      <c r="F39" s="1">
        <v>0.99556151176628405</v>
      </c>
    </row>
    <row r="40" spans="1:6" x14ac:dyDescent="0.25">
      <c r="A40" s="1" t="s">
        <v>49</v>
      </c>
      <c r="B40" s="1">
        <v>25.812625885009702</v>
      </c>
      <c r="C40" s="1">
        <v>0.86441695688706099</v>
      </c>
      <c r="D40" s="1">
        <v>0.92727858293065701</v>
      </c>
      <c r="E40" s="1">
        <v>0.97509652073762698</v>
      </c>
      <c r="F40" s="1">
        <v>0.994353196552761</v>
      </c>
    </row>
    <row r="41" spans="1:6" x14ac:dyDescent="0.25">
      <c r="A41" s="1" t="s">
        <v>50</v>
      </c>
      <c r="B41" s="1">
        <v>26.170253753662099</v>
      </c>
      <c r="C41" s="1">
        <v>0.84408566721563005</v>
      </c>
      <c r="D41" s="1">
        <v>0.91545168667799204</v>
      </c>
      <c r="E41" s="1">
        <v>0.97587424130813005</v>
      </c>
      <c r="F41" s="1">
        <v>0.99390803994057597</v>
      </c>
    </row>
    <row r="42" spans="1:6" x14ac:dyDescent="0.25">
      <c r="A42" s="1" t="s">
        <v>51</v>
      </c>
      <c r="B42" s="1">
        <v>26.402950286865199</v>
      </c>
      <c r="C42" s="1">
        <v>0.84002981083254602</v>
      </c>
      <c r="D42" s="1">
        <v>0.91306108834450195</v>
      </c>
      <c r="E42" s="1">
        <v>0.96611793178184202</v>
      </c>
      <c r="F42" s="1">
        <v>0.99409857578829197</v>
      </c>
    </row>
    <row r="43" spans="1:6" x14ac:dyDescent="0.25">
      <c r="A43" s="1" t="s">
        <v>52</v>
      </c>
      <c r="B43" s="1">
        <v>25.444269180297798</v>
      </c>
      <c r="C43" s="1">
        <v>0.86421028703666702</v>
      </c>
      <c r="D43" s="1">
        <v>0.92715965902152397</v>
      </c>
      <c r="E43" s="1">
        <v>0.98720551437585802</v>
      </c>
      <c r="F43" s="1">
        <v>0.99400823284111495</v>
      </c>
    </row>
    <row r="44" spans="1:6" x14ac:dyDescent="0.25">
      <c r="A44" s="1" t="s">
        <v>53</v>
      </c>
      <c r="B44" s="1">
        <v>26.861667633056602</v>
      </c>
      <c r="C44" s="1">
        <v>0.852605062668785</v>
      </c>
      <c r="D44" s="1">
        <v>0.92043909395406498</v>
      </c>
      <c r="E44" s="1">
        <v>0.98332427899922403</v>
      </c>
      <c r="F44" s="1">
        <v>0.99354924625261998</v>
      </c>
    </row>
    <row r="45" spans="1:6" x14ac:dyDescent="0.25">
      <c r="A45" s="1" t="s">
        <v>54</v>
      </c>
      <c r="B45" s="1">
        <v>26.503801345825099</v>
      </c>
      <c r="C45" s="1">
        <v>0.77862357272087102</v>
      </c>
      <c r="D45" s="1">
        <v>0.87553497509286005</v>
      </c>
      <c r="E45" s="1">
        <v>0.98249527608624199</v>
      </c>
      <c r="F45" s="1">
        <v>0.99012639637712796</v>
      </c>
    </row>
    <row r="46" spans="1:6" x14ac:dyDescent="0.25">
      <c r="A46" s="1" t="s">
        <v>55</v>
      </c>
      <c r="B46" s="1">
        <v>27.301073074340799</v>
      </c>
      <c r="C46" s="1">
        <v>0.86224426789592401</v>
      </c>
      <c r="D46" s="1">
        <v>0.92602703389726604</v>
      </c>
      <c r="E46" s="1">
        <v>0.97684559063541099</v>
      </c>
      <c r="F46" s="1">
        <v>0.99433224950033305</v>
      </c>
    </row>
    <row r="47" spans="1:6" x14ac:dyDescent="0.25">
      <c r="A47" s="1" t="s">
        <v>56</v>
      </c>
      <c r="B47" s="1">
        <v>25.3949165344238</v>
      </c>
      <c r="C47" s="1">
        <v>0.86384548431200203</v>
      </c>
      <c r="D47" s="1">
        <v>0.92694967644366899</v>
      </c>
      <c r="E47" s="1">
        <v>0.98142349257151995</v>
      </c>
      <c r="F47" s="1">
        <v>0.99425406742648603</v>
      </c>
    </row>
    <row r="48" spans="1:6" x14ac:dyDescent="0.25">
      <c r="A48" s="1" t="s">
        <v>57</v>
      </c>
      <c r="B48" s="1">
        <v>25.836706161498999</v>
      </c>
      <c r="C48" s="1">
        <v>0.86016622089772499</v>
      </c>
      <c r="D48" s="1">
        <v>0.92482726676178895</v>
      </c>
      <c r="E48" s="1">
        <v>0.97726067626524904</v>
      </c>
      <c r="F48" s="1">
        <v>0.99332194144917296</v>
      </c>
    </row>
    <row r="49" spans="1:6" x14ac:dyDescent="0.25">
      <c r="A49" s="1" t="s">
        <v>58</v>
      </c>
      <c r="B49" s="1">
        <v>25.602817535400298</v>
      </c>
      <c r="C49" s="1">
        <v>0.89262231238776002</v>
      </c>
      <c r="D49" s="1">
        <v>0.94326512642833005</v>
      </c>
      <c r="E49" s="1">
        <v>0.98388771313321399</v>
      </c>
      <c r="F49" s="1">
        <v>0.99487125559593903</v>
      </c>
    </row>
    <row r="50" spans="1:6" x14ac:dyDescent="0.25">
      <c r="A50" s="1" t="s">
        <v>59</v>
      </c>
      <c r="B50" s="1">
        <v>25.702714920043899</v>
      </c>
      <c r="C50" s="1">
        <v>0.85890038105593602</v>
      </c>
      <c r="D50" s="1">
        <v>0.92409511538003197</v>
      </c>
      <c r="E50" s="1">
        <v>0.96733113789220704</v>
      </c>
      <c r="F50" s="1">
        <v>0.99273112735604396</v>
      </c>
    </row>
    <row r="51" spans="1:6" x14ac:dyDescent="0.25">
      <c r="A51" s="1" t="s">
        <v>60</v>
      </c>
      <c r="B51" s="1">
        <v>26.389837265014599</v>
      </c>
      <c r="C51" s="1">
        <v>0.860037867581672</v>
      </c>
      <c r="D51" s="1">
        <v>0.92475307365634496</v>
      </c>
      <c r="E51" s="1">
        <v>0.97486628326135105</v>
      </c>
      <c r="F51" s="1">
        <v>0.99194790355280105</v>
      </c>
    </row>
    <row r="52" spans="1:6" x14ac:dyDescent="0.25">
      <c r="A52" s="1" t="s">
        <v>61</v>
      </c>
      <c r="B52" s="1">
        <v>25.578975677490199</v>
      </c>
      <c r="C52" s="1">
        <v>0.880006235871715</v>
      </c>
      <c r="D52" s="1">
        <v>0.93617374142770005</v>
      </c>
      <c r="E52" s="1">
        <v>0.95996734804922201</v>
      </c>
      <c r="F52" s="1">
        <v>0.99460179798619597</v>
      </c>
    </row>
    <row r="53" spans="1:6" x14ac:dyDescent="0.25">
      <c r="A53" s="1" t="s">
        <v>62</v>
      </c>
      <c r="B53" s="1">
        <v>25.551795959472599</v>
      </c>
      <c r="C53" s="1">
        <v>0.83891139060600595</v>
      </c>
      <c r="D53" s="1">
        <v>0.91240001545647698</v>
      </c>
      <c r="E53" s="1">
        <v>0.96956457467585799</v>
      </c>
      <c r="F53" s="1">
        <v>0.99039985096582595</v>
      </c>
    </row>
    <row r="54" spans="1:6" x14ac:dyDescent="0.25">
      <c r="A54" s="1" t="s">
        <v>63</v>
      </c>
      <c r="B54" s="1">
        <v>26.263713836669901</v>
      </c>
      <c r="C54" s="1">
        <v>0.77224156380449804</v>
      </c>
      <c r="D54" s="1">
        <v>0.87148567055014203</v>
      </c>
      <c r="E54" s="1">
        <v>0.86712020443030802</v>
      </c>
      <c r="F54" s="1">
        <v>0.99266284986633402</v>
      </c>
    </row>
    <row r="55" spans="1:6" x14ac:dyDescent="0.25">
      <c r="A55" s="1" t="s">
        <v>64</v>
      </c>
      <c r="B55" s="1">
        <v>26.6063213348388</v>
      </c>
      <c r="C55" s="1">
        <v>0.69264058244015303</v>
      </c>
      <c r="D55" s="1">
        <v>0.81841424532268403</v>
      </c>
      <c r="E55" s="1">
        <v>0.77393938531981599</v>
      </c>
      <c r="F55" s="1">
        <v>0.99156361837255402</v>
      </c>
    </row>
    <row r="56" spans="1:6" x14ac:dyDescent="0.25">
      <c r="A56" s="1" t="s">
        <v>65</v>
      </c>
      <c r="B56" s="1">
        <v>27.6625156402587</v>
      </c>
      <c r="C56" s="1">
        <v>0.84500168730357905</v>
      </c>
      <c r="D56" s="1">
        <v>0.91599015124861605</v>
      </c>
      <c r="E56" s="1">
        <v>0.97787524220061295</v>
      </c>
      <c r="F56" s="1">
        <v>0.98933909301332201</v>
      </c>
    </row>
    <row r="57" spans="1:6" x14ac:dyDescent="0.25">
      <c r="A57" s="1" t="s">
        <v>66</v>
      </c>
      <c r="B57" s="1">
        <v>25.914192199706999</v>
      </c>
      <c r="C57" s="1">
        <v>0.76893386741640302</v>
      </c>
      <c r="D57" s="1">
        <v>0.86937548269055498</v>
      </c>
      <c r="E57" s="1">
        <v>0.867469699236739</v>
      </c>
      <c r="F57" s="1">
        <v>0.99127676608816295</v>
      </c>
    </row>
    <row r="58" spans="1:6" x14ac:dyDescent="0.25">
      <c r="A58" s="1" t="s">
        <v>67</v>
      </c>
      <c r="B58" s="1">
        <v>25.684595108032202</v>
      </c>
      <c r="C58" s="1">
        <v>0.69572236768906104</v>
      </c>
      <c r="D58" s="1">
        <v>0.82056164493152794</v>
      </c>
      <c r="E58" s="1">
        <v>0.77737353525235597</v>
      </c>
      <c r="F58" s="1">
        <v>0.99212097589172299</v>
      </c>
    </row>
    <row r="59" spans="1:6" x14ac:dyDescent="0.25">
      <c r="A59" s="1" t="s">
        <v>68</v>
      </c>
      <c r="B59" s="1">
        <v>26.212453842163001</v>
      </c>
      <c r="C59" s="1">
        <v>0.83643719236722502</v>
      </c>
      <c r="D59" s="1">
        <v>0.91093471189072495</v>
      </c>
      <c r="E59" s="1">
        <v>0.93914755091211399</v>
      </c>
      <c r="F59" s="1">
        <v>0.99174580751140595</v>
      </c>
    </row>
    <row r="60" spans="1:6" x14ac:dyDescent="0.25">
      <c r="A60" s="1" t="s">
        <v>69</v>
      </c>
      <c r="B60" s="1">
        <v>25.356054306030199</v>
      </c>
      <c r="C60" s="1">
        <v>0.85272993071873504</v>
      </c>
      <c r="D60" s="1">
        <v>0.92051185289367299</v>
      </c>
      <c r="E60" s="1">
        <v>0.98294715633281704</v>
      </c>
      <c r="F60" s="1">
        <v>0.99161251573218201</v>
      </c>
    </row>
    <row r="61" spans="1:6" x14ac:dyDescent="0.25">
      <c r="A61" s="1" t="s">
        <v>70</v>
      </c>
      <c r="B61" s="1">
        <v>27.363538742065401</v>
      </c>
      <c r="C61" s="1">
        <v>0.86465962348067904</v>
      </c>
      <c r="D61" s="1">
        <v>0.92741818677518895</v>
      </c>
      <c r="E61" s="1">
        <v>0.99111337728065796</v>
      </c>
      <c r="F61" s="1">
        <v>0.99191777485703303</v>
      </c>
    </row>
    <row r="62" spans="1:6" x14ac:dyDescent="0.25">
      <c r="A62" s="1" t="s">
        <v>71</v>
      </c>
      <c r="B62" s="1">
        <v>25.2745151519775</v>
      </c>
      <c r="C62" s="1">
        <v>0.81533520106392499</v>
      </c>
      <c r="D62" s="1">
        <v>0.89827509606608902</v>
      </c>
      <c r="E62" s="1">
        <v>0.88530911996053196</v>
      </c>
      <c r="F62" s="1">
        <v>0.99432021539661897</v>
      </c>
    </row>
    <row r="63" spans="1:6" x14ac:dyDescent="0.25">
      <c r="A63" s="1" t="s">
        <v>72</v>
      </c>
      <c r="B63" s="1">
        <v>25.509595870971602</v>
      </c>
      <c r="C63" s="1">
        <v>0.90128142226313801</v>
      </c>
      <c r="D63" s="1">
        <v>0.94807787180744896</v>
      </c>
      <c r="E63" s="1">
        <v>0.97159435620599899</v>
      </c>
      <c r="F63" s="1">
        <v>0.9949049724015</v>
      </c>
    </row>
    <row r="64" spans="1:6" x14ac:dyDescent="0.25">
      <c r="A64" s="1" t="s">
        <v>73</v>
      </c>
      <c r="B64" s="1">
        <v>27.872562408447202</v>
      </c>
      <c r="C64" s="1">
        <v>0.89811353434451402</v>
      </c>
      <c r="D64" s="1">
        <v>0.94632224900568396</v>
      </c>
      <c r="E64" s="1">
        <v>0.97480887329223898</v>
      </c>
      <c r="F64" s="1">
        <v>0.99446455119299004</v>
      </c>
    </row>
    <row r="65" spans="1:6" x14ac:dyDescent="0.25">
      <c r="A65" s="1" t="s">
        <v>74</v>
      </c>
      <c r="B65" s="1">
        <v>25.5720615386962</v>
      </c>
      <c r="C65" s="1">
        <v>0.75483574282172305</v>
      </c>
      <c r="D65" s="1">
        <v>0.86029219077561003</v>
      </c>
      <c r="E65" s="1">
        <v>0.82299484511840204</v>
      </c>
      <c r="F65" s="1">
        <v>0.99414777106542396</v>
      </c>
    </row>
    <row r="66" spans="1:6" x14ac:dyDescent="0.25">
      <c r="A66" s="1" t="s">
        <v>75</v>
      </c>
      <c r="B66" s="1">
        <v>25.247573852538999</v>
      </c>
      <c r="C66" s="1">
        <v>0.83993169047690996</v>
      </c>
      <c r="D66" s="1">
        <v>0.91300312378357895</v>
      </c>
      <c r="E66" s="1">
        <v>0.97290226523429202</v>
      </c>
      <c r="F66" s="1">
        <v>0.99256860041474204</v>
      </c>
    </row>
    <row r="67" spans="1:6" x14ac:dyDescent="0.25">
      <c r="A67" s="1" t="s">
        <v>76</v>
      </c>
      <c r="B67" s="1">
        <v>25.2308845520019</v>
      </c>
      <c r="C67" s="1">
        <v>0.85898388174982199</v>
      </c>
      <c r="D67" s="1">
        <v>0.924143442213472</v>
      </c>
      <c r="E67" s="1">
        <v>0.97840478859515201</v>
      </c>
      <c r="F67" s="1">
        <v>0.99343551413815201</v>
      </c>
    </row>
    <row r="68" spans="1:6" x14ac:dyDescent="0.25">
      <c r="A68" s="1" t="s">
        <v>77</v>
      </c>
      <c r="B68" s="1">
        <v>27.877092361450099</v>
      </c>
      <c r="C68" s="1">
        <v>0.86782269387143895</v>
      </c>
      <c r="D68" s="1">
        <v>0.92923455392085497</v>
      </c>
      <c r="E68" s="1">
        <v>0.97588681566516799</v>
      </c>
      <c r="F68" s="1">
        <v>0.99392582160938203</v>
      </c>
    </row>
    <row r="69" spans="1:6" x14ac:dyDescent="0.25">
      <c r="A69" s="1" t="s">
        <v>78</v>
      </c>
      <c r="B69" s="1">
        <v>25.461196899413999</v>
      </c>
      <c r="C69" s="1">
        <v>0.84155998186052905</v>
      </c>
      <c r="D69" s="1">
        <v>0.91396423700551999</v>
      </c>
      <c r="E69" s="1">
        <v>0.95325588746622503</v>
      </c>
      <c r="F69" s="1">
        <v>0.993268267265211</v>
      </c>
    </row>
    <row r="70" spans="1:6" x14ac:dyDescent="0.25">
      <c r="A70" s="1" t="s">
        <v>79</v>
      </c>
      <c r="B70" s="1">
        <v>25.363683700561499</v>
      </c>
      <c r="C70" s="1">
        <v>0.87150749524933602</v>
      </c>
      <c r="D70" s="1">
        <v>0.931342778440999</v>
      </c>
      <c r="E70" s="1">
        <v>0.98287562504941195</v>
      </c>
      <c r="F70" s="1">
        <v>0.99354825782923895</v>
      </c>
    </row>
    <row r="71" spans="1:6" x14ac:dyDescent="0.25">
      <c r="A71" s="1" t="s">
        <v>80</v>
      </c>
      <c r="B71" s="1">
        <v>26.637554168701101</v>
      </c>
      <c r="C71" s="1">
        <v>0.87150976031611804</v>
      </c>
      <c r="D71" s="1">
        <v>0.93134407182456802</v>
      </c>
      <c r="E71" s="1">
        <v>0.98108484005542296</v>
      </c>
      <c r="F71" s="1">
        <v>0.99413479783717096</v>
      </c>
    </row>
    <row r="72" spans="1:6" x14ac:dyDescent="0.25">
      <c r="A72" s="1" t="s">
        <v>81</v>
      </c>
      <c r="B72" s="1">
        <v>25.725364685058501</v>
      </c>
      <c r="C72" s="1">
        <v>0.86281271553057404</v>
      </c>
      <c r="D72" s="1">
        <v>0.92635476270605499</v>
      </c>
      <c r="E72" s="1">
        <v>0.97250883392203202</v>
      </c>
      <c r="F72" s="1">
        <v>0.99463586071723598</v>
      </c>
    </row>
    <row r="73" spans="1:6" x14ac:dyDescent="0.25">
      <c r="A73" s="1" t="s">
        <v>82</v>
      </c>
      <c r="B73" s="1">
        <v>25.3071784973144</v>
      </c>
      <c r="C73" s="1">
        <v>0.83952067158155697</v>
      </c>
      <c r="D73" s="1">
        <v>0.91276024733091599</v>
      </c>
      <c r="E73" s="1">
        <v>0.963652703579568</v>
      </c>
      <c r="F73" s="1">
        <v>0.99412702599258496</v>
      </c>
    </row>
    <row r="74" spans="1:6" x14ac:dyDescent="0.25">
      <c r="A74" s="1" t="s">
        <v>83</v>
      </c>
      <c r="B74" s="1">
        <v>28.1524658203125</v>
      </c>
      <c r="C74" s="1">
        <v>0.72569543080638799</v>
      </c>
      <c r="D74" s="1">
        <v>0.84104694009334302</v>
      </c>
      <c r="E74" s="1">
        <v>0.96830626585387403</v>
      </c>
      <c r="F74" s="1">
        <v>0.98869541812458905</v>
      </c>
    </row>
    <row r="75" spans="1:6" x14ac:dyDescent="0.25">
      <c r="A75" s="1" t="s">
        <v>84</v>
      </c>
      <c r="B75" s="1">
        <v>25.619745254516602</v>
      </c>
      <c r="C75" s="1">
        <v>0.86052508725499399</v>
      </c>
      <c r="D75" s="1">
        <v>0.92503465086257597</v>
      </c>
      <c r="E75" s="1">
        <v>0.98722264728360398</v>
      </c>
      <c r="F75" s="1">
        <v>0.99428056819824495</v>
      </c>
    </row>
    <row r="76" spans="1:6" x14ac:dyDescent="0.25">
      <c r="A76" s="1" t="s">
        <v>85</v>
      </c>
      <c r="B76" s="1">
        <v>25.820970535278299</v>
      </c>
      <c r="C76" s="1">
        <v>0.85851186260604195</v>
      </c>
      <c r="D76" s="1">
        <v>0.92387019946401605</v>
      </c>
      <c r="E76" s="1">
        <v>0.98446818770119404</v>
      </c>
      <c r="F76" s="1">
        <v>0.994271547098455</v>
      </c>
    </row>
    <row r="77" spans="1:6" x14ac:dyDescent="0.25">
      <c r="A77" s="1" t="s">
        <v>86</v>
      </c>
      <c r="B77" s="1">
        <v>25.412082672119102</v>
      </c>
      <c r="C77" s="1">
        <v>0.84770625889028095</v>
      </c>
      <c r="D77" s="1">
        <v>0.91757686570743902</v>
      </c>
      <c r="E77" s="1">
        <v>0.96640145948386802</v>
      </c>
      <c r="F77" s="1">
        <v>0.99452388738590403</v>
      </c>
    </row>
    <row r="78" spans="1:6" x14ac:dyDescent="0.25">
      <c r="A78" s="2"/>
      <c r="B78" s="2">
        <f>AVERAGE(B4:B77)</f>
        <v>28.780817985534643</v>
      </c>
      <c r="C78" s="2">
        <f>SUBTOTAL(101,results_yolo__2[Column3])</f>
        <v>0.80168054796893307</v>
      </c>
      <c r="D78" s="2">
        <f>SUBTOTAL(101,results_yolo__2[Column4])</f>
        <v>0.87815525855794418</v>
      </c>
      <c r="E78" s="2">
        <f>SUBTOTAL(101,results_yolo__2[Column5])</f>
        <v>0.90501650244514165</v>
      </c>
      <c r="F78" s="2">
        <f>SUBTOTAL(101,results_yolo__2[Column6])</f>
        <v>0.99419412109898742</v>
      </c>
    </row>
    <row r="79" spans="1:6" x14ac:dyDescent="0.25">
      <c r="A79" s="2"/>
      <c r="B79" s="2">
        <f>STDEVA(B4:B77)</f>
        <v>19.52307466703882</v>
      </c>
      <c r="C79" s="2">
        <f>STDEVA(C3:C77)</f>
        <v>0.15816079332548894</v>
      </c>
      <c r="D79" s="2">
        <f>STDEVA(D3:D77)</f>
        <v>0.13673114273780299</v>
      </c>
      <c r="E79" s="2">
        <f>STDEVA(E3:E77)</f>
        <v>0.18170815608550334</v>
      </c>
      <c r="F79" s="2">
        <f>STDEVA(F3:F77)</f>
        <v>2.1393215826169981E-3</v>
      </c>
    </row>
    <row r="80" spans="1:6" x14ac:dyDescent="0.25">
      <c r="A80" s="2"/>
      <c r="B80" s="2"/>
      <c r="C80" s="2"/>
      <c r="D80" s="2"/>
      <c r="E80" s="2"/>
      <c r="F80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F14D4-0385-4B29-A2AB-E103EEE374F3}">
  <dimension ref="A1:F79"/>
  <sheetViews>
    <sheetView tabSelected="1" workbookViewId="0">
      <selection activeCell="F77" sqref="F3:F77"/>
    </sheetView>
  </sheetViews>
  <sheetFormatPr defaultRowHeight="15" x14ac:dyDescent="0.25"/>
  <cols>
    <col min="1" max="1" width="11.42578125" bestFit="1" customWidth="1"/>
    <col min="2" max="6" width="18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>
        <v>831.02321624755803</v>
      </c>
      <c r="C3" s="1">
        <v>0.90848425531219101</v>
      </c>
      <c r="D3" s="1">
        <v>0.95204794357979206</v>
      </c>
      <c r="E3" s="1">
        <v>0.99555914054735095</v>
      </c>
      <c r="F3" s="1">
        <v>0.98844468667178498</v>
      </c>
    </row>
    <row r="4" spans="1:6" x14ac:dyDescent="0.25">
      <c r="A4" s="1" t="s">
        <v>13</v>
      </c>
      <c r="B4" s="1">
        <v>46.800374984741197</v>
      </c>
      <c r="C4" s="1">
        <v>0.89739539757126097</v>
      </c>
      <c r="D4" s="1">
        <v>0.94592344718445198</v>
      </c>
      <c r="E4" s="1">
        <v>0.99676912253875705</v>
      </c>
      <c r="F4" s="1">
        <v>0.98634080286081405</v>
      </c>
    </row>
    <row r="5" spans="1:6" x14ac:dyDescent="0.25">
      <c r="A5" s="1" t="s">
        <v>14</v>
      </c>
      <c r="B5" s="1">
        <v>28.6810398101806</v>
      </c>
      <c r="C5" s="1">
        <v>0.90554758111575395</v>
      </c>
      <c r="D5" s="1">
        <v>0.95043292551690495</v>
      </c>
      <c r="E5" s="1">
        <v>0.997220726432542</v>
      </c>
      <c r="F5" s="1">
        <v>0.98751282891846004</v>
      </c>
    </row>
    <row r="6" spans="1:6" x14ac:dyDescent="0.25">
      <c r="A6" s="1" t="s">
        <v>15</v>
      </c>
      <c r="B6" s="1">
        <v>27.695894241333001</v>
      </c>
      <c r="C6" s="1">
        <v>0.89471998750285897</v>
      </c>
      <c r="D6" s="1">
        <v>0.94443505468272604</v>
      </c>
      <c r="E6" s="1">
        <v>0.99750951348424299</v>
      </c>
      <c r="F6" s="1">
        <v>0.985870784019935</v>
      </c>
    </row>
    <row r="7" spans="1:6" x14ac:dyDescent="0.25">
      <c r="A7" s="1" t="s">
        <v>16</v>
      </c>
      <c r="B7" s="1">
        <v>26.7622470855712</v>
      </c>
      <c r="C7" s="1">
        <v>0.90627127034211097</v>
      </c>
      <c r="D7" s="1">
        <v>0.95083137897731196</v>
      </c>
      <c r="E7" s="1">
        <v>0.99318493905428296</v>
      </c>
      <c r="F7" s="1">
        <v>0.98784227843910699</v>
      </c>
    </row>
    <row r="8" spans="1:6" x14ac:dyDescent="0.25">
      <c r="A8" s="1" t="s">
        <v>17</v>
      </c>
      <c r="B8" s="1">
        <v>29.399633407592699</v>
      </c>
      <c r="C8" s="1">
        <v>0.90735074858662201</v>
      </c>
      <c r="D8" s="1">
        <v>0.95142516315783399</v>
      </c>
      <c r="E8" s="1">
        <v>0.99626544341456102</v>
      </c>
      <c r="F8" s="1">
        <v>0.98765909332507595</v>
      </c>
    </row>
    <row r="9" spans="1:6" x14ac:dyDescent="0.25">
      <c r="A9" s="1" t="s">
        <v>18</v>
      </c>
      <c r="B9" s="1">
        <v>28.044223785400298</v>
      </c>
      <c r="C9" s="1">
        <v>0.90962384352869796</v>
      </c>
      <c r="D9" s="1">
        <v>0.95267332004804595</v>
      </c>
      <c r="E9" s="1">
        <v>0.99916229480445096</v>
      </c>
      <c r="F9" s="1">
        <v>0.98749672182596404</v>
      </c>
    </row>
    <row r="10" spans="1:6" x14ac:dyDescent="0.25">
      <c r="A10" s="1" t="s">
        <v>19</v>
      </c>
      <c r="B10" s="1">
        <v>26.558160781860298</v>
      </c>
      <c r="C10" s="1">
        <v>0.90793953118666204</v>
      </c>
      <c r="D10" s="1">
        <v>0.95174874920900598</v>
      </c>
      <c r="E10" s="1">
        <v>0.99899342425509197</v>
      </c>
      <c r="F10" s="1">
        <v>0.98689308401257103</v>
      </c>
    </row>
    <row r="11" spans="1:6" x14ac:dyDescent="0.25">
      <c r="A11" s="1" t="s">
        <v>20</v>
      </c>
      <c r="B11" s="1">
        <v>26.561975479125898</v>
      </c>
      <c r="C11" s="1">
        <v>0.51857467778615995</v>
      </c>
      <c r="D11" s="1">
        <v>0.68297553669492095</v>
      </c>
      <c r="E11" s="1">
        <v>0.55146310000674204</v>
      </c>
      <c r="F11" s="1">
        <v>0.99197093937751901</v>
      </c>
    </row>
    <row r="12" spans="1:6" x14ac:dyDescent="0.25">
      <c r="A12" s="1" t="s">
        <v>21</v>
      </c>
      <c r="B12" s="1">
        <v>27.736186981201101</v>
      </c>
      <c r="C12" s="1">
        <v>0.90916975927420296</v>
      </c>
      <c r="D12" s="1">
        <v>0.95242421985547898</v>
      </c>
      <c r="E12" s="1">
        <v>0.99328139684800398</v>
      </c>
      <c r="F12" s="1">
        <v>0.98705085401741999</v>
      </c>
    </row>
    <row r="13" spans="1:6" x14ac:dyDescent="0.25">
      <c r="A13" s="1" t="s">
        <v>22</v>
      </c>
      <c r="B13" s="1">
        <v>27.420997619628899</v>
      </c>
      <c r="C13" s="1">
        <v>0.92151571293732804</v>
      </c>
      <c r="D13" s="1">
        <v>0.95915501157016403</v>
      </c>
      <c r="E13" s="1">
        <v>0.99205954961456799</v>
      </c>
      <c r="F13" s="1">
        <v>0.98889279598824698</v>
      </c>
    </row>
    <row r="14" spans="1:6" x14ac:dyDescent="0.25">
      <c r="A14" s="1" t="s">
        <v>23</v>
      </c>
      <c r="B14" s="1">
        <v>205.873727798461</v>
      </c>
      <c r="C14" s="1">
        <v>0.912109303265074</v>
      </c>
      <c r="D14" s="1">
        <v>0.95403469007506703</v>
      </c>
      <c r="E14" s="1">
        <v>0.99182069428239406</v>
      </c>
      <c r="F14" s="1">
        <v>0.98815116603961295</v>
      </c>
    </row>
    <row r="15" spans="1:6" x14ac:dyDescent="0.25">
      <c r="A15" s="1" t="s">
        <v>24</v>
      </c>
      <c r="B15" s="1">
        <v>26.973485946655199</v>
      </c>
      <c r="C15" s="1">
        <v>0.898735279909331</v>
      </c>
      <c r="D15" s="1">
        <v>0.94666727839201203</v>
      </c>
      <c r="E15" s="1">
        <v>0.993834836675628</v>
      </c>
      <c r="F15" s="1">
        <v>0.98706851344090096</v>
      </c>
    </row>
    <row r="16" spans="1:6" x14ac:dyDescent="0.25">
      <c r="A16" s="1" t="s">
        <v>25</v>
      </c>
      <c r="B16" s="1">
        <v>26.7474651336669</v>
      </c>
      <c r="C16" s="1">
        <v>0.89890864188555197</v>
      </c>
      <c r="D16" s="1">
        <v>0.94676344301952897</v>
      </c>
      <c r="E16" s="1">
        <v>0.99788336323492599</v>
      </c>
      <c r="F16" s="1">
        <v>0.98849332499087805</v>
      </c>
    </row>
    <row r="17" spans="1:6" x14ac:dyDescent="0.25">
      <c r="A17" s="1" t="s">
        <v>26</v>
      </c>
      <c r="B17" s="1">
        <v>27.190446853637599</v>
      </c>
      <c r="C17" s="1">
        <v>0.88442229846579901</v>
      </c>
      <c r="D17" s="1">
        <v>0.93866677250194996</v>
      </c>
      <c r="E17" s="1">
        <v>0.99779566093246697</v>
      </c>
      <c r="F17" s="1">
        <v>0.98725679230583496</v>
      </c>
    </row>
    <row r="18" spans="1:6" x14ac:dyDescent="0.25">
      <c r="A18" s="1" t="s">
        <v>27</v>
      </c>
      <c r="B18" s="1">
        <v>26.024580001831001</v>
      </c>
      <c r="C18" s="1">
        <v>0.895918888827967</v>
      </c>
      <c r="D18" s="1">
        <v>0.94510255064952997</v>
      </c>
      <c r="E18" s="1">
        <v>0.99723703590827395</v>
      </c>
      <c r="F18" s="1">
        <v>0.98828266838992695</v>
      </c>
    </row>
    <row r="19" spans="1:6" x14ac:dyDescent="0.25">
      <c r="A19" s="1" t="s">
        <v>28</v>
      </c>
      <c r="B19" s="1">
        <v>26.701450347900298</v>
      </c>
      <c r="C19" s="1">
        <v>0.87519756047666697</v>
      </c>
      <c r="D19" s="1">
        <v>0.93344571145260602</v>
      </c>
      <c r="E19" s="1">
        <v>0.99697110903996899</v>
      </c>
      <c r="F19" s="1">
        <v>0.98623070538026403</v>
      </c>
    </row>
    <row r="20" spans="1:6" x14ac:dyDescent="0.25">
      <c r="A20" s="1" t="s">
        <v>29</v>
      </c>
      <c r="B20" s="1">
        <v>29.0794372558593</v>
      </c>
      <c r="C20" s="1">
        <v>0.55625538934497798</v>
      </c>
      <c r="D20" s="1">
        <v>0.71486388821966296</v>
      </c>
      <c r="E20" s="1">
        <v>0.60427845600881702</v>
      </c>
      <c r="F20" s="1">
        <v>0.99107814592949195</v>
      </c>
    </row>
    <row r="21" spans="1:6" x14ac:dyDescent="0.25">
      <c r="A21" s="1" t="s">
        <v>30</v>
      </c>
      <c r="B21" s="1">
        <v>30.8592319488525</v>
      </c>
      <c r="C21" s="1">
        <v>0.91717194993728302</v>
      </c>
      <c r="D21" s="1">
        <v>0.95679675468576197</v>
      </c>
      <c r="E21" s="1">
        <v>0.99579365451666102</v>
      </c>
      <c r="F21" s="1">
        <v>0.988091333088574</v>
      </c>
    </row>
    <row r="22" spans="1:6" x14ac:dyDescent="0.25">
      <c r="A22" s="1" t="s">
        <v>31</v>
      </c>
      <c r="B22" s="1">
        <v>27.799367904663001</v>
      </c>
      <c r="C22" s="1">
        <v>0.91314905473667296</v>
      </c>
      <c r="D22" s="1">
        <v>0.95460314759673404</v>
      </c>
      <c r="E22" s="1">
        <v>0.99779480284819</v>
      </c>
      <c r="F22" s="1">
        <v>0.98564866260864803</v>
      </c>
    </row>
    <row r="23" spans="1:6" x14ac:dyDescent="0.25">
      <c r="A23" s="1" t="s">
        <v>32</v>
      </c>
      <c r="B23" s="1">
        <v>26.833534240722599</v>
      </c>
      <c r="C23" s="1">
        <v>0.88847960002173598</v>
      </c>
      <c r="D23" s="1">
        <v>0.94094699250286795</v>
      </c>
      <c r="E23" s="1">
        <v>0.98708254023178799</v>
      </c>
      <c r="F23" s="1">
        <v>0.98625181672803497</v>
      </c>
    </row>
    <row r="24" spans="1:6" x14ac:dyDescent="0.25">
      <c r="A24" s="1" t="s">
        <v>33</v>
      </c>
      <c r="B24" s="1">
        <v>26.3159275054931</v>
      </c>
      <c r="C24" s="1">
        <v>0.91364502779442103</v>
      </c>
      <c r="D24" s="1">
        <v>0.95487409056991701</v>
      </c>
      <c r="E24" s="1">
        <v>0.99787857199390495</v>
      </c>
      <c r="F24" s="1">
        <v>0.98737104850548496</v>
      </c>
    </row>
    <row r="25" spans="1:6" x14ac:dyDescent="0.25">
      <c r="A25" s="1" t="s">
        <v>34</v>
      </c>
      <c r="B25" s="1">
        <v>27.172327041625898</v>
      </c>
      <c r="C25" s="1">
        <v>0.89977302506741896</v>
      </c>
      <c r="D25" s="1">
        <v>0.94724265814384601</v>
      </c>
      <c r="E25" s="1">
        <v>0.99516927341112604</v>
      </c>
      <c r="F25" s="1">
        <v>0.98548413153622305</v>
      </c>
    </row>
    <row r="26" spans="1:6" x14ac:dyDescent="0.25">
      <c r="A26" s="1" t="s">
        <v>35</v>
      </c>
      <c r="B26" s="1">
        <v>25.945186614990199</v>
      </c>
      <c r="C26" s="1">
        <v>0.90975115575588505</v>
      </c>
      <c r="D26" s="1">
        <v>0.95274313934979904</v>
      </c>
      <c r="E26" s="1">
        <v>0.99653021990895696</v>
      </c>
      <c r="F26" s="1">
        <v>0.98674145733172602</v>
      </c>
    </row>
    <row r="27" spans="1:6" x14ac:dyDescent="0.25">
      <c r="A27" s="1" t="s">
        <v>36</v>
      </c>
      <c r="B27" s="1">
        <v>28.721809387206999</v>
      </c>
      <c r="C27" s="1">
        <v>0.90064723550057901</v>
      </c>
      <c r="D27" s="1">
        <v>0.94772687816881795</v>
      </c>
      <c r="E27" s="1">
        <v>0.99916464084239798</v>
      </c>
      <c r="F27" s="1">
        <v>0.98762890975387296</v>
      </c>
    </row>
    <row r="28" spans="1:6" x14ac:dyDescent="0.25">
      <c r="A28" s="1" t="s">
        <v>37</v>
      </c>
      <c r="B28" s="1">
        <v>25.914192199706999</v>
      </c>
      <c r="C28" s="1">
        <v>0.82640270132745897</v>
      </c>
      <c r="D28" s="1">
        <v>0.90495124730905796</v>
      </c>
      <c r="E28" s="1">
        <v>0.99456679062092201</v>
      </c>
      <c r="F28" s="1">
        <v>0.98093679531225797</v>
      </c>
    </row>
    <row r="29" spans="1:6" x14ac:dyDescent="0.25">
      <c r="A29" s="1" t="s">
        <v>38</v>
      </c>
      <c r="B29" s="1">
        <v>26.862144470214801</v>
      </c>
      <c r="C29" s="1">
        <v>0.89635612220083205</v>
      </c>
      <c r="D29" s="1">
        <v>0.94534577309303902</v>
      </c>
      <c r="E29" s="1">
        <v>0.99762498872611205</v>
      </c>
      <c r="F29" s="1">
        <v>0.98811745945084595</v>
      </c>
    </row>
    <row r="30" spans="1:6" x14ac:dyDescent="0.25">
      <c r="A30" s="1" t="s">
        <v>39</v>
      </c>
      <c r="B30" s="1">
        <v>25.687217712402301</v>
      </c>
      <c r="C30" s="1">
        <v>0.90859242237642401</v>
      </c>
      <c r="D30" s="1">
        <v>0.95210733493861199</v>
      </c>
      <c r="E30" s="1">
        <v>0.99670940912754002</v>
      </c>
      <c r="F30" s="1">
        <v>0.98597279486330303</v>
      </c>
    </row>
    <row r="31" spans="1:6" x14ac:dyDescent="0.25">
      <c r="A31" s="1" t="s">
        <v>40</v>
      </c>
      <c r="B31" s="1">
        <v>27.8396606445312</v>
      </c>
      <c r="C31" s="1">
        <v>0.90765658732631005</v>
      </c>
      <c r="D31" s="1">
        <v>0.95159327245418202</v>
      </c>
      <c r="E31" s="1">
        <v>0.99867039156213999</v>
      </c>
      <c r="F31" s="1">
        <v>0.98532418208333405</v>
      </c>
    </row>
    <row r="32" spans="1:6" x14ac:dyDescent="0.25">
      <c r="A32" s="1" t="s">
        <v>41</v>
      </c>
      <c r="B32" s="1">
        <v>25.937795639038001</v>
      </c>
      <c r="C32" s="1">
        <v>0.89558715276425505</v>
      </c>
      <c r="D32" s="1">
        <v>0.94491793897026399</v>
      </c>
      <c r="E32" s="1">
        <v>0.99882470876966001</v>
      </c>
      <c r="F32" s="1">
        <v>0.98570096263103801</v>
      </c>
    </row>
    <row r="33" spans="1:6" x14ac:dyDescent="0.25">
      <c r="A33" s="1" t="s">
        <v>42</v>
      </c>
      <c r="B33" s="1">
        <v>26.210308074951101</v>
      </c>
      <c r="C33" s="1">
        <v>0.906301671872071</v>
      </c>
      <c r="D33" s="1">
        <v>0.950848111025411</v>
      </c>
      <c r="E33" s="1">
        <v>0.98857032291940505</v>
      </c>
      <c r="F33" s="1">
        <v>0.98546685622298702</v>
      </c>
    </row>
    <row r="34" spans="1:6" x14ac:dyDescent="0.25">
      <c r="A34" s="1" t="s">
        <v>43</v>
      </c>
      <c r="B34" s="1">
        <v>26.739597320556602</v>
      </c>
      <c r="C34" s="1">
        <v>0.91599296782578199</v>
      </c>
      <c r="D34" s="1">
        <v>0.95615483272386603</v>
      </c>
      <c r="E34" s="1">
        <v>0.99145474480946505</v>
      </c>
      <c r="F34" s="1">
        <v>0.98716285406591198</v>
      </c>
    </row>
    <row r="35" spans="1:6" x14ac:dyDescent="0.25">
      <c r="A35" s="1" t="s">
        <v>44</v>
      </c>
      <c r="B35" s="1">
        <v>25.7585048675537</v>
      </c>
      <c r="C35" s="1">
        <v>0.91759698761628405</v>
      </c>
      <c r="D35" s="1">
        <v>0.95702798193996497</v>
      </c>
      <c r="E35" s="1">
        <v>0.99229329911312003</v>
      </c>
      <c r="F35" s="1">
        <v>0.987509446290608</v>
      </c>
    </row>
    <row r="36" spans="1:6" x14ac:dyDescent="0.25">
      <c r="A36" s="1" t="s">
        <v>45</v>
      </c>
      <c r="B36" s="1">
        <v>28.137445449829102</v>
      </c>
      <c r="C36" s="1">
        <v>0.89863350557174104</v>
      </c>
      <c r="D36" s="1">
        <v>0.94661081555192805</v>
      </c>
      <c r="E36" s="1">
        <v>0.99681476430110405</v>
      </c>
      <c r="F36" s="1">
        <v>0.98643014208841995</v>
      </c>
    </row>
    <row r="37" spans="1:6" x14ac:dyDescent="0.25">
      <c r="A37" s="1" t="s">
        <v>46</v>
      </c>
      <c r="B37" s="1">
        <v>25.471687316894499</v>
      </c>
      <c r="C37" s="1">
        <v>0.90966477848842198</v>
      </c>
      <c r="D37" s="1">
        <v>0.95269577020576202</v>
      </c>
      <c r="E37" s="1">
        <v>0.99852712270063704</v>
      </c>
      <c r="F37" s="1">
        <v>0.98743598519828102</v>
      </c>
    </row>
    <row r="38" spans="1:6" x14ac:dyDescent="0.25">
      <c r="A38" s="1" t="s">
        <v>47</v>
      </c>
      <c r="B38" s="1">
        <v>27.279138565063398</v>
      </c>
      <c r="C38" s="1">
        <v>0.89713774017085901</v>
      </c>
      <c r="D38" s="1">
        <v>0.94578028908967005</v>
      </c>
      <c r="E38" s="1">
        <v>0.99363959120890899</v>
      </c>
      <c r="F38" s="1">
        <v>0.98354251105631596</v>
      </c>
    </row>
    <row r="39" spans="1:6" x14ac:dyDescent="0.25">
      <c r="A39" s="1" t="s">
        <v>48</v>
      </c>
      <c r="B39" s="1">
        <v>26.1993408203125</v>
      </c>
      <c r="C39" s="1">
        <v>0.88775365595237699</v>
      </c>
      <c r="D39" s="1">
        <v>0.94053972895579196</v>
      </c>
      <c r="E39" s="1">
        <v>0.99756580294371</v>
      </c>
      <c r="F39" s="1">
        <v>0.98220583502870595</v>
      </c>
    </row>
    <row r="40" spans="1:6" x14ac:dyDescent="0.25">
      <c r="A40" s="1" t="s">
        <v>49</v>
      </c>
      <c r="B40" s="1">
        <v>25.449514389038001</v>
      </c>
      <c r="C40" s="1">
        <v>0.87524473333846797</v>
      </c>
      <c r="D40" s="1">
        <v>0.933472541240293</v>
      </c>
      <c r="E40" s="1">
        <v>0.99868194714373404</v>
      </c>
      <c r="F40" s="1">
        <v>0.98683488869192404</v>
      </c>
    </row>
    <row r="41" spans="1:6" x14ac:dyDescent="0.25">
      <c r="A41" s="1" t="s">
        <v>50</v>
      </c>
      <c r="B41" s="1">
        <v>26.505231857299801</v>
      </c>
      <c r="C41" s="1">
        <v>0.52919832180515303</v>
      </c>
      <c r="D41" s="1">
        <v>0.69212516683965097</v>
      </c>
      <c r="E41" s="1">
        <v>0.57395731702313102</v>
      </c>
      <c r="F41" s="1">
        <v>0.98886690905636299</v>
      </c>
    </row>
    <row r="42" spans="1:6" x14ac:dyDescent="0.25">
      <c r="A42" s="1" t="s">
        <v>51</v>
      </c>
      <c r="B42" s="1">
        <v>25.486707687377901</v>
      </c>
      <c r="C42" s="1">
        <v>0.90241307542433902</v>
      </c>
      <c r="D42" s="1">
        <v>0.94870360920227903</v>
      </c>
      <c r="E42" s="1">
        <v>0.99287423090703597</v>
      </c>
      <c r="F42" s="1">
        <v>0.98497404837649105</v>
      </c>
    </row>
    <row r="43" spans="1:6" x14ac:dyDescent="0.25">
      <c r="A43" s="1" t="s">
        <v>52</v>
      </c>
      <c r="B43" s="1">
        <v>26.4477729797363</v>
      </c>
      <c r="C43" s="1">
        <v>0.90120927346637403</v>
      </c>
      <c r="D43" s="1">
        <v>0.94803795252192002</v>
      </c>
      <c r="E43" s="1">
        <v>0.99852479912912995</v>
      </c>
      <c r="F43" s="1">
        <v>0.98341023660682703</v>
      </c>
    </row>
    <row r="44" spans="1:6" x14ac:dyDescent="0.25">
      <c r="A44" s="1" t="s">
        <v>53</v>
      </c>
      <c r="B44" s="1">
        <v>28.730154037475501</v>
      </c>
      <c r="C44" s="1">
        <v>0.89610677950600703</v>
      </c>
      <c r="D44" s="1">
        <v>0.94520708347392701</v>
      </c>
      <c r="E44" s="1">
        <v>0.99716606839214295</v>
      </c>
      <c r="F44" s="1">
        <v>0.98296299060987402</v>
      </c>
    </row>
    <row r="45" spans="1:6" x14ac:dyDescent="0.25">
      <c r="A45" s="1" t="s">
        <v>54</v>
      </c>
      <c r="B45" s="1">
        <v>26.329994201660099</v>
      </c>
      <c r="C45" s="1">
        <v>0.91175822756921798</v>
      </c>
      <c r="D45" s="1">
        <v>0.953842608778527</v>
      </c>
      <c r="E45" s="1">
        <v>0.99655481578633198</v>
      </c>
      <c r="F45" s="1">
        <v>0.98792933657141602</v>
      </c>
    </row>
    <row r="46" spans="1:6" x14ac:dyDescent="0.25">
      <c r="A46" s="1" t="s">
        <v>55</v>
      </c>
      <c r="B46" s="1">
        <v>27.9045104980468</v>
      </c>
      <c r="C46" s="1">
        <v>0.91989040203999095</v>
      </c>
      <c r="D46" s="1">
        <v>0.95827386924019797</v>
      </c>
      <c r="E46" s="1">
        <v>0.99563680353277995</v>
      </c>
      <c r="F46" s="1">
        <v>0.98403484961651499</v>
      </c>
    </row>
    <row r="47" spans="1:6" x14ac:dyDescent="0.25">
      <c r="A47" s="1" t="s">
        <v>56</v>
      </c>
      <c r="B47" s="1">
        <v>26.3311862945556</v>
      </c>
      <c r="C47" s="1">
        <v>0.91063795934005998</v>
      </c>
      <c r="D47" s="1">
        <v>0.95322921319389797</v>
      </c>
      <c r="E47" s="1">
        <v>0.99778908330155602</v>
      </c>
      <c r="F47" s="1">
        <v>0.98690675467049505</v>
      </c>
    </row>
    <row r="48" spans="1:6" x14ac:dyDescent="0.25">
      <c r="A48" s="1" t="s">
        <v>57</v>
      </c>
      <c r="B48" s="1">
        <v>25.860071182250898</v>
      </c>
      <c r="C48" s="1">
        <v>0.88118630061511305</v>
      </c>
      <c r="D48" s="1">
        <v>0.93684107770397995</v>
      </c>
      <c r="E48" s="1">
        <v>0.99820342861456002</v>
      </c>
      <c r="F48" s="1">
        <v>0.98510424588387602</v>
      </c>
    </row>
    <row r="49" spans="1:6" x14ac:dyDescent="0.25">
      <c r="A49" s="1" t="s">
        <v>58</v>
      </c>
      <c r="B49" s="1">
        <v>26.807308197021399</v>
      </c>
      <c r="C49" s="1">
        <v>0.918268483673228</v>
      </c>
      <c r="D49" s="1">
        <v>0.957393077651848</v>
      </c>
      <c r="E49" s="1">
        <v>0.99686078920338805</v>
      </c>
      <c r="F49" s="1">
        <v>0.98720835397856399</v>
      </c>
    </row>
    <row r="50" spans="1:6" x14ac:dyDescent="0.25">
      <c r="A50" s="1" t="s">
        <v>59</v>
      </c>
      <c r="B50" s="1">
        <v>25.7573127746582</v>
      </c>
      <c r="C50" s="1">
        <v>0.91003559072523599</v>
      </c>
      <c r="D50" s="1">
        <v>0.95289909271240103</v>
      </c>
      <c r="E50" s="1">
        <v>0.99795658422612399</v>
      </c>
      <c r="F50" s="1">
        <v>0.98427081173211795</v>
      </c>
    </row>
    <row r="51" spans="1:6" x14ac:dyDescent="0.25">
      <c r="A51" s="1" t="s">
        <v>60</v>
      </c>
      <c r="B51" s="1">
        <v>25.73823928833</v>
      </c>
      <c r="C51" s="1">
        <v>0.89084149510286703</v>
      </c>
      <c r="D51" s="1">
        <v>0.94226988080183005</v>
      </c>
      <c r="E51" s="1">
        <v>0.99924667730875405</v>
      </c>
      <c r="F51" s="1">
        <v>0.98551975839584005</v>
      </c>
    </row>
    <row r="52" spans="1:6" x14ac:dyDescent="0.25">
      <c r="A52" s="1" t="s">
        <v>61</v>
      </c>
      <c r="B52" s="1">
        <v>26.326417922973601</v>
      </c>
      <c r="C52" s="1">
        <v>0.86852104257240403</v>
      </c>
      <c r="D52" s="1">
        <v>0.92963474618054698</v>
      </c>
      <c r="E52" s="1">
        <v>0.998188485065853</v>
      </c>
      <c r="F52" s="1">
        <v>0.98174047716648805</v>
      </c>
    </row>
    <row r="53" spans="1:6" x14ac:dyDescent="0.25">
      <c r="A53" s="1" t="s">
        <v>62</v>
      </c>
      <c r="B53" s="1">
        <v>25.980472564697202</v>
      </c>
      <c r="C53" s="1">
        <v>0.89621337650133204</v>
      </c>
      <c r="D53" s="1">
        <v>0.94526637941445002</v>
      </c>
      <c r="E53" s="1">
        <v>0.999718914498816</v>
      </c>
      <c r="F53" s="1">
        <v>0.98543881165065805</v>
      </c>
    </row>
    <row r="54" spans="1:6" x14ac:dyDescent="0.25">
      <c r="A54" s="1" t="s">
        <v>63</v>
      </c>
      <c r="B54" s="1">
        <v>28.532505035400298</v>
      </c>
      <c r="C54" s="1">
        <v>0.89890658348376895</v>
      </c>
      <c r="D54" s="1">
        <v>0.94676230131828598</v>
      </c>
      <c r="E54" s="1">
        <v>0.99879602469236595</v>
      </c>
      <c r="F54" s="1">
        <v>0.98329292508199395</v>
      </c>
    </row>
    <row r="55" spans="1:6" x14ac:dyDescent="0.25">
      <c r="A55" s="1" t="s">
        <v>64</v>
      </c>
      <c r="B55" s="1">
        <v>25.892019271850501</v>
      </c>
      <c r="C55" s="1">
        <v>0.910889650160842</v>
      </c>
      <c r="D55" s="1">
        <v>0.95336708750729904</v>
      </c>
      <c r="E55" s="1">
        <v>0.99473982541654404</v>
      </c>
      <c r="F55" s="1">
        <v>0.98670684444714996</v>
      </c>
    </row>
    <row r="56" spans="1:6" x14ac:dyDescent="0.25">
      <c r="A56" s="1" t="s">
        <v>65</v>
      </c>
      <c r="B56" s="1">
        <v>31.3665866851806</v>
      </c>
      <c r="C56" s="1">
        <v>0.88290735441952595</v>
      </c>
      <c r="D56" s="1">
        <v>0.93781284814378296</v>
      </c>
      <c r="E56" s="1">
        <v>0.99262068815604199</v>
      </c>
      <c r="F56" s="1">
        <v>0.98804677584933298</v>
      </c>
    </row>
    <row r="57" spans="1:6" x14ac:dyDescent="0.25">
      <c r="A57" s="1" t="s">
        <v>66</v>
      </c>
      <c r="B57" s="1">
        <v>28.295993804931602</v>
      </c>
      <c r="C57" s="1">
        <v>0.89056705936395397</v>
      </c>
      <c r="D57" s="1">
        <v>0.94211634012449996</v>
      </c>
      <c r="E57" s="1">
        <v>0.99598131955840397</v>
      </c>
      <c r="F57" s="1">
        <v>0.98626947003197096</v>
      </c>
    </row>
    <row r="58" spans="1:6" x14ac:dyDescent="0.25">
      <c r="A58" s="1" t="s">
        <v>67</v>
      </c>
      <c r="B58" s="1">
        <v>25.648593902587798</v>
      </c>
      <c r="C58" s="1">
        <v>0.89924766516768395</v>
      </c>
      <c r="D58" s="1">
        <v>0.94695144994509095</v>
      </c>
      <c r="E58" s="1">
        <v>0.99867469532388298</v>
      </c>
      <c r="F58" s="1">
        <v>0.98780982350554603</v>
      </c>
    </row>
    <row r="59" spans="1:6" x14ac:dyDescent="0.25">
      <c r="A59" s="1" t="s">
        <v>68</v>
      </c>
      <c r="B59" s="1">
        <v>30.3027629852294</v>
      </c>
      <c r="C59" s="1">
        <v>0.884803516972268</v>
      </c>
      <c r="D59" s="1">
        <v>0.93888143671719004</v>
      </c>
      <c r="E59" s="1">
        <v>0.99958775838705505</v>
      </c>
      <c r="F59" s="1">
        <v>0.98603878338722895</v>
      </c>
    </row>
    <row r="60" spans="1:6" x14ac:dyDescent="0.25">
      <c r="A60" s="1" t="s">
        <v>69</v>
      </c>
      <c r="B60" s="1">
        <v>26.402235031127901</v>
      </c>
      <c r="C60" s="1">
        <v>0.54981320594586403</v>
      </c>
      <c r="D60" s="1">
        <v>0.70952190088005895</v>
      </c>
      <c r="E60" s="1">
        <v>0.60440691333321095</v>
      </c>
      <c r="F60" s="1">
        <v>0.98907054074567802</v>
      </c>
    </row>
    <row r="61" spans="1:6" x14ac:dyDescent="0.25">
      <c r="A61" s="1" t="s">
        <v>70</v>
      </c>
      <c r="B61" s="1">
        <v>25.526523590087798</v>
      </c>
      <c r="C61" s="1">
        <v>0.55662893485682796</v>
      </c>
      <c r="D61" s="1">
        <v>0.71517228337789296</v>
      </c>
      <c r="E61" s="1">
        <v>0.60328509140823805</v>
      </c>
      <c r="F61" s="1">
        <v>0.99082674611881405</v>
      </c>
    </row>
    <row r="62" spans="1:6" x14ac:dyDescent="0.25">
      <c r="A62" s="1" t="s">
        <v>71</v>
      </c>
      <c r="B62" s="1">
        <v>26.021242141723601</v>
      </c>
      <c r="C62" s="1">
        <v>0.90956217828725205</v>
      </c>
      <c r="D62" s="1">
        <v>0.95263949886467403</v>
      </c>
      <c r="E62" s="1">
        <v>0.99792231545500498</v>
      </c>
      <c r="F62" s="1">
        <v>0.98689277619874205</v>
      </c>
    </row>
    <row r="63" spans="1:6" x14ac:dyDescent="0.25">
      <c r="A63" s="1" t="s">
        <v>72</v>
      </c>
      <c r="B63" s="1">
        <v>26.5655517578125</v>
      </c>
      <c r="C63" s="1">
        <v>0.91421663513575901</v>
      </c>
      <c r="D63" s="1">
        <v>0.95518617731678102</v>
      </c>
      <c r="E63" s="1">
        <v>0.99830105605709396</v>
      </c>
      <c r="F63" s="1">
        <v>0.98750980281713396</v>
      </c>
    </row>
    <row r="64" spans="1:6" x14ac:dyDescent="0.25">
      <c r="A64" s="1" t="s">
        <v>73</v>
      </c>
      <c r="B64" s="1">
        <v>26.0663032531738</v>
      </c>
      <c r="C64" s="1">
        <v>0.91930356633572896</v>
      </c>
      <c r="D64" s="1">
        <v>0.95795535678687105</v>
      </c>
      <c r="E64" s="1">
        <v>0.998006403672974</v>
      </c>
      <c r="F64" s="1">
        <v>0.98762541586984398</v>
      </c>
    </row>
    <row r="65" spans="1:6" x14ac:dyDescent="0.25">
      <c r="A65" s="1" t="s">
        <v>74</v>
      </c>
      <c r="B65" s="1">
        <v>27.150392532348601</v>
      </c>
      <c r="C65" s="1">
        <v>0.91455224702188498</v>
      </c>
      <c r="D65" s="1">
        <v>0.95536932820139497</v>
      </c>
      <c r="E65" s="1">
        <v>0.99491384679253003</v>
      </c>
      <c r="F65" s="1">
        <v>0.98808123604241804</v>
      </c>
    </row>
    <row r="66" spans="1:6" x14ac:dyDescent="0.25">
      <c r="A66" s="1" t="s">
        <v>75</v>
      </c>
      <c r="B66" s="1">
        <v>25.522232055663999</v>
      </c>
      <c r="C66" s="1">
        <v>0.65476714598050401</v>
      </c>
      <c r="D66" s="1">
        <v>0.79137073463291796</v>
      </c>
      <c r="E66" s="1">
        <v>0.70327327519871197</v>
      </c>
      <c r="F66" s="1">
        <v>0.98999467421800802</v>
      </c>
    </row>
    <row r="67" spans="1:6" x14ac:dyDescent="0.25">
      <c r="A67" s="1" t="s">
        <v>76</v>
      </c>
      <c r="B67" s="1">
        <v>28.5301208496093</v>
      </c>
      <c r="C67" s="1">
        <v>0.902788822388642</v>
      </c>
      <c r="D67" s="1">
        <v>0.94891121049926797</v>
      </c>
      <c r="E67" s="1">
        <v>0.99838002962223804</v>
      </c>
      <c r="F67" s="1">
        <v>0.98506329003724902</v>
      </c>
    </row>
    <row r="68" spans="1:6" x14ac:dyDescent="0.25">
      <c r="A68" s="1" t="s">
        <v>77</v>
      </c>
      <c r="B68" s="1">
        <v>25.714159011840799</v>
      </c>
      <c r="C68" s="1">
        <v>0.910986775177969</v>
      </c>
      <c r="D68" s="1">
        <v>0.95342028213997398</v>
      </c>
      <c r="E68" s="1">
        <v>0.99465207643410003</v>
      </c>
      <c r="F68" s="1">
        <v>0.98516159406241099</v>
      </c>
    </row>
    <row r="69" spans="1:6" x14ac:dyDescent="0.25">
      <c r="A69" s="1" t="s">
        <v>78</v>
      </c>
      <c r="B69" s="1">
        <v>26.507139205932599</v>
      </c>
      <c r="C69" s="1">
        <v>0.91469060051372897</v>
      </c>
      <c r="D69" s="1">
        <v>0.95544481209476695</v>
      </c>
      <c r="E69" s="1">
        <v>0.99552226255371201</v>
      </c>
      <c r="F69" s="1">
        <v>0.98607857639616003</v>
      </c>
    </row>
    <row r="70" spans="1:6" x14ac:dyDescent="0.25">
      <c r="A70" s="1" t="s">
        <v>79</v>
      </c>
      <c r="B70" s="1">
        <v>25.6319046020507</v>
      </c>
      <c r="C70" s="1">
        <v>0.89621756293269095</v>
      </c>
      <c r="D70" s="1">
        <v>0.94526870803432494</v>
      </c>
      <c r="E70" s="1">
        <v>0.99607123913288598</v>
      </c>
      <c r="F70" s="1">
        <v>0.98677861406418099</v>
      </c>
    </row>
    <row r="71" spans="1:6" x14ac:dyDescent="0.25">
      <c r="A71" s="1" t="s">
        <v>80</v>
      </c>
      <c r="B71" s="1">
        <v>25.357723236083899</v>
      </c>
      <c r="C71" s="1">
        <v>0.55528793147310995</v>
      </c>
      <c r="D71" s="1">
        <v>0.71406447672639295</v>
      </c>
      <c r="E71" s="1">
        <v>0.60407613459173104</v>
      </c>
      <c r="F71" s="1">
        <v>0.98987118547439901</v>
      </c>
    </row>
    <row r="72" spans="1:6" x14ac:dyDescent="0.25">
      <c r="A72" s="1" t="s">
        <v>81</v>
      </c>
      <c r="B72" s="1">
        <v>28.770685195922798</v>
      </c>
      <c r="C72" s="1">
        <v>0.91926629075217203</v>
      </c>
      <c r="D72" s="1">
        <v>0.95793511841642998</v>
      </c>
      <c r="E72" s="1">
        <v>0.99914756652280601</v>
      </c>
      <c r="F72" s="1">
        <v>0.98704102488231704</v>
      </c>
    </row>
    <row r="73" spans="1:6" x14ac:dyDescent="0.25">
      <c r="A73" s="1" t="s">
        <v>82</v>
      </c>
      <c r="B73" s="1">
        <v>25.6555080413818</v>
      </c>
      <c r="C73" s="1">
        <v>0.90892276247222603</v>
      </c>
      <c r="D73" s="1">
        <v>0.95228867331969902</v>
      </c>
      <c r="E73" s="1">
        <v>0.99500500287559002</v>
      </c>
      <c r="F73" s="1">
        <v>0.98695707367988195</v>
      </c>
    </row>
    <row r="74" spans="1:6" x14ac:dyDescent="0.25">
      <c r="A74" s="1" t="s">
        <v>83</v>
      </c>
      <c r="B74" s="1">
        <v>26.259660720825099</v>
      </c>
      <c r="C74" s="1">
        <v>0.91322501028377101</v>
      </c>
      <c r="D74" s="1">
        <v>0.95464465013273103</v>
      </c>
      <c r="E74" s="1">
        <v>0.99851575325514796</v>
      </c>
      <c r="F74" s="1">
        <v>0.98638621028763895</v>
      </c>
    </row>
    <row r="75" spans="1:6" x14ac:dyDescent="0.25">
      <c r="A75" s="1" t="s">
        <v>84</v>
      </c>
      <c r="B75" s="1">
        <v>26.115655899047798</v>
      </c>
      <c r="C75" s="1">
        <v>0.91691099705547396</v>
      </c>
      <c r="D75" s="1">
        <v>0.95665474136662698</v>
      </c>
      <c r="E75" s="1">
        <v>0.99716494319681503</v>
      </c>
      <c r="F75" s="1">
        <v>0.98571918237492595</v>
      </c>
    </row>
    <row r="76" spans="1:6" x14ac:dyDescent="0.25">
      <c r="A76" s="1" t="s">
        <v>85</v>
      </c>
      <c r="B76" s="1">
        <v>26.503801345825099</v>
      </c>
      <c r="C76" s="1">
        <v>0.90353697749190498</v>
      </c>
      <c r="D76" s="1">
        <v>0.94932432432429303</v>
      </c>
      <c r="E76" s="1">
        <v>0.99648092648587605</v>
      </c>
      <c r="F76" s="1">
        <v>0.98316379867138104</v>
      </c>
    </row>
    <row r="77" spans="1:6" x14ac:dyDescent="0.25">
      <c r="A77" s="1" t="s">
        <v>86</v>
      </c>
      <c r="B77" s="1">
        <v>26.0264873504638</v>
      </c>
      <c r="C77" s="1">
        <v>0.90495446769968102</v>
      </c>
      <c r="D77" s="1">
        <v>0.95010613958920997</v>
      </c>
      <c r="E77" s="1">
        <v>0.99903495008116106</v>
      </c>
      <c r="F77" s="1">
        <v>0.98344576592351696</v>
      </c>
    </row>
    <row r="78" spans="1:6" x14ac:dyDescent="0.25">
      <c r="A78" s="2"/>
      <c r="B78" s="2">
        <f>AVERAGE(B4:B77)</f>
        <v>29.594005765141631</v>
      </c>
      <c r="C78" s="2">
        <f>SUBTOTAL(101,results_yolo__4[Column3])</f>
        <v>0.87017216630238747</v>
      </c>
      <c r="D78" s="2">
        <f>SUBTOTAL(101,results_yolo__4[Column4])</f>
        <v>0.92687320028637998</v>
      </c>
      <c r="E78" s="2">
        <f>SUBTOTAL(101,results_yolo__4[Column5])</f>
        <v>0.96002513986635085</v>
      </c>
      <c r="F78" s="2">
        <f>SUBTOTAL(101,results_yolo__4[Column6])</f>
        <v>0.98659458630604979</v>
      </c>
    </row>
    <row r="79" spans="1:6" x14ac:dyDescent="0.25">
      <c r="A79" s="2"/>
      <c r="B79" s="2">
        <f>STDEVA(B4:B77)</f>
        <v>20.9415982812978</v>
      </c>
      <c r="C79" s="2">
        <f>STDEVA(C3:C77)</f>
        <v>0.10195849716891014</v>
      </c>
      <c r="D79" s="2">
        <f>STDEVA(D3:D77)</f>
        <v>6.8940721127136992E-2</v>
      </c>
      <c r="E79" s="2">
        <f>STDEVA(E3:E77)</f>
        <v>0.11504662823366543</v>
      </c>
      <c r="F79" s="2">
        <f>STDEVA(F3:F77)</f>
        <v>2.0609092541935083E-3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15182-F820-4B86-BBC0-FE1BEBBD1F2F}">
  <dimension ref="A1:F80"/>
  <sheetViews>
    <sheetView topLeftCell="A71" workbookViewId="0">
      <selection activeCell="F3" sqref="F3:F77"/>
    </sheetView>
  </sheetViews>
  <sheetFormatPr defaultRowHeight="15" x14ac:dyDescent="0.25"/>
  <cols>
    <col min="1" max="1" width="11.42578125" bestFit="1" customWidth="1"/>
    <col min="2" max="2" width="18.85546875" bestFit="1" customWidth="1"/>
    <col min="3" max="3" width="19.85546875" bestFit="1" customWidth="1"/>
    <col min="4" max="4" width="18.85546875" bestFit="1" customWidth="1"/>
    <col min="5" max="5" width="19.85546875" bestFit="1" customWidth="1"/>
    <col min="6" max="6" width="18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>
        <v>1070.2350139617899</v>
      </c>
      <c r="C3" s="1">
        <v>0.847575877019768</v>
      </c>
      <c r="D3" s="1">
        <v>0.91750048002028495</v>
      </c>
      <c r="E3" s="1">
        <v>0.996524237648995</v>
      </c>
      <c r="F3" s="1">
        <v>0.99630768511719503</v>
      </c>
    </row>
    <row r="4" spans="1:6" x14ac:dyDescent="0.25">
      <c r="A4" s="1" t="s">
        <v>13</v>
      </c>
      <c r="B4" s="1">
        <v>30.982732772827099</v>
      </c>
      <c r="C4" s="1">
        <v>0.94621866717366299</v>
      </c>
      <c r="D4" s="1">
        <v>0.972366243457915</v>
      </c>
      <c r="E4" s="1">
        <v>0.99216111464201695</v>
      </c>
      <c r="F4" s="1">
        <v>0.99597659900756397</v>
      </c>
    </row>
    <row r="5" spans="1:6" x14ac:dyDescent="0.25">
      <c r="A5" s="1" t="s">
        <v>14</v>
      </c>
      <c r="B5" s="1">
        <v>26.4511108398437</v>
      </c>
      <c r="C5" s="1">
        <v>0.85156276341062498</v>
      </c>
      <c r="D5" s="1">
        <v>0.91983137729776399</v>
      </c>
      <c r="E5" s="1">
        <v>0.90970158661535605</v>
      </c>
      <c r="F5" s="1">
        <v>0.99618246430940405</v>
      </c>
    </row>
    <row r="6" spans="1:6" x14ac:dyDescent="0.25">
      <c r="A6" s="1" t="s">
        <v>15</v>
      </c>
      <c r="B6" s="1">
        <v>25.867700576782202</v>
      </c>
      <c r="C6" s="1">
        <v>0.87565054422252697</v>
      </c>
      <c r="D6" s="1">
        <v>0.93370329235341798</v>
      </c>
      <c r="E6" s="1">
        <v>0.90779945746796598</v>
      </c>
      <c r="F6" s="1">
        <v>0.99462918648517196</v>
      </c>
    </row>
    <row r="7" spans="1:6" x14ac:dyDescent="0.25">
      <c r="A7" s="1" t="s">
        <v>16</v>
      </c>
      <c r="B7" s="1">
        <v>26.916027069091701</v>
      </c>
      <c r="C7" s="1">
        <v>0.88656155693780303</v>
      </c>
      <c r="D7" s="1">
        <v>0.93987026681158103</v>
      </c>
      <c r="E7" s="1">
        <v>0.92972382969922596</v>
      </c>
      <c r="F7" s="1">
        <v>0.99156581750477701</v>
      </c>
    </row>
    <row r="8" spans="1:6" x14ac:dyDescent="0.25">
      <c r="A8" s="1" t="s">
        <v>17</v>
      </c>
      <c r="B8" s="1">
        <v>26.865482330322202</v>
      </c>
      <c r="C8" s="1">
        <v>0.57980808914538795</v>
      </c>
      <c r="D8" s="1">
        <v>0.73402344642891404</v>
      </c>
      <c r="E8" s="1">
        <v>0.90374718558949496</v>
      </c>
      <c r="F8" s="1">
        <v>0.99329434246336401</v>
      </c>
    </row>
    <row r="9" spans="1:6" x14ac:dyDescent="0.25">
      <c r="A9" s="1" t="s">
        <v>18</v>
      </c>
      <c r="B9" s="1">
        <v>33.387184143066399</v>
      </c>
      <c r="C9" s="1">
        <v>0.84512134829796204</v>
      </c>
      <c r="D9" s="1">
        <v>0.91606045215134102</v>
      </c>
      <c r="E9" s="1">
        <v>0.87704654403987503</v>
      </c>
      <c r="F9" s="1">
        <v>0.99462630311875899</v>
      </c>
    </row>
    <row r="10" spans="1:6" x14ac:dyDescent="0.25">
      <c r="A10" s="1" t="s">
        <v>19</v>
      </c>
      <c r="B10" s="1">
        <v>26.480913162231399</v>
      </c>
      <c r="C10" s="1">
        <v>0.88334177818836301</v>
      </c>
      <c r="D10" s="1">
        <v>0.93805785908713102</v>
      </c>
      <c r="E10" s="1">
        <v>0.923112862282091</v>
      </c>
      <c r="F10" s="1">
        <v>0.99371626923318201</v>
      </c>
    </row>
    <row r="11" spans="1:6" x14ac:dyDescent="0.25">
      <c r="A11" s="1" t="s">
        <v>20</v>
      </c>
      <c r="B11" s="1">
        <v>29.934644699096602</v>
      </c>
      <c r="C11" s="1">
        <v>0.81885443331920305</v>
      </c>
      <c r="D11" s="1">
        <v>0.90040678167398602</v>
      </c>
      <c r="E11" s="1">
        <v>0.86999231131145205</v>
      </c>
      <c r="F11" s="1">
        <v>0.99433971095288798</v>
      </c>
    </row>
    <row r="12" spans="1:6" x14ac:dyDescent="0.25">
      <c r="A12" s="1" t="s">
        <v>21</v>
      </c>
      <c r="B12" s="1">
        <v>27.617692947387599</v>
      </c>
      <c r="C12" s="1">
        <v>0.865198883730389</v>
      </c>
      <c r="D12" s="1">
        <v>0.92772828814908503</v>
      </c>
      <c r="E12" s="1">
        <v>0.92558401893061504</v>
      </c>
      <c r="F12" s="1">
        <v>0.99480166822079297</v>
      </c>
    </row>
    <row r="13" spans="1:6" x14ac:dyDescent="0.25">
      <c r="A13" s="1" t="s">
        <v>22</v>
      </c>
      <c r="B13" s="1">
        <v>30.84397315979</v>
      </c>
      <c r="C13" s="1">
        <v>0.892108041186922</v>
      </c>
      <c r="D13" s="1">
        <v>0.94297790799229497</v>
      </c>
      <c r="E13" s="1">
        <v>0.96469575715552103</v>
      </c>
      <c r="F13" s="1">
        <v>0.98455164713210297</v>
      </c>
    </row>
    <row r="14" spans="1:6" x14ac:dyDescent="0.25">
      <c r="A14" s="1" t="s">
        <v>23</v>
      </c>
      <c r="B14" s="1">
        <v>28.5916328430175</v>
      </c>
      <c r="C14" s="1">
        <v>0.913562399428546</v>
      </c>
      <c r="D14" s="1">
        <v>0.95482896162818298</v>
      </c>
      <c r="E14" s="1">
        <v>0.96030030301651104</v>
      </c>
      <c r="F14" s="1">
        <v>0.99397028424735701</v>
      </c>
    </row>
    <row r="15" spans="1:6" x14ac:dyDescent="0.25">
      <c r="A15" s="1" t="s">
        <v>24</v>
      </c>
      <c r="B15" s="1">
        <v>25.765419006347599</v>
      </c>
      <c r="C15" s="1">
        <v>0.861027242258394</v>
      </c>
      <c r="D15" s="1">
        <v>0.92532470531008404</v>
      </c>
      <c r="E15" s="1">
        <v>0.96015946436323096</v>
      </c>
      <c r="F15" s="1">
        <v>0.97979826288152505</v>
      </c>
    </row>
    <row r="16" spans="1:6" x14ac:dyDescent="0.25">
      <c r="A16" s="1" t="s">
        <v>25</v>
      </c>
      <c r="B16" s="1">
        <v>26.391744613647401</v>
      </c>
      <c r="C16" s="1">
        <v>0.70136337330578302</v>
      </c>
      <c r="D16" s="1">
        <v>0.82447216662836698</v>
      </c>
      <c r="E16" s="1">
        <v>0.80716210774126995</v>
      </c>
      <c r="F16" s="1">
        <v>0.99010278309047395</v>
      </c>
    </row>
    <row r="17" spans="1:6" x14ac:dyDescent="0.25">
      <c r="A17" s="1" t="s">
        <v>26</v>
      </c>
      <c r="B17" s="1">
        <v>26.184797286987301</v>
      </c>
      <c r="C17" s="1">
        <v>0.90233324516152402</v>
      </c>
      <c r="D17" s="1">
        <v>0.94865949218577506</v>
      </c>
      <c r="E17" s="1">
        <v>0.96615469945768595</v>
      </c>
      <c r="F17" s="1">
        <v>0.98636444814519197</v>
      </c>
    </row>
    <row r="18" spans="1:6" x14ac:dyDescent="0.25">
      <c r="A18" s="1" t="s">
        <v>27</v>
      </c>
      <c r="B18" s="1">
        <v>25.5780220031738</v>
      </c>
      <c r="C18" s="1">
        <v>0.92856649872284802</v>
      </c>
      <c r="D18" s="1">
        <v>0.96296031206367105</v>
      </c>
      <c r="E18" s="1">
        <v>0.96847106248165504</v>
      </c>
      <c r="F18" s="1">
        <v>0.99883031998682303</v>
      </c>
    </row>
    <row r="19" spans="1:6" x14ac:dyDescent="0.25">
      <c r="A19" s="1" t="s">
        <v>28</v>
      </c>
      <c r="B19" s="1">
        <v>26.330947875976499</v>
      </c>
      <c r="C19" s="1">
        <v>0.44184882556970401</v>
      </c>
      <c r="D19" s="1">
        <v>0.61289202825423905</v>
      </c>
      <c r="E19" s="1">
        <v>0.978477162593829</v>
      </c>
      <c r="F19" s="1">
        <v>0.95333835092791497</v>
      </c>
    </row>
    <row r="20" spans="1:6" x14ac:dyDescent="0.25">
      <c r="A20" s="1" t="s">
        <v>29</v>
      </c>
      <c r="B20" s="1">
        <v>28.629064559936499</v>
      </c>
      <c r="C20" s="1">
        <v>0.85230899660860404</v>
      </c>
      <c r="D20" s="1">
        <v>0.92026654102430905</v>
      </c>
      <c r="E20" s="1">
        <v>0.90265930757627899</v>
      </c>
      <c r="F20" s="1">
        <v>0.99778670220606502</v>
      </c>
    </row>
    <row r="21" spans="1:6" x14ac:dyDescent="0.25">
      <c r="A21" s="1" t="s">
        <v>30</v>
      </c>
      <c r="B21" s="1">
        <v>25.4995822906494</v>
      </c>
      <c r="C21" s="1">
        <v>0.84346363530896495</v>
      </c>
      <c r="D21" s="1">
        <v>0.91508573226354994</v>
      </c>
      <c r="E21" s="1">
        <v>0.904078080318101</v>
      </c>
      <c r="F21" s="1">
        <v>0.99653310247340299</v>
      </c>
    </row>
    <row r="22" spans="1:6" x14ac:dyDescent="0.25">
      <c r="A22" s="1" t="s">
        <v>31</v>
      </c>
      <c r="B22" s="1">
        <v>27.032852172851499</v>
      </c>
      <c r="C22" s="1">
        <v>0.910644737720403</v>
      </c>
      <c r="D22" s="1">
        <v>0.95323292681495198</v>
      </c>
      <c r="E22" s="1">
        <v>0.98647508377709503</v>
      </c>
      <c r="F22" s="1">
        <v>0.99657034029491698</v>
      </c>
    </row>
    <row r="23" spans="1:6" x14ac:dyDescent="0.25">
      <c r="A23" s="1" t="s">
        <v>32</v>
      </c>
      <c r="B23" s="1">
        <v>26.669740676879801</v>
      </c>
      <c r="C23" s="1">
        <v>0.84174227806917101</v>
      </c>
      <c r="D23" s="1">
        <v>0.91407173315435697</v>
      </c>
      <c r="E23" s="1">
        <v>0.93567370669399896</v>
      </c>
      <c r="F23" s="1">
        <v>0.98654441113763902</v>
      </c>
    </row>
    <row r="24" spans="1:6" x14ac:dyDescent="0.25">
      <c r="A24" s="1" t="s">
        <v>33</v>
      </c>
      <c r="B24" s="1">
        <v>26.4608860015869</v>
      </c>
      <c r="C24" s="1">
        <v>0.81277421142554296</v>
      </c>
      <c r="D24" s="1">
        <v>0.89671863854063505</v>
      </c>
      <c r="E24" s="1">
        <v>0.86053069074536903</v>
      </c>
      <c r="F24" s="1">
        <v>0.99634833907671205</v>
      </c>
    </row>
    <row r="25" spans="1:6" x14ac:dyDescent="0.25">
      <c r="A25" s="1" t="s">
        <v>34</v>
      </c>
      <c r="B25" s="1">
        <v>27.059078216552699</v>
      </c>
      <c r="C25" s="1">
        <v>0.70592202886796596</v>
      </c>
      <c r="D25" s="1">
        <v>0.82761347461631596</v>
      </c>
      <c r="E25" s="1">
        <v>0.78014237262838504</v>
      </c>
      <c r="F25" s="1">
        <v>0.997239037137436</v>
      </c>
    </row>
    <row r="26" spans="1:6" x14ac:dyDescent="0.25">
      <c r="A26" s="1" t="s">
        <v>35</v>
      </c>
      <c r="B26" s="1">
        <v>25.2571105957031</v>
      </c>
      <c r="C26" s="1">
        <v>0.72895863052763499</v>
      </c>
      <c r="D26" s="1">
        <v>0.84323432343222104</v>
      </c>
      <c r="E26" s="1">
        <v>0.76097293343067096</v>
      </c>
      <c r="F26" s="1">
        <v>0.99833613778084696</v>
      </c>
    </row>
    <row r="27" spans="1:6" x14ac:dyDescent="0.25">
      <c r="A27" s="1" t="s">
        <v>36</v>
      </c>
      <c r="B27" s="1">
        <v>27.461290359496999</v>
      </c>
      <c r="C27" s="1">
        <v>0.838546852207673</v>
      </c>
      <c r="D27" s="1">
        <v>0.91218437126121699</v>
      </c>
      <c r="E27" s="1">
        <v>0.91206568001134003</v>
      </c>
      <c r="F27" s="1">
        <v>0.988763283350519</v>
      </c>
    </row>
    <row r="28" spans="1:6" x14ac:dyDescent="0.25">
      <c r="A28" s="1" t="s">
        <v>37</v>
      </c>
      <c r="B28" s="1">
        <v>25.366783142089801</v>
      </c>
      <c r="C28" s="1">
        <v>0.85750078744660696</v>
      </c>
      <c r="D28" s="1">
        <v>0.92328444029933399</v>
      </c>
      <c r="E28" s="1">
        <v>0.96651497547113296</v>
      </c>
      <c r="F28" s="1">
        <v>0.98295985464612101</v>
      </c>
    </row>
    <row r="29" spans="1:6" x14ac:dyDescent="0.25">
      <c r="A29" s="1" t="s">
        <v>38</v>
      </c>
      <c r="B29" s="1">
        <v>27.268171310424801</v>
      </c>
      <c r="C29" s="1">
        <v>0.85758179975797399</v>
      </c>
      <c r="D29" s="1">
        <v>0.92333139770179595</v>
      </c>
      <c r="E29" s="1">
        <v>0.923607688516348</v>
      </c>
      <c r="F29" s="1">
        <v>0.99558967657627195</v>
      </c>
    </row>
    <row r="30" spans="1:6" x14ac:dyDescent="0.25">
      <c r="A30" s="1" t="s">
        <v>39</v>
      </c>
      <c r="B30" s="1">
        <v>25.251388549804599</v>
      </c>
      <c r="C30" s="1">
        <v>0.85352482538295804</v>
      </c>
      <c r="D30" s="1">
        <v>0.920974797525693</v>
      </c>
      <c r="E30" s="1">
        <v>0.93784394800235904</v>
      </c>
      <c r="F30" s="1">
        <v>0.99323171738292004</v>
      </c>
    </row>
    <row r="31" spans="1:6" x14ac:dyDescent="0.25">
      <c r="A31" s="1" t="s">
        <v>40</v>
      </c>
      <c r="B31" s="1">
        <v>26.1726379394531</v>
      </c>
      <c r="C31" s="1">
        <v>0.85462592011968097</v>
      </c>
      <c r="D31" s="1">
        <v>0.921615416724609</v>
      </c>
      <c r="E31" s="1">
        <v>0.89422986053915199</v>
      </c>
      <c r="F31" s="1">
        <v>0.99237589873326604</v>
      </c>
    </row>
    <row r="32" spans="1:6" x14ac:dyDescent="0.25">
      <c r="A32" s="1" t="s">
        <v>41</v>
      </c>
      <c r="B32" s="1">
        <v>25.742769241333001</v>
      </c>
      <c r="C32" s="1">
        <v>0.88967222244855804</v>
      </c>
      <c r="D32" s="1">
        <v>0.94161538903901298</v>
      </c>
      <c r="E32" s="1">
        <v>0.930372958882832</v>
      </c>
      <c r="F32" s="1">
        <v>0.99290469198034104</v>
      </c>
    </row>
    <row r="33" spans="1:6" x14ac:dyDescent="0.25">
      <c r="A33" s="1" t="s">
        <v>42</v>
      </c>
      <c r="B33" s="1">
        <v>26.023149490356399</v>
      </c>
      <c r="C33" s="1">
        <v>0.89001366331696197</v>
      </c>
      <c r="D33" s="1">
        <v>0.94180659176293302</v>
      </c>
      <c r="E33" s="1">
        <v>0.92872594465508196</v>
      </c>
      <c r="F33" s="1">
        <v>0.99316593761171901</v>
      </c>
    </row>
    <row r="34" spans="1:6" x14ac:dyDescent="0.25">
      <c r="A34" s="1" t="s">
        <v>43</v>
      </c>
      <c r="B34" s="1">
        <v>25.691747665405199</v>
      </c>
      <c r="C34" s="1">
        <v>0.85926951216061198</v>
      </c>
      <c r="D34" s="1">
        <v>0.92430872075353498</v>
      </c>
      <c r="E34" s="1">
        <v>0.90036332423166099</v>
      </c>
      <c r="F34" s="1">
        <v>0.99292451022786499</v>
      </c>
    </row>
    <row r="35" spans="1:6" x14ac:dyDescent="0.25">
      <c r="A35" s="1" t="s">
        <v>44</v>
      </c>
      <c r="B35" s="1">
        <v>25.1986980438232</v>
      </c>
      <c r="C35" s="1">
        <v>0.93409962983974404</v>
      </c>
      <c r="D35" s="1">
        <v>0.96592710678212701</v>
      </c>
      <c r="E35" s="1">
        <v>0.99286035833249298</v>
      </c>
      <c r="F35" s="1">
        <v>0.99254724769760405</v>
      </c>
    </row>
    <row r="36" spans="1:6" x14ac:dyDescent="0.25">
      <c r="A36" s="1" t="s">
        <v>45</v>
      </c>
      <c r="B36" s="1">
        <v>26.6058444976806</v>
      </c>
      <c r="C36" s="1">
        <v>0.90166188481379095</v>
      </c>
      <c r="D36" s="1">
        <v>0.94828832823988696</v>
      </c>
      <c r="E36" s="1">
        <v>0.946900780700903</v>
      </c>
      <c r="F36" s="1">
        <v>0.99448287542539104</v>
      </c>
    </row>
    <row r="37" spans="1:6" x14ac:dyDescent="0.25">
      <c r="A37" s="1" t="s">
        <v>46</v>
      </c>
      <c r="B37" s="1">
        <v>25.6471633911132</v>
      </c>
      <c r="C37" s="1">
        <v>0.91380266959172196</v>
      </c>
      <c r="D37" s="1">
        <v>0.95496017861305005</v>
      </c>
      <c r="E37" s="1">
        <v>0.96088385193126502</v>
      </c>
      <c r="F37" s="1">
        <v>0.99145817027179695</v>
      </c>
    </row>
    <row r="38" spans="1:6" x14ac:dyDescent="0.25">
      <c r="A38" s="1" t="s">
        <v>47</v>
      </c>
      <c r="B38" s="1">
        <v>26.6308784484863</v>
      </c>
      <c r="C38" s="1">
        <v>0.85395126644771202</v>
      </c>
      <c r="D38" s="1">
        <v>0.921222992105868</v>
      </c>
      <c r="E38" s="1">
        <v>0.90605186803731497</v>
      </c>
      <c r="F38" s="1">
        <v>0.99272820810580098</v>
      </c>
    </row>
    <row r="39" spans="1:6" x14ac:dyDescent="0.25">
      <c r="A39" s="1" t="s">
        <v>48</v>
      </c>
      <c r="B39" s="1">
        <v>25.586366653442301</v>
      </c>
      <c r="C39" s="1">
        <v>0.76304766664250501</v>
      </c>
      <c r="D39" s="1">
        <v>0.86560072206740701</v>
      </c>
      <c r="E39" s="1">
        <v>0.80805253225812002</v>
      </c>
      <c r="F39" s="1">
        <v>0.99064056337840301</v>
      </c>
    </row>
    <row r="40" spans="1:6" x14ac:dyDescent="0.25">
      <c r="A40" s="1" t="s">
        <v>49</v>
      </c>
      <c r="B40" s="1">
        <v>35.690784454345703</v>
      </c>
      <c r="C40" s="1">
        <v>0.790934024646754</v>
      </c>
      <c r="D40" s="1">
        <v>0.88326427859648105</v>
      </c>
      <c r="E40" s="1">
        <v>0.83452424605801201</v>
      </c>
      <c r="F40" s="1">
        <v>0.99413194213614797</v>
      </c>
    </row>
    <row r="41" spans="1:6" x14ac:dyDescent="0.25">
      <c r="A41" s="1" t="s">
        <v>50</v>
      </c>
      <c r="B41" s="1">
        <v>26.572227478027301</v>
      </c>
      <c r="C41" s="1">
        <v>0.80051257599232695</v>
      </c>
      <c r="D41" s="1">
        <v>0.88920520374720002</v>
      </c>
      <c r="E41" s="1">
        <v>0.84817953222412501</v>
      </c>
      <c r="F41" s="1">
        <v>0.98813801621700803</v>
      </c>
    </row>
    <row r="42" spans="1:6" x14ac:dyDescent="0.25">
      <c r="A42" s="1" t="s">
        <v>51</v>
      </c>
      <c r="B42" s="1">
        <v>25.470972061157202</v>
      </c>
      <c r="C42" s="1">
        <v>0.94245539706594506</v>
      </c>
      <c r="D42" s="1">
        <v>0.97037532855530395</v>
      </c>
      <c r="E42" s="1">
        <v>0.99535132962683304</v>
      </c>
      <c r="F42" s="1">
        <v>0.99068260820249598</v>
      </c>
    </row>
    <row r="43" spans="1:6" x14ac:dyDescent="0.25">
      <c r="A43" s="1" t="s">
        <v>52</v>
      </c>
      <c r="B43" s="1">
        <v>26.088476181030199</v>
      </c>
      <c r="C43" s="1">
        <v>0.93207956600355502</v>
      </c>
      <c r="D43" s="1">
        <v>0.96484594361870102</v>
      </c>
      <c r="E43" s="1">
        <v>0.99117531886321097</v>
      </c>
      <c r="F43" s="1">
        <v>0.98998749955827703</v>
      </c>
    </row>
    <row r="44" spans="1:6" x14ac:dyDescent="0.25">
      <c r="A44" s="1" t="s">
        <v>53</v>
      </c>
      <c r="B44" s="1">
        <v>25.7186889648437</v>
      </c>
      <c r="C44" s="1">
        <v>0.915768295569371</v>
      </c>
      <c r="D44" s="1">
        <v>0.95603241549333895</v>
      </c>
      <c r="E44" s="1">
        <v>0.99438070982955196</v>
      </c>
      <c r="F44" s="1">
        <v>0.99236950376850697</v>
      </c>
    </row>
    <row r="45" spans="1:6" x14ac:dyDescent="0.25">
      <c r="A45" s="1" t="s">
        <v>54</v>
      </c>
      <c r="B45" s="1">
        <v>25.45166015625</v>
      </c>
      <c r="C45" s="1">
        <v>0.77593997226973499</v>
      </c>
      <c r="D45" s="1">
        <v>0.87383581020257906</v>
      </c>
      <c r="E45" s="1">
        <v>0.81599080554404901</v>
      </c>
      <c r="F45" s="1">
        <v>0.993542807601836</v>
      </c>
    </row>
    <row r="46" spans="1:6" x14ac:dyDescent="0.25">
      <c r="A46" s="1" t="s">
        <v>55</v>
      </c>
      <c r="B46" s="1">
        <v>28.6204814910888</v>
      </c>
      <c r="C46" s="1">
        <v>0.88861488162181201</v>
      </c>
      <c r="D46" s="1">
        <v>0.94102285253490203</v>
      </c>
      <c r="E46" s="1">
        <v>0.93768613805908196</v>
      </c>
      <c r="F46" s="1">
        <v>0.99179449767997097</v>
      </c>
    </row>
    <row r="47" spans="1:6" x14ac:dyDescent="0.25">
      <c r="A47" s="1" t="s">
        <v>56</v>
      </c>
      <c r="B47" s="1">
        <v>25.608777999877901</v>
      </c>
      <c r="C47" s="1">
        <v>0.16667147500624199</v>
      </c>
      <c r="D47" s="1">
        <v>0.28572135100046198</v>
      </c>
      <c r="E47" s="1">
        <v>0.16822615869933599</v>
      </c>
      <c r="F47" s="1">
        <v>0.99771876476214305</v>
      </c>
    </row>
    <row r="48" spans="1:6" x14ac:dyDescent="0.25">
      <c r="A48" s="1" t="s">
        <v>57</v>
      </c>
      <c r="B48" s="1">
        <v>27.867794036865199</v>
      </c>
      <c r="C48" s="1">
        <v>0.60171448336459399</v>
      </c>
      <c r="D48" s="1">
        <v>0.75133800638503301</v>
      </c>
      <c r="E48" s="1">
        <v>0.66473200454397696</v>
      </c>
      <c r="F48" s="1">
        <v>0.98934484620895702</v>
      </c>
    </row>
    <row r="49" spans="1:6" x14ac:dyDescent="0.25">
      <c r="A49" s="1" t="s">
        <v>58</v>
      </c>
      <c r="B49" s="1">
        <v>26.4337062835693</v>
      </c>
      <c r="C49" s="1">
        <v>0.68522525037500603</v>
      </c>
      <c r="D49" s="1">
        <v>0.81321502893755704</v>
      </c>
      <c r="E49" s="1">
        <v>0.95850926219682198</v>
      </c>
      <c r="F49" s="1">
        <v>0.98378230314914705</v>
      </c>
    </row>
    <row r="50" spans="1:6" x14ac:dyDescent="0.25">
      <c r="A50" s="1" t="s">
        <v>59</v>
      </c>
      <c r="B50" s="1">
        <v>26.859045028686499</v>
      </c>
      <c r="C50" s="1">
        <v>0.86617843708201103</v>
      </c>
      <c r="D50" s="1">
        <v>0.92829112143893699</v>
      </c>
      <c r="E50" s="1">
        <v>0.932123836677479</v>
      </c>
      <c r="F50" s="1">
        <v>0.99418919751184498</v>
      </c>
    </row>
    <row r="51" spans="1:6" x14ac:dyDescent="0.25">
      <c r="A51" s="1" t="s">
        <v>60</v>
      </c>
      <c r="B51" s="1">
        <v>26.899814605712798</v>
      </c>
      <c r="C51" s="1">
        <v>0.86675923482082695</v>
      </c>
      <c r="D51" s="1">
        <v>0.92862455816806899</v>
      </c>
      <c r="E51" s="1">
        <v>0.95611336852353102</v>
      </c>
      <c r="F51" s="1">
        <v>0.99160046081950104</v>
      </c>
    </row>
    <row r="52" spans="1:6" x14ac:dyDescent="0.25">
      <c r="A52" s="1" t="s">
        <v>61</v>
      </c>
      <c r="B52" s="1">
        <v>26.768445968627901</v>
      </c>
      <c r="C52" s="1">
        <v>0.88015898611478705</v>
      </c>
      <c r="D52" s="1">
        <v>0.93626017013972995</v>
      </c>
      <c r="E52" s="1">
        <v>0.93146262268458602</v>
      </c>
      <c r="F52" s="1">
        <v>0.99327886079933503</v>
      </c>
    </row>
    <row r="53" spans="1:6" x14ac:dyDescent="0.25">
      <c r="A53" s="1" t="s">
        <v>62</v>
      </c>
      <c r="B53" s="1">
        <v>28.8865566253662</v>
      </c>
      <c r="C53" s="1">
        <v>0.91827865076232196</v>
      </c>
      <c r="D53" s="1">
        <v>0.95739860358389395</v>
      </c>
      <c r="E53" s="1">
        <v>0.96493438320204294</v>
      </c>
      <c r="F53" s="1">
        <v>0.99006870164604599</v>
      </c>
    </row>
    <row r="54" spans="1:6" x14ac:dyDescent="0.25">
      <c r="A54" s="1" t="s">
        <v>63</v>
      </c>
      <c r="B54" s="1">
        <v>26.47066116333</v>
      </c>
      <c r="C54" s="1">
        <v>0.94127097465180498</v>
      </c>
      <c r="D54" s="1">
        <v>0.969747126436725</v>
      </c>
      <c r="E54" s="1">
        <v>0.99564534972904395</v>
      </c>
      <c r="F54" s="1">
        <v>0.994921350972506</v>
      </c>
    </row>
    <row r="55" spans="1:6" x14ac:dyDescent="0.25">
      <c r="A55" s="1" t="s">
        <v>64</v>
      </c>
      <c r="B55" s="1">
        <v>31.2275886535644</v>
      </c>
      <c r="C55" s="1">
        <v>0.89765970422311903</v>
      </c>
      <c r="D55" s="1">
        <v>0.94607025930458999</v>
      </c>
      <c r="E55" s="1">
        <v>0.94794570172163095</v>
      </c>
      <c r="F55" s="1">
        <v>0.99413505492524701</v>
      </c>
    </row>
    <row r="56" spans="1:6" x14ac:dyDescent="0.25">
      <c r="A56" s="1" t="s">
        <v>65</v>
      </c>
      <c r="B56" s="1">
        <v>25.521993637084901</v>
      </c>
      <c r="C56" s="1">
        <v>0.853932678798208</v>
      </c>
      <c r="D56" s="1">
        <v>0.92121217621748896</v>
      </c>
      <c r="E56" s="1">
        <v>0.89750822339326397</v>
      </c>
      <c r="F56" s="1">
        <v>0.99383100085088505</v>
      </c>
    </row>
    <row r="57" spans="1:6" x14ac:dyDescent="0.25">
      <c r="A57" s="1" t="s">
        <v>66</v>
      </c>
      <c r="B57" s="1">
        <v>25.525569915771399</v>
      </c>
      <c r="C57" s="1">
        <v>0.89995137165462902</v>
      </c>
      <c r="D57" s="1">
        <v>0.94734147945152902</v>
      </c>
      <c r="E57" s="1">
        <v>0.94679415370765396</v>
      </c>
      <c r="F57" s="1">
        <v>0.99369015349574696</v>
      </c>
    </row>
    <row r="58" spans="1:6" x14ac:dyDescent="0.25">
      <c r="A58" s="1" t="s">
        <v>67</v>
      </c>
      <c r="B58" s="1">
        <v>27.599573135375898</v>
      </c>
      <c r="C58" s="1">
        <v>0.88680489935630102</v>
      </c>
      <c r="D58" s="1">
        <v>0.94000699241224295</v>
      </c>
      <c r="E58" s="1">
        <v>0.94756393770529601</v>
      </c>
      <c r="F58" s="1">
        <v>0.99237699384583999</v>
      </c>
    </row>
    <row r="59" spans="1:6" x14ac:dyDescent="0.25">
      <c r="A59" s="1" t="s">
        <v>68</v>
      </c>
      <c r="B59" s="1">
        <v>25.576353073120099</v>
      </c>
      <c r="C59" s="1">
        <v>0.89929989540824595</v>
      </c>
      <c r="D59" s="1">
        <v>0.94698040849936005</v>
      </c>
      <c r="E59" s="1">
        <v>0.95800208785022101</v>
      </c>
      <c r="F59" s="1">
        <v>0.99314717709640699</v>
      </c>
    </row>
    <row r="60" spans="1:6" x14ac:dyDescent="0.25">
      <c r="A60" s="1" t="s">
        <v>69</v>
      </c>
      <c r="B60" s="1">
        <v>25.321006774902301</v>
      </c>
      <c r="C60" s="1">
        <v>0.91425683857241702</v>
      </c>
      <c r="D60" s="1">
        <v>0.95520812061377902</v>
      </c>
      <c r="E60" s="1">
        <v>0.98034003660035096</v>
      </c>
      <c r="F60" s="1">
        <v>0.99256386712565603</v>
      </c>
    </row>
    <row r="61" spans="1:6" x14ac:dyDescent="0.25">
      <c r="A61" s="1" t="s">
        <v>70</v>
      </c>
      <c r="B61" s="1">
        <v>26.7906188964843</v>
      </c>
      <c r="C61" s="1">
        <v>0.87947072050421005</v>
      </c>
      <c r="D61" s="1">
        <v>0.93587062667118603</v>
      </c>
      <c r="E61" s="1">
        <v>0.92569030039436295</v>
      </c>
      <c r="F61" s="1">
        <v>0.99452883313361196</v>
      </c>
    </row>
    <row r="62" spans="1:6" x14ac:dyDescent="0.25">
      <c r="A62" s="1" t="s">
        <v>71</v>
      </c>
      <c r="B62" s="1">
        <v>25.282382965087798</v>
      </c>
      <c r="C62" s="1">
        <v>0.92405291023414404</v>
      </c>
      <c r="D62" s="1">
        <v>0.960527546117942</v>
      </c>
      <c r="E62" s="1">
        <v>0.96047195013348496</v>
      </c>
      <c r="F62" s="1">
        <v>0.99527276145067201</v>
      </c>
    </row>
    <row r="63" spans="1:6" x14ac:dyDescent="0.25">
      <c r="A63" s="1" t="s">
        <v>72</v>
      </c>
      <c r="B63" s="1">
        <v>25.665521621704102</v>
      </c>
      <c r="C63" s="1">
        <v>0.92435285876301498</v>
      </c>
      <c r="D63" s="1">
        <v>0.96068956849960896</v>
      </c>
      <c r="E63" s="1">
        <v>0.97075669994736602</v>
      </c>
      <c r="F63" s="1">
        <v>0.99386555593130699</v>
      </c>
    </row>
    <row r="64" spans="1:6" x14ac:dyDescent="0.25">
      <c r="A64" s="1" t="s">
        <v>73</v>
      </c>
      <c r="B64" s="1">
        <v>28.153896331787099</v>
      </c>
      <c r="C64" s="1">
        <v>0.83792091658504397</v>
      </c>
      <c r="D64" s="1">
        <v>0.91181389691341697</v>
      </c>
      <c r="E64" s="1">
        <v>0.88865508861346498</v>
      </c>
      <c r="F64" s="1">
        <v>0.99583525296301401</v>
      </c>
    </row>
    <row r="65" spans="1:6" x14ac:dyDescent="0.25">
      <c r="A65" s="1" t="s">
        <v>74</v>
      </c>
      <c r="B65" s="1">
        <v>27.323961257934499</v>
      </c>
      <c r="C65" s="1">
        <v>0.86100002836143097</v>
      </c>
      <c r="D65" s="1">
        <v>0.92530899004823997</v>
      </c>
      <c r="E65" s="1">
        <v>0.90606019907165902</v>
      </c>
      <c r="F65" s="1">
        <v>0.99642713421932305</v>
      </c>
    </row>
    <row r="66" spans="1:6" x14ac:dyDescent="0.25">
      <c r="A66" s="1" t="s">
        <v>75</v>
      </c>
      <c r="B66" s="1">
        <v>25.559902191162099</v>
      </c>
      <c r="C66" s="1">
        <v>0.91220447817196204</v>
      </c>
      <c r="D66" s="1">
        <v>0.95408675022455303</v>
      </c>
      <c r="E66" s="1">
        <v>0.96360929544204699</v>
      </c>
      <c r="F66" s="1">
        <v>0.99315871314933402</v>
      </c>
    </row>
    <row r="67" spans="1:6" x14ac:dyDescent="0.25">
      <c r="A67" s="1" t="s">
        <v>76</v>
      </c>
      <c r="B67" s="1">
        <v>26.527166366577099</v>
      </c>
      <c r="C67" s="1">
        <v>0.90924343739557101</v>
      </c>
      <c r="D67" s="1">
        <v>0.95246464603370196</v>
      </c>
      <c r="E67" s="1">
        <v>0.96344241922112595</v>
      </c>
      <c r="F67" s="1">
        <v>0.99259464953510401</v>
      </c>
    </row>
    <row r="68" spans="1:6" x14ac:dyDescent="0.25">
      <c r="A68" s="1" t="s">
        <v>77</v>
      </c>
      <c r="B68" s="1">
        <v>25.967836380004801</v>
      </c>
      <c r="C68" s="1">
        <v>0.88886011560685396</v>
      </c>
      <c r="D68" s="1">
        <v>0.94116034137475602</v>
      </c>
      <c r="E68" s="1">
        <v>0.94740888972122705</v>
      </c>
      <c r="F68" s="1">
        <v>0.99294502461638401</v>
      </c>
    </row>
    <row r="69" spans="1:6" x14ac:dyDescent="0.25">
      <c r="A69" s="1" t="s">
        <v>78</v>
      </c>
      <c r="B69" s="1">
        <v>25.370597839355401</v>
      </c>
      <c r="C69" s="1">
        <v>0.93369300927703702</v>
      </c>
      <c r="D69" s="1">
        <v>0.96570966001074099</v>
      </c>
      <c r="E69" s="1">
        <v>0.99166528124123099</v>
      </c>
      <c r="F69" s="1">
        <v>0.99415454254233504</v>
      </c>
    </row>
    <row r="70" spans="1:6" x14ac:dyDescent="0.25">
      <c r="A70" s="1" t="s">
        <v>79</v>
      </c>
      <c r="B70" s="1">
        <v>26.149034500121999</v>
      </c>
      <c r="C70" s="1">
        <v>0.94330868383798305</v>
      </c>
      <c r="D70" s="1">
        <v>0.97082742611428396</v>
      </c>
      <c r="E70" s="1">
        <v>0.986730533232968</v>
      </c>
      <c r="F70" s="1">
        <v>0.99369599607923198</v>
      </c>
    </row>
    <row r="71" spans="1:6" x14ac:dyDescent="0.25">
      <c r="A71" s="1" t="s">
        <v>80</v>
      </c>
      <c r="B71" s="1">
        <v>25.7568359375</v>
      </c>
      <c r="C71" s="1">
        <v>0.88924003536747298</v>
      </c>
      <c r="D71" s="1">
        <v>0.94137327043729302</v>
      </c>
      <c r="E71" s="1">
        <v>0.93272912591931001</v>
      </c>
      <c r="F71" s="1">
        <v>0.99433207083739705</v>
      </c>
    </row>
    <row r="72" spans="1:6" x14ac:dyDescent="0.25">
      <c r="A72" s="1" t="s">
        <v>81</v>
      </c>
      <c r="B72" s="1">
        <v>25.739669799804599</v>
      </c>
      <c r="C72" s="1">
        <v>0.93441812597741203</v>
      </c>
      <c r="D72" s="1">
        <v>0.96609736377989597</v>
      </c>
      <c r="E72" s="1">
        <v>0.978156678118422</v>
      </c>
      <c r="F72" s="1">
        <v>0.99407107192396804</v>
      </c>
    </row>
    <row r="73" spans="1:6" x14ac:dyDescent="0.25">
      <c r="A73" s="1" t="s">
        <v>82</v>
      </c>
      <c r="B73" s="1">
        <v>25.442123413085898</v>
      </c>
      <c r="C73" s="1">
        <v>0.91821224590056205</v>
      </c>
      <c r="D73" s="1">
        <v>0.95736251070535705</v>
      </c>
      <c r="E73" s="1">
        <v>0.96735842647550496</v>
      </c>
      <c r="F73" s="1">
        <v>0.99284486393563798</v>
      </c>
    </row>
    <row r="74" spans="1:6" x14ac:dyDescent="0.25">
      <c r="A74" s="1" t="s">
        <v>83</v>
      </c>
      <c r="B74" s="1">
        <v>25.8107185363769</v>
      </c>
      <c r="C74" s="1">
        <v>0.91127804941222401</v>
      </c>
      <c r="D74" s="1">
        <v>0.95357977840269703</v>
      </c>
      <c r="E74" s="1">
        <v>0.95328099992370496</v>
      </c>
      <c r="F74" s="1">
        <v>0.99415037501866199</v>
      </c>
    </row>
    <row r="75" spans="1:6" x14ac:dyDescent="0.25">
      <c r="A75" s="1" t="s">
        <v>84</v>
      </c>
      <c r="B75" s="1">
        <v>25.469779968261701</v>
      </c>
      <c r="C75" s="1">
        <v>0.91534056218063997</v>
      </c>
      <c r="D75" s="1">
        <v>0.95579927690615196</v>
      </c>
      <c r="E75" s="1">
        <v>0.95058270193905303</v>
      </c>
      <c r="F75" s="1">
        <v>0.99480835165975801</v>
      </c>
    </row>
    <row r="76" spans="1:6" x14ac:dyDescent="0.25">
      <c r="A76" s="1" t="s">
        <v>85</v>
      </c>
      <c r="B76" s="1">
        <v>25.8564949035644</v>
      </c>
      <c r="C76" s="1">
        <v>0.87577065099020901</v>
      </c>
      <c r="D76" s="1">
        <v>0.93377156799835204</v>
      </c>
      <c r="E76" s="1">
        <v>0.94754838995429402</v>
      </c>
      <c r="F76" s="1">
        <v>0.99011212034741103</v>
      </c>
    </row>
    <row r="77" spans="1:6" x14ac:dyDescent="0.25">
      <c r="A77" s="1" t="s">
        <v>86</v>
      </c>
      <c r="B77" s="1">
        <v>25.169134140014599</v>
      </c>
      <c r="C77" s="1">
        <v>0.65703243616281004</v>
      </c>
      <c r="D77" s="1">
        <v>0.79302302335650099</v>
      </c>
      <c r="E77" s="1">
        <v>0.67744781783674701</v>
      </c>
      <c r="F77" s="1">
        <v>0.99652768942380798</v>
      </c>
    </row>
    <row r="78" spans="1:6" x14ac:dyDescent="0.25">
      <c r="A78" s="2"/>
      <c r="B78" s="2">
        <f>AVERAGE(B4:B77)</f>
        <v>26.779203801541691</v>
      </c>
      <c r="C78" s="2">
        <f>SUBTOTAL(101,results_yolo__3[Column3])</f>
        <v>0.84591578191830397</v>
      </c>
      <c r="D78" s="2">
        <f>SUBTOTAL(101,results_yolo__3[Column4])</f>
        <v>0.91056628484199209</v>
      </c>
      <c r="E78" s="2">
        <f>SUBTOTAL(101,results_yolo__3[Column5])</f>
        <v>0.91411471541870359</v>
      </c>
      <c r="F78" s="2">
        <f>SUBTOTAL(101,results_yolo__3[Column6])</f>
        <v>0.9924019661794663</v>
      </c>
    </row>
    <row r="79" spans="1:6" x14ac:dyDescent="0.25">
      <c r="A79" s="2"/>
      <c r="B79" s="2">
        <f>STDEVA(B4:B77)</f>
        <v>1.8863508848546766</v>
      </c>
      <c r="C79" s="2">
        <f>STDEVA(C3:C77)</f>
        <v>0.12001045604879275</v>
      </c>
      <c r="D79" s="2">
        <f>STDEVA(D3:D77)</f>
        <v>9.4355341365992829E-2</v>
      </c>
      <c r="E79" s="2">
        <f>STDEVA(E3:E77)</f>
        <v>0.10985159050642562</v>
      </c>
      <c r="F79" s="2">
        <f>STDEVA(F3:F77)</f>
        <v>5.748409299768561E-3</v>
      </c>
    </row>
    <row r="80" spans="1:6" x14ac:dyDescent="0.25">
      <c r="A80" s="2"/>
      <c r="B80" s="2"/>
      <c r="C80" s="2"/>
      <c r="D80" s="2"/>
      <c r="E80" s="2"/>
      <c r="F80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8FC62-F07D-4AEF-A833-6D5A98433D7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630AE7-51D1-4534-8FFD-B7B7C53CB6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results_yolo1</vt:lpstr>
      <vt:lpstr>results_yolo (2)</vt:lpstr>
      <vt:lpstr>results_yolo (4)</vt:lpstr>
      <vt:lpstr>results_yolo (3)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De Zen</dc:creator>
  <cp:lastModifiedBy>Marco De Zen</cp:lastModifiedBy>
  <dcterms:created xsi:type="dcterms:W3CDTF">2025-10-22T12:17:32Z</dcterms:created>
  <dcterms:modified xsi:type="dcterms:W3CDTF">2025-10-22T16:48:57Z</dcterms:modified>
</cp:coreProperties>
</file>