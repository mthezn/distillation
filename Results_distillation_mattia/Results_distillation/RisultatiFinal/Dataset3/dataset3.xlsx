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Results_distillation_mattia\Results_distillation\Dataset3\"/>
    </mc:Choice>
  </mc:AlternateContent>
  <xr:revisionPtr revIDLastSave="0" documentId="8_{F45FE150-2687-4D2D-81EB-BEBB7479E2A8}" xr6:coauthVersionLast="47" xr6:coauthVersionMax="47" xr10:uidLastSave="{00000000-0000-0000-0000-000000000000}"/>
  <bookViews>
    <workbookView xWindow="-120" yWindow="-16320" windowWidth="29040" windowHeight="15720" activeTab="1" xr2:uid="{3C7F9868-C9E4-4275-8D7C-606773F1E26A}"/>
  </bookViews>
  <sheets>
    <sheet name="Sam_test3" sheetId="7" r:id="rId1"/>
    <sheet name="MobSam_test3" sheetId="6" r:id="rId2"/>
    <sheet name="FastSAM_test3" sheetId="5" r:id="rId3"/>
    <sheet name="Edgesam_test3" sheetId="4" r:id="rId4"/>
    <sheet name="CMTUnet_test3" sheetId="3" r:id="rId5"/>
    <sheet name="CMTSam_test3" sheetId="2" r:id="rId6"/>
    <sheet name="Foglio1" sheetId="1" r:id="rId7"/>
  </sheets>
  <definedNames>
    <definedName name="DatiEsterni_1" localSheetId="5" hidden="1">'CMTSam_test3'!$A$1:$F$77</definedName>
    <definedName name="DatiEsterni_2" localSheetId="4" hidden="1">'CMTUnet_test3'!$A$1:$F$77</definedName>
    <definedName name="DatiEsterni_3" localSheetId="3" hidden="1">Edgesam_test3!$A$1:$F$77</definedName>
    <definedName name="DatiEsterni_4" localSheetId="2" hidden="1">FastSAM_test3!$A$1:$F$77</definedName>
    <definedName name="DatiEsterni_5" localSheetId="1" hidden="1">MobSam_test3!$A$1:$F$77</definedName>
    <definedName name="DatiEsterni_6" localSheetId="0" hidden="1">Sam_test3!$A$1:$F$77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9" i="7" l="1"/>
  <c r="F79" i="2"/>
  <c r="E79" i="2"/>
  <c r="D79" i="2"/>
  <c r="C79" i="2"/>
  <c r="F78" i="2"/>
  <c r="E78" i="2"/>
  <c r="D78" i="2"/>
  <c r="C78" i="2"/>
  <c r="A79" i="2"/>
  <c r="A78" i="2"/>
  <c r="F79" i="3"/>
  <c r="E79" i="3"/>
  <c r="D79" i="3"/>
  <c r="C79" i="3"/>
  <c r="F78" i="3"/>
  <c r="E78" i="3"/>
  <c r="D78" i="3"/>
  <c r="C78" i="3"/>
  <c r="A79" i="3"/>
  <c r="A78" i="3"/>
  <c r="F79" i="4"/>
  <c r="E79" i="4"/>
  <c r="D79" i="4"/>
  <c r="C79" i="4"/>
  <c r="F78" i="4"/>
  <c r="E78" i="4"/>
  <c r="D78" i="4"/>
  <c r="C78" i="4"/>
  <c r="A79" i="4"/>
  <c r="A78" i="4"/>
  <c r="F79" i="5"/>
  <c r="E79" i="5"/>
  <c r="D79" i="5"/>
  <c r="C79" i="5"/>
  <c r="F78" i="5"/>
  <c r="E78" i="5"/>
  <c r="D78" i="5"/>
  <c r="C78" i="5"/>
  <c r="A79" i="5"/>
  <c r="A78" i="5"/>
  <c r="F79" i="6"/>
  <c r="E79" i="6"/>
  <c r="D79" i="6"/>
  <c r="C79" i="6"/>
  <c r="F78" i="6"/>
  <c r="E78" i="6"/>
  <c r="D78" i="6"/>
  <c r="C78" i="6"/>
  <c r="A79" i="6"/>
  <c r="A78" i="6"/>
  <c r="F79" i="7"/>
  <c r="E79" i="7"/>
  <c r="D79" i="7"/>
  <c r="C79" i="7"/>
  <c r="F78" i="7"/>
  <c r="E78" i="7"/>
  <c r="D78" i="7"/>
  <c r="C78" i="7"/>
  <c r="A7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B91F43-BE2B-4E36-B72E-A3DB091DC0E7}" keepAlive="1" name="Query - CMTSam_test3" description="Connessione alla query 'CMTSam_test3' nella cartella di lavoro." type="5" refreshedVersion="8" background="1" saveData="1">
    <dbPr connection="Provider=Microsoft.Mashup.OleDb.1;Data Source=$Workbook$;Location=CMTSam_test3;Extended Properties=&quot;&quot;" command="SELECT * FROM [CMTSam_test3]"/>
  </connection>
  <connection id="2" xr16:uid="{15F82F19-A1EC-4F4A-88A6-D8DB627D1170}" keepAlive="1" name="Query - CMTUnet_test3" description="Connessione alla query 'CMTUnet_test3' nella cartella di lavoro." type="5" refreshedVersion="8" background="1" saveData="1">
    <dbPr connection="Provider=Microsoft.Mashup.OleDb.1;Data Source=$Workbook$;Location=CMTUnet_test3;Extended Properties=&quot;&quot;" command="SELECT * FROM [CMTUnet_test3]"/>
  </connection>
  <connection id="3" xr16:uid="{55356323-68D4-47DB-B210-5E74A1552DAD}" keepAlive="1" name="Query - Edgesam_test3" description="Connessione alla query 'Edgesam_test3' nella cartella di lavoro." type="5" refreshedVersion="8" background="1" saveData="1">
    <dbPr connection="Provider=Microsoft.Mashup.OleDb.1;Data Source=$Workbook$;Location=Edgesam_test3;Extended Properties=&quot;&quot;" command="SELECT * FROM [Edgesam_test3]"/>
  </connection>
  <connection id="4" xr16:uid="{09DAB90A-19E0-4347-973B-08C45E5680AC}" keepAlive="1" name="Query - FastSAM_test3" description="Connessione alla query 'FastSAM_test3' nella cartella di lavoro." type="5" refreshedVersion="8" background="1" saveData="1">
    <dbPr connection="Provider=Microsoft.Mashup.OleDb.1;Data Source=$Workbook$;Location=FastSAM_test3;Extended Properties=&quot;&quot;" command="SELECT * FROM [FastSAM_test3]"/>
  </connection>
  <connection id="5" xr16:uid="{0803523A-99AE-433A-92CB-9D60A65DB18A}" keepAlive="1" name="Query - MobSam_test3" description="Connessione alla query 'MobSam_test3' nella cartella di lavoro." type="5" refreshedVersion="8" background="1" saveData="1">
    <dbPr connection="Provider=Microsoft.Mashup.OleDb.1;Data Source=$Workbook$;Location=MobSam_test3;Extended Properties=&quot;&quot;" command="SELECT * FROM [MobSam_test3]"/>
  </connection>
  <connection id="6" xr16:uid="{107CBA87-CFFD-4B38-9437-E5B2D8138E8A}" keepAlive="1" name="Query - Sam_test3" description="Connessione alla query 'Sam_test3' nella cartella di lavoro." type="5" refreshedVersion="8" background="1" saveData="1">
    <dbPr connection="Provider=Microsoft.Mashup.OleDb.1;Data Source=$Workbook$;Location=Sam_test3;Extended Properties=&quot;&quot;" command="SELECT * FROM [Sam_test3]"/>
  </connection>
</connections>
</file>

<file path=xl/sharedStrings.xml><?xml version="1.0" encoding="utf-8"?>
<sst xmlns="http://schemas.openxmlformats.org/spreadsheetml/2006/main" count="522" uniqueCount="87">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</sst>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78"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6" xr16:uid="{C7D84791-6A09-4E61-A99F-A7263A64A8F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5" xr16:uid="{B245935C-02BC-4F66-831D-A81BBED4D42C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4" xr16:uid="{9218EB1E-4A03-469B-9E25-24AA2C26847A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7BD562FF-9463-443D-80F2-3BF37AD972C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56D542D4-3D0D-4F16-8D24-CB165FDDDD5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9889F837-1D60-4F8F-865C-910985120C9F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B7B57EE-846E-474C-A59E-6B799357C19B}" name="Sam_test3" displayName="Sam_test3" ref="A1:F78" tableType="queryTable" totalsRowCount="1" totalsRowDxfId="77">
  <autoFilter ref="A1:F77" xr:uid="{6B7B57EE-846E-474C-A59E-6B799357C19B}"/>
  <tableColumns count="6">
    <tableColumn id="1" xr3:uid="{FA094A33-F0BA-43C8-BE09-6F69F9B13615}" uniqueName="1" name="Column1" totalsRowFunction="custom" queryTableFieldId="1" dataDxfId="76" totalsRowDxfId="75">
      <totalsRowFormula>AVERAGE(A4:A77)</totalsRowFormula>
    </tableColumn>
    <tableColumn id="2" xr3:uid="{D6CC5220-87F0-414A-B6BE-B587B7C5EB36}" uniqueName="2" name="Column2" queryTableFieldId="2" dataDxfId="74" totalsRowDxfId="73"/>
    <tableColumn id="3" xr3:uid="{09726B8F-1C58-459F-8A31-DA0875629696}" uniqueName="3" name="Column3" totalsRowFunction="average" queryTableFieldId="3" dataDxfId="72" totalsRowDxfId="71"/>
    <tableColumn id="4" xr3:uid="{D6F2F5BA-6F75-4CCE-BBE2-7879A2B888AD}" uniqueName="4" name="Column4" totalsRowFunction="average" queryTableFieldId="4" dataDxfId="70" totalsRowDxfId="69"/>
    <tableColumn id="5" xr3:uid="{2B0E00DC-A2AD-4012-998D-0C65226AC3B0}" uniqueName="5" name="Column5" totalsRowFunction="average" queryTableFieldId="5" dataDxfId="68" totalsRowDxfId="67"/>
    <tableColumn id="6" xr3:uid="{CD9C14A3-6B2D-4F65-920C-927BD9BEBCBF}" uniqueName="6" name="Column6" totalsRowFunction="average" queryTableFieldId="6" dataDxfId="66" totalsRowDxfId="6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336223-CDA7-4A4C-97F0-DA3E5C5FBF96}" name="MobSam_test3" displayName="MobSam_test3" ref="A1:F78" tableType="queryTable" totalsRowCount="1" totalsRowDxfId="64">
  <autoFilter ref="A1:F77" xr:uid="{58336223-CDA7-4A4C-97F0-DA3E5C5FBF96}"/>
  <tableColumns count="6">
    <tableColumn id="1" xr3:uid="{AF65E6ED-7259-4919-9593-EEC3ECBF7C66}" uniqueName="1" name="Column1" totalsRowFunction="custom" queryTableFieldId="1" dataDxfId="63" totalsRowDxfId="62">
      <totalsRowFormula>AVERAGE(A4:A77)</totalsRowFormula>
    </tableColumn>
    <tableColumn id="2" xr3:uid="{3AF7D971-65B6-48C9-82B6-B50D84C960F2}" uniqueName="2" name="Column2" queryTableFieldId="2" dataDxfId="61" totalsRowDxfId="60"/>
    <tableColumn id="3" xr3:uid="{C3600777-3239-4A05-B023-B2B2118B7980}" uniqueName="3" name="Column3" totalsRowFunction="average" queryTableFieldId="3" dataDxfId="59" totalsRowDxfId="58"/>
    <tableColumn id="4" xr3:uid="{8B1B3598-94BC-42E5-8CF6-95B7F90D6481}" uniqueName="4" name="Column4" totalsRowFunction="average" queryTableFieldId="4" dataDxfId="57" totalsRowDxfId="56"/>
    <tableColumn id="5" xr3:uid="{1FDA4280-39BA-4142-9D56-EE37D61D08A7}" uniqueName="5" name="Column5" totalsRowFunction="average" queryTableFieldId="5" dataDxfId="55" totalsRowDxfId="54"/>
    <tableColumn id="6" xr3:uid="{1CA159CC-8533-4E3E-A888-82A63EE7E7A7}" uniqueName="6" name="Column6" totalsRowFunction="average" queryTableFieldId="6" dataDxfId="53" totalsRowDxfId="5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998E06-5F2A-46A5-AE32-F12B85AA4690}" name="FastSAM_test3" displayName="FastSAM_test3" ref="A1:F78" tableType="queryTable" totalsRowCount="1" totalsRowDxfId="51">
  <autoFilter ref="A1:F77" xr:uid="{3C998E06-5F2A-46A5-AE32-F12B85AA4690}"/>
  <tableColumns count="6">
    <tableColumn id="1" xr3:uid="{9DB989FF-79EB-49A6-90A1-9E210C75F030}" uniqueName="1" name="Column1" totalsRowFunction="custom" queryTableFieldId="1" dataDxfId="50" totalsRowDxfId="49">
      <totalsRowFormula>AVERAGE(A4:A77)</totalsRowFormula>
    </tableColumn>
    <tableColumn id="2" xr3:uid="{085E4626-9B37-4E3E-AA01-3A4B6CB74ABC}" uniqueName="2" name="Column2" queryTableFieldId="2" dataDxfId="48" totalsRowDxfId="47"/>
    <tableColumn id="3" xr3:uid="{74DB4EAB-0A95-4134-94FB-8F8088AE8359}" uniqueName="3" name="Column3" totalsRowFunction="average" queryTableFieldId="3" dataDxfId="46" totalsRowDxfId="45"/>
    <tableColumn id="4" xr3:uid="{EFB72CA0-7373-441A-BAA3-180606B75B1B}" uniqueName="4" name="Column4" totalsRowFunction="average" queryTableFieldId="4" dataDxfId="44" totalsRowDxfId="43"/>
    <tableColumn id="5" xr3:uid="{FCF1BF82-A144-4B13-81B0-8AD34314BCF3}" uniqueName="5" name="Column5" totalsRowFunction="average" queryTableFieldId="5" dataDxfId="42" totalsRowDxfId="41"/>
    <tableColumn id="6" xr3:uid="{EB13862B-E556-46D7-97AA-FF3524A013AB}" uniqueName="6" name="Column6" totalsRowFunction="average" queryTableFieldId="6" dataDxfId="40" totalsRowDxfId="3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D53AD4-5761-4B09-A6E0-788922320EA7}" name="Edgesam_test3" displayName="Edgesam_test3" ref="A1:F78" tableType="queryTable" totalsRowCount="1" totalsRowDxfId="38">
  <autoFilter ref="A1:F77" xr:uid="{ECD53AD4-5761-4B09-A6E0-788922320EA7}"/>
  <tableColumns count="6">
    <tableColumn id="1" xr3:uid="{C278172D-6E00-4064-8DEA-302786851F28}" uniqueName="1" name="Column1" totalsRowFunction="custom" queryTableFieldId="1" dataDxfId="37" totalsRowDxfId="36">
      <totalsRowFormula>AVERAGE(A4:A77)</totalsRowFormula>
    </tableColumn>
    <tableColumn id="2" xr3:uid="{07EB57BF-3C03-4415-AAC4-7B39EA32A180}" uniqueName="2" name="Column2" queryTableFieldId="2" dataDxfId="35" totalsRowDxfId="34"/>
    <tableColumn id="3" xr3:uid="{371C9EF5-2361-4758-8B5F-29E3DC7E4292}" uniqueName="3" name="Column3" totalsRowFunction="average" queryTableFieldId="3" dataDxfId="33" totalsRowDxfId="32"/>
    <tableColumn id="4" xr3:uid="{63CA3EA7-031B-440A-9EFD-9FC3C04289ED}" uniqueName="4" name="Column4" totalsRowFunction="average" queryTableFieldId="4" dataDxfId="31" totalsRowDxfId="30"/>
    <tableColumn id="5" xr3:uid="{04A60146-B470-4B4F-9BBF-C1B5569FC88E}" uniqueName="5" name="Column5" totalsRowFunction="average" queryTableFieldId="5" dataDxfId="29" totalsRowDxfId="28"/>
    <tableColumn id="6" xr3:uid="{A6598903-7248-4324-A2B6-D18FD1236878}" uniqueName="6" name="Column6" totalsRowFunction="average" queryTableFieldId="6" dataDxfId="27" totalsRowDxfId="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4318DE-3B36-4BD0-BD16-3D585FF6DC06}" name="CMTUnet_test3" displayName="CMTUnet_test3" ref="A1:F78" tableType="queryTable" totalsRowCount="1" totalsRowDxfId="25">
  <autoFilter ref="A1:F77" xr:uid="{D34318DE-3B36-4BD0-BD16-3D585FF6DC06}"/>
  <tableColumns count="6">
    <tableColumn id="1" xr3:uid="{25732B7A-5E3E-4CB5-A1F5-DA8613EDFE71}" uniqueName="1" name="Column1" totalsRowFunction="custom" queryTableFieldId="1" dataDxfId="24" totalsRowDxfId="23">
      <totalsRowFormula>AVERAGE(A4:A77)</totalsRowFormula>
    </tableColumn>
    <tableColumn id="2" xr3:uid="{A1D85756-8B25-4AFD-9A63-C1BA4A19E743}" uniqueName="2" name="Column2" queryTableFieldId="2" dataDxfId="22" totalsRowDxfId="21"/>
    <tableColumn id="3" xr3:uid="{4A76F083-163A-414A-BB41-0298D4445CC8}" uniqueName="3" name="Column3" totalsRowFunction="average" queryTableFieldId="3" dataDxfId="20" totalsRowDxfId="19"/>
    <tableColumn id="4" xr3:uid="{5C062147-AD84-4C55-9DD1-B2946ECC8D6D}" uniqueName="4" name="Column4" totalsRowFunction="average" queryTableFieldId="4" dataDxfId="18" totalsRowDxfId="17"/>
    <tableColumn id="5" xr3:uid="{CF4BD64C-DC85-4F05-B024-61F1772A3456}" uniqueName="5" name="Column5" totalsRowFunction="average" queryTableFieldId="5" dataDxfId="16" totalsRowDxfId="15"/>
    <tableColumn id="6" xr3:uid="{098C4A8B-4616-469A-A713-220168118FC8}" uniqueName="6" name="Column6" totalsRowFunction="average" queryTableFieldId="6" dataDxfId="14" totalsRowDxf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385E9F-7CD3-46E5-A69E-619BCEDEABC9}" name="CMTSam_test3" displayName="CMTSam_test3" ref="A1:F78" tableType="queryTable" totalsRowCount="1" totalsRowDxfId="12">
  <autoFilter ref="A1:F77" xr:uid="{3F385E9F-7CD3-46E5-A69E-619BCEDEABC9}"/>
  <tableColumns count="6">
    <tableColumn id="1" xr3:uid="{CC155D96-9A05-4131-9B0F-446D1698A5C2}" uniqueName="1" name="Column1" totalsRowFunction="custom" queryTableFieldId="1" dataDxfId="11" totalsRowDxfId="10">
      <totalsRowFormula>AVERAGE(A4:A77)</totalsRowFormula>
    </tableColumn>
    <tableColumn id="2" xr3:uid="{FBA770EC-0A3B-4230-AF84-9D78FDA09836}" uniqueName="2" name="Column2" queryTableFieldId="2" dataDxfId="9" totalsRowDxfId="8"/>
    <tableColumn id="3" xr3:uid="{049BE412-8450-4ED4-B5C6-57B4202F5807}" uniqueName="3" name="Column3" totalsRowFunction="average" queryTableFieldId="3" dataDxfId="7" totalsRowDxfId="6"/>
    <tableColumn id="4" xr3:uid="{26C3FA40-8CF7-40A5-82A0-422D6A8B357A}" uniqueName="4" name="Column4" totalsRowFunction="average" queryTableFieldId="4" dataDxfId="5" totalsRowDxfId="4"/>
    <tableColumn id="5" xr3:uid="{9A0BD431-C915-4592-8A3E-64828008B156}" uniqueName="5" name="Column5" totalsRowFunction="average" queryTableFieldId="5" dataDxfId="3" totalsRowDxfId="2"/>
    <tableColumn id="6" xr3:uid="{67EF064F-13B8-4FBF-BAF8-0C411994BD53}" uniqueName="6" name="Column6" totalsRowFunction="average" queryTableFieldId="6" dataDxfId="1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FD85D-957B-417B-A91E-F3ED3C409285}">
  <dimension ref="A1:F79"/>
  <sheetViews>
    <sheetView topLeftCell="A43" workbookViewId="0">
      <selection activeCell="A80" sqref="A80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1797.36304283142</v>
      </c>
      <c r="B3" t="s">
        <v>12</v>
      </c>
      <c r="C3">
        <v>0.93625022843347505</v>
      </c>
      <c r="D3">
        <v>0.96707565446326504</v>
      </c>
      <c r="E3">
        <v>0.95956349871356295</v>
      </c>
      <c r="F3">
        <v>0.99733300391813995</v>
      </c>
    </row>
    <row r="4" spans="1:6" x14ac:dyDescent="0.3">
      <c r="A4">
        <v>1065.17958641052</v>
      </c>
      <c r="B4" t="s">
        <v>13</v>
      </c>
      <c r="C4">
        <v>0.93849424775414503</v>
      </c>
      <c r="D4">
        <v>0.96827137747913705</v>
      </c>
      <c r="E4">
        <v>0.95785302593659905</v>
      </c>
      <c r="F4">
        <v>0.99741948359628496</v>
      </c>
    </row>
    <row r="5" spans="1:6" x14ac:dyDescent="0.3">
      <c r="A5">
        <v>1061.4805221557599</v>
      </c>
      <c r="B5" t="s">
        <v>14</v>
      </c>
      <c r="C5">
        <v>0.90147810989629695</v>
      </c>
      <c r="D5">
        <v>0.94818668193394195</v>
      </c>
      <c r="E5">
        <v>0.93236593059936901</v>
      </c>
      <c r="F5">
        <v>0.99162043663934396</v>
      </c>
    </row>
    <row r="6" spans="1:6" x14ac:dyDescent="0.3">
      <c r="A6">
        <v>1060.7931613922101</v>
      </c>
      <c r="B6" t="s">
        <v>15</v>
      </c>
      <c r="C6">
        <v>0.94068708571841897</v>
      </c>
      <c r="D6">
        <v>0.96943715722227097</v>
      </c>
      <c r="E6">
        <v>0.99084631137781498</v>
      </c>
      <c r="F6">
        <v>0.99406734485598103</v>
      </c>
    </row>
    <row r="7" spans="1:6" x14ac:dyDescent="0.3">
      <c r="A7">
        <v>1056.87355995178</v>
      </c>
      <c r="B7" t="s">
        <v>16</v>
      </c>
      <c r="C7">
        <v>0.95206250413825</v>
      </c>
      <c r="D7">
        <v>0.97544264296859096</v>
      </c>
      <c r="E7">
        <v>0.98911757422337099</v>
      </c>
      <c r="F7">
        <v>0.99710110770681104</v>
      </c>
    </row>
    <row r="8" spans="1:6" x14ac:dyDescent="0.3">
      <c r="A8">
        <v>1061.84387207031</v>
      </c>
      <c r="B8" t="s">
        <v>17</v>
      </c>
      <c r="C8">
        <v>0.95043299651646596</v>
      </c>
      <c r="D8">
        <v>0.97458666687240103</v>
      </c>
      <c r="E8">
        <v>0.967354846614491</v>
      </c>
      <c r="F8">
        <v>0.99746729267203305</v>
      </c>
    </row>
    <row r="9" spans="1:6" x14ac:dyDescent="0.3">
      <c r="A9">
        <v>1054.6000003814599</v>
      </c>
      <c r="B9" t="s">
        <v>18</v>
      </c>
      <c r="C9">
        <v>0.96753348573503495</v>
      </c>
      <c r="D9">
        <v>0.98349887587664797</v>
      </c>
      <c r="E9">
        <v>0.99278510276147602</v>
      </c>
      <c r="F9">
        <v>0.99668775598154502</v>
      </c>
    </row>
    <row r="10" spans="1:6" x14ac:dyDescent="0.3">
      <c r="A10">
        <v>1062.30783462524</v>
      </c>
      <c r="B10" t="s">
        <v>19</v>
      </c>
      <c r="C10">
        <v>0.90374543330396095</v>
      </c>
      <c r="D10">
        <v>0.94943937093049802</v>
      </c>
      <c r="E10">
        <v>0.92324264185293803</v>
      </c>
      <c r="F10">
        <v>0.997754041777139</v>
      </c>
    </row>
    <row r="11" spans="1:6" x14ac:dyDescent="0.3">
      <c r="A11">
        <v>1062.35265731811</v>
      </c>
      <c r="B11" t="s">
        <v>20</v>
      </c>
      <c r="C11">
        <v>0.92336991734239005</v>
      </c>
      <c r="D11">
        <v>0.96015842716127497</v>
      </c>
      <c r="E11">
        <v>0.97455344191636595</v>
      </c>
      <c r="F11">
        <v>0.99732585037957899</v>
      </c>
    </row>
    <row r="12" spans="1:6" x14ac:dyDescent="0.3">
      <c r="A12">
        <v>1062.84189224243</v>
      </c>
      <c r="B12" t="s">
        <v>21</v>
      </c>
      <c r="C12">
        <v>0.96654987313806295</v>
      </c>
      <c r="D12">
        <v>0.98299045077938496</v>
      </c>
      <c r="E12">
        <v>0.99261727716673598</v>
      </c>
      <c r="F12">
        <v>0.99674804567483599</v>
      </c>
    </row>
    <row r="13" spans="1:6" x14ac:dyDescent="0.3">
      <c r="A13">
        <v>1054.123878479</v>
      </c>
      <c r="B13" t="s">
        <v>22</v>
      </c>
      <c r="C13">
        <v>0.85970789688048499</v>
      </c>
      <c r="D13">
        <v>0.92456229101632303</v>
      </c>
      <c r="E13">
        <v>0.87410906969961999</v>
      </c>
      <c r="F13">
        <v>0.99672566997215895</v>
      </c>
    </row>
    <row r="14" spans="1:6" x14ac:dyDescent="0.3">
      <c r="A14">
        <v>1058.6290359497</v>
      </c>
      <c r="B14" t="s">
        <v>23</v>
      </c>
      <c r="C14">
        <v>0.96195042209534898</v>
      </c>
      <c r="D14">
        <v>0.98060624902844695</v>
      </c>
      <c r="E14">
        <v>0.98270210989394402</v>
      </c>
      <c r="F14">
        <v>0.99821239550362195</v>
      </c>
    </row>
    <row r="15" spans="1:6" x14ac:dyDescent="0.3">
      <c r="A15">
        <v>1056.44655227661</v>
      </c>
      <c r="B15" t="s">
        <v>24</v>
      </c>
      <c r="C15">
        <v>0.953233450184645</v>
      </c>
      <c r="D15">
        <v>0.97605685597339398</v>
      </c>
      <c r="E15">
        <v>0.98743994953334502</v>
      </c>
      <c r="F15">
        <v>0.99520288021796199</v>
      </c>
    </row>
    <row r="16" spans="1:6" x14ac:dyDescent="0.3">
      <c r="A16">
        <v>1062.5295639038</v>
      </c>
      <c r="B16" t="s">
        <v>25</v>
      </c>
      <c r="C16">
        <v>0.84234918156052896</v>
      </c>
      <c r="D16">
        <v>0.91442945777198703</v>
      </c>
      <c r="E16">
        <v>0.85886680623949496</v>
      </c>
      <c r="F16">
        <v>0.99708628538629696</v>
      </c>
    </row>
    <row r="17" spans="1:6" x14ac:dyDescent="0.3">
      <c r="A17">
        <v>1061.19799613952</v>
      </c>
      <c r="B17" t="s">
        <v>26</v>
      </c>
      <c r="C17">
        <v>0.93147934456496595</v>
      </c>
      <c r="D17">
        <v>0.96452426186806195</v>
      </c>
      <c r="E17">
        <v>0.98506333439093996</v>
      </c>
      <c r="F17">
        <v>0.99766078505125499</v>
      </c>
    </row>
    <row r="18" spans="1:6" x14ac:dyDescent="0.3">
      <c r="A18">
        <v>1061.8045330047601</v>
      </c>
      <c r="B18" t="s">
        <v>27</v>
      </c>
      <c r="C18">
        <v>0.95945922820227603</v>
      </c>
      <c r="D18">
        <v>0.97931022436485204</v>
      </c>
      <c r="E18">
        <v>0.99332949461841702</v>
      </c>
      <c r="F18">
        <v>0.99574111538958898</v>
      </c>
    </row>
    <row r="19" spans="1:6" x14ac:dyDescent="0.3">
      <c r="A19">
        <v>1054.00609970092</v>
      </c>
      <c r="B19" t="s">
        <v>28</v>
      </c>
      <c r="C19">
        <v>0.96831480972391304</v>
      </c>
      <c r="D19">
        <v>0.98390237673386605</v>
      </c>
      <c r="E19">
        <v>0.98947765506613505</v>
      </c>
      <c r="F19">
        <v>0.99705297927236802</v>
      </c>
    </row>
    <row r="20" spans="1:6" x14ac:dyDescent="0.3">
      <c r="A20">
        <v>1064.60046768188</v>
      </c>
      <c r="B20" t="s">
        <v>29</v>
      </c>
      <c r="C20">
        <v>0.93264300047068105</v>
      </c>
      <c r="D20">
        <v>0.965147728001025</v>
      </c>
      <c r="E20">
        <v>0.97040932054851003</v>
      </c>
      <c r="F20">
        <v>0.99844421557170804</v>
      </c>
    </row>
    <row r="21" spans="1:6" x14ac:dyDescent="0.3">
      <c r="A21">
        <v>1058.1755638122499</v>
      </c>
      <c r="B21" t="s">
        <v>30</v>
      </c>
      <c r="C21">
        <v>0.96236740507515195</v>
      </c>
      <c r="D21">
        <v>0.98082285976238603</v>
      </c>
      <c r="E21">
        <v>0.98863122226393596</v>
      </c>
      <c r="F21">
        <v>0.99699903143342505</v>
      </c>
    </row>
    <row r="22" spans="1:6" x14ac:dyDescent="0.3">
      <c r="A22">
        <v>1057.31773376464</v>
      </c>
      <c r="B22" t="s">
        <v>31</v>
      </c>
      <c r="C22">
        <v>0.96240371950208903</v>
      </c>
      <c r="D22">
        <v>0.98084171971124701</v>
      </c>
      <c r="E22">
        <v>0.993328531556676</v>
      </c>
      <c r="F22">
        <v>0.99619309103088405</v>
      </c>
    </row>
    <row r="23" spans="1:6" x14ac:dyDescent="0.3">
      <c r="A23">
        <v>1061.15198135375</v>
      </c>
      <c r="B23" t="s">
        <v>32</v>
      </c>
      <c r="C23">
        <v>0.93688115484905699</v>
      </c>
      <c r="D23">
        <v>0.96741212283834599</v>
      </c>
      <c r="E23">
        <v>0.96445834255774399</v>
      </c>
      <c r="F23">
        <v>0.99660592574943996</v>
      </c>
    </row>
    <row r="24" spans="1:6" x14ac:dyDescent="0.3">
      <c r="A24">
        <v>1056.71763420104</v>
      </c>
      <c r="B24" t="s">
        <v>33</v>
      </c>
      <c r="C24">
        <v>0.84117193523515799</v>
      </c>
      <c r="D24">
        <v>0.91373534338358398</v>
      </c>
      <c r="E24">
        <v>0.87729173367642299</v>
      </c>
      <c r="F24">
        <v>0.99948462562974105</v>
      </c>
    </row>
    <row r="25" spans="1:6" x14ac:dyDescent="0.3">
      <c r="A25">
        <v>1072.3710060119599</v>
      </c>
      <c r="B25" t="s">
        <v>34</v>
      </c>
      <c r="C25">
        <v>0.954437727553754</v>
      </c>
      <c r="D25">
        <v>0.97668778503202902</v>
      </c>
      <c r="E25">
        <v>0.97346295323173904</v>
      </c>
      <c r="F25">
        <v>0.99756420190154904</v>
      </c>
    </row>
    <row r="26" spans="1:6" x14ac:dyDescent="0.3">
      <c r="A26">
        <v>1063.0965232849101</v>
      </c>
      <c r="B26" t="s">
        <v>35</v>
      </c>
      <c r="C26">
        <v>0.92585638669729298</v>
      </c>
      <c r="D26">
        <v>0.96150096455018697</v>
      </c>
      <c r="E26">
        <v>0.95740989362800699</v>
      </c>
      <c r="F26">
        <v>0.99653268834331798</v>
      </c>
    </row>
    <row r="27" spans="1:6" x14ac:dyDescent="0.3">
      <c r="A27">
        <v>1056.34641647338</v>
      </c>
      <c r="B27" t="s">
        <v>36</v>
      </c>
      <c r="C27">
        <v>0.96651052319060504</v>
      </c>
      <c r="D27">
        <v>0.98297010038112598</v>
      </c>
      <c r="E27">
        <v>0.98887553833483999</v>
      </c>
      <c r="F27">
        <v>0.99619294695668903</v>
      </c>
    </row>
    <row r="28" spans="1:6" x14ac:dyDescent="0.3">
      <c r="A28">
        <v>1059.17382240295</v>
      </c>
      <c r="B28" t="s">
        <v>37</v>
      </c>
      <c r="C28">
        <v>0.97113451797057104</v>
      </c>
      <c r="D28">
        <v>0.98535590454823496</v>
      </c>
      <c r="E28">
        <v>0.99774596693298001</v>
      </c>
      <c r="F28">
        <v>0.99759088395468498</v>
      </c>
    </row>
    <row r="29" spans="1:6" x14ac:dyDescent="0.3">
      <c r="A29">
        <v>1061.19275093078</v>
      </c>
      <c r="B29" t="s">
        <v>38</v>
      </c>
      <c r="C29">
        <v>0.95763510869178403</v>
      </c>
      <c r="D29">
        <v>0.97835914817826997</v>
      </c>
      <c r="E29">
        <v>0.98863208543382597</v>
      </c>
      <c r="F29">
        <v>0.99624869502475799</v>
      </c>
    </row>
    <row r="30" spans="1:6" x14ac:dyDescent="0.3">
      <c r="A30">
        <v>1066.71547889709</v>
      </c>
      <c r="B30" t="s">
        <v>39</v>
      </c>
      <c r="C30">
        <v>0.97190366972477005</v>
      </c>
      <c r="D30">
        <v>0.985751671997673</v>
      </c>
      <c r="E30">
        <v>0.98543993253430695</v>
      </c>
      <c r="F30">
        <v>0.99755619627555303</v>
      </c>
    </row>
    <row r="31" spans="1:6" x14ac:dyDescent="0.3">
      <c r="A31">
        <v>1066.74695014953</v>
      </c>
      <c r="B31" t="s">
        <v>40</v>
      </c>
      <c r="C31">
        <v>0.93628046197724002</v>
      </c>
      <c r="D31">
        <v>0.96709178278972396</v>
      </c>
      <c r="E31">
        <v>0.98630157360859005</v>
      </c>
      <c r="F31">
        <v>0.99633970623900703</v>
      </c>
    </row>
    <row r="32" spans="1:6" x14ac:dyDescent="0.3">
      <c r="A32">
        <v>1059.9327087402301</v>
      </c>
      <c r="B32" t="s">
        <v>41</v>
      </c>
      <c r="C32">
        <v>0.96188373660509296</v>
      </c>
      <c r="D32">
        <v>0.98057159928301096</v>
      </c>
      <c r="E32">
        <v>0.99086307696952003</v>
      </c>
      <c r="F32">
        <v>0.99684576153156501</v>
      </c>
    </row>
    <row r="33" spans="1:6" x14ac:dyDescent="0.3">
      <c r="A33">
        <v>1054.9385547637901</v>
      </c>
      <c r="B33" t="s">
        <v>42</v>
      </c>
      <c r="C33">
        <v>0.89308984910836697</v>
      </c>
      <c r="D33">
        <v>0.94352610841900197</v>
      </c>
      <c r="E33">
        <v>0.96552043748262095</v>
      </c>
      <c r="F33">
        <v>0.99829600447128397</v>
      </c>
    </row>
    <row r="34" spans="1:6" x14ac:dyDescent="0.3">
      <c r="A34">
        <v>1293.2720184326099</v>
      </c>
      <c r="B34" t="s">
        <v>43</v>
      </c>
      <c r="C34">
        <v>0.97063664585489096</v>
      </c>
      <c r="D34">
        <v>0.98509955947136496</v>
      </c>
      <c r="E34">
        <v>0.99267009013232099</v>
      </c>
      <c r="F34">
        <v>0.99647933481900397</v>
      </c>
    </row>
    <row r="35" spans="1:6" x14ac:dyDescent="0.3">
      <c r="A35">
        <v>1056.3170909881501</v>
      </c>
      <c r="B35" t="s">
        <v>44</v>
      </c>
      <c r="C35">
        <v>0.96150641407158399</v>
      </c>
      <c r="D35">
        <v>0.98037549831483195</v>
      </c>
      <c r="E35">
        <v>0.99629032258064498</v>
      </c>
      <c r="F35">
        <v>0.99595727626657105</v>
      </c>
    </row>
    <row r="36" spans="1:6" x14ac:dyDescent="0.3">
      <c r="A36">
        <v>1066.1990642547601</v>
      </c>
      <c r="B36" t="s">
        <v>45</v>
      </c>
      <c r="C36">
        <v>0.90817043398844299</v>
      </c>
      <c r="D36">
        <v>0.951875595399717</v>
      </c>
      <c r="E36">
        <v>0.92089937666963495</v>
      </c>
      <c r="F36">
        <v>0.99831887178567003</v>
      </c>
    </row>
    <row r="37" spans="1:6" x14ac:dyDescent="0.3">
      <c r="A37">
        <v>1055.66883087158</v>
      </c>
      <c r="B37" t="s">
        <v>46</v>
      </c>
      <c r="C37">
        <v>0.969572877809742</v>
      </c>
      <c r="D37">
        <v>0.98455141085000397</v>
      </c>
      <c r="E37">
        <v>0.98944374209860897</v>
      </c>
      <c r="F37">
        <v>0.99677994606023401</v>
      </c>
    </row>
    <row r="38" spans="1:6" x14ac:dyDescent="0.3">
      <c r="A38">
        <v>1061.0430240631099</v>
      </c>
      <c r="B38" t="s">
        <v>47</v>
      </c>
      <c r="C38">
        <v>0.95982695386571804</v>
      </c>
      <c r="D38">
        <v>0.97950173812282704</v>
      </c>
      <c r="E38">
        <v>0.98753475548494096</v>
      </c>
      <c r="F38">
        <v>0.99743400160751305</v>
      </c>
    </row>
    <row r="39" spans="1:6" x14ac:dyDescent="0.3">
      <c r="A39">
        <v>1066.4799213409401</v>
      </c>
      <c r="B39" t="s">
        <v>48</v>
      </c>
      <c r="C39">
        <v>0.92676535073494104</v>
      </c>
      <c r="D39">
        <v>0.96199088319855597</v>
      </c>
      <c r="E39">
        <v>0.96072946366130496</v>
      </c>
      <c r="F39">
        <v>0.99720289051754196</v>
      </c>
    </row>
    <row r="40" spans="1:6" x14ac:dyDescent="0.3">
      <c r="A40">
        <v>1055.99045753479</v>
      </c>
      <c r="B40" t="s">
        <v>49</v>
      </c>
      <c r="C40">
        <v>0.95309592611965199</v>
      </c>
      <c r="D40">
        <v>0.97598475668651097</v>
      </c>
      <c r="E40">
        <v>0.99537020453487102</v>
      </c>
      <c r="F40">
        <v>0.99471346172729802</v>
      </c>
    </row>
    <row r="41" spans="1:6" x14ac:dyDescent="0.3">
      <c r="A41">
        <v>1054.37302589416</v>
      </c>
      <c r="B41" t="s">
        <v>50</v>
      </c>
      <c r="C41">
        <v>0.94046711483817302</v>
      </c>
      <c r="D41">
        <v>0.96932033286903097</v>
      </c>
      <c r="E41">
        <v>0.98146049808336699</v>
      </c>
      <c r="F41">
        <v>0.99820474095345302</v>
      </c>
    </row>
    <row r="42" spans="1:6" x14ac:dyDescent="0.3">
      <c r="A42">
        <v>1056.5454959869301</v>
      </c>
      <c r="B42" t="s">
        <v>51</v>
      </c>
      <c r="C42">
        <v>0.96381365969206401</v>
      </c>
      <c r="D42">
        <v>0.98157343486774096</v>
      </c>
      <c r="E42">
        <v>0.98491963594112997</v>
      </c>
      <c r="F42">
        <v>0.99706480359923799</v>
      </c>
    </row>
    <row r="43" spans="1:6" x14ac:dyDescent="0.3">
      <c r="A43">
        <v>1071.52342796325</v>
      </c>
      <c r="B43" t="s">
        <v>52</v>
      </c>
      <c r="C43">
        <v>0.83941069223078202</v>
      </c>
      <c r="D43">
        <v>0.91269524068360197</v>
      </c>
      <c r="E43">
        <v>0.88426628667017704</v>
      </c>
      <c r="F43">
        <v>0.99649395232181603</v>
      </c>
    </row>
    <row r="44" spans="1:6" x14ac:dyDescent="0.3">
      <c r="A44">
        <v>1071.72060012817</v>
      </c>
      <c r="B44" t="s">
        <v>53</v>
      </c>
      <c r="C44">
        <v>0.95885348789354496</v>
      </c>
      <c r="D44">
        <v>0.97899459435799796</v>
      </c>
      <c r="E44">
        <v>0.98643392049112999</v>
      </c>
      <c r="F44">
        <v>0.996513063980624</v>
      </c>
    </row>
    <row r="45" spans="1:6" x14ac:dyDescent="0.3">
      <c r="A45">
        <v>1060.8479976654</v>
      </c>
      <c r="B45" t="s">
        <v>54</v>
      </c>
      <c r="C45">
        <v>0.89890256722635398</v>
      </c>
      <c r="D45">
        <v>0.94676007367702097</v>
      </c>
      <c r="E45">
        <v>0.93538691176019495</v>
      </c>
      <c r="F45">
        <v>0.99582440629263003</v>
      </c>
    </row>
    <row r="46" spans="1:6" x14ac:dyDescent="0.3">
      <c r="A46">
        <v>1058.8517189025799</v>
      </c>
      <c r="B46" t="s">
        <v>55</v>
      </c>
      <c r="C46">
        <v>0.70557862658097903</v>
      </c>
      <c r="D46">
        <v>0.827377425566582</v>
      </c>
      <c r="E46">
        <v>0.728314372331062</v>
      </c>
      <c r="F46">
        <v>0.99799741091669303</v>
      </c>
    </row>
    <row r="47" spans="1:6" x14ac:dyDescent="0.3">
      <c r="A47">
        <v>1056.53953552246</v>
      </c>
      <c r="B47" t="s">
        <v>56</v>
      </c>
      <c r="C47">
        <v>0.943324195691293</v>
      </c>
      <c r="D47">
        <v>0.97083564109664899</v>
      </c>
      <c r="E47">
        <v>0.987309019221291</v>
      </c>
      <c r="F47">
        <v>0.99732900165765204</v>
      </c>
    </row>
    <row r="48" spans="1:6" x14ac:dyDescent="0.3">
      <c r="A48">
        <v>1055.52244186401</v>
      </c>
      <c r="B48" t="s">
        <v>57</v>
      </c>
      <c r="C48">
        <v>0.94892316147425504</v>
      </c>
      <c r="D48">
        <v>0.97379227691711101</v>
      </c>
      <c r="E48">
        <v>0.99504745439155695</v>
      </c>
      <c r="F48">
        <v>0.99728210793223604</v>
      </c>
    </row>
    <row r="49" spans="1:6" x14ac:dyDescent="0.3">
      <c r="A49">
        <v>1071.4099407195999</v>
      </c>
      <c r="B49" t="s">
        <v>58</v>
      </c>
      <c r="C49">
        <v>0.953964531646876</v>
      </c>
      <c r="D49">
        <v>0.97643996725246396</v>
      </c>
      <c r="E49">
        <v>0.981726133929677</v>
      </c>
      <c r="F49">
        <v>0.99438971037391599</v>
      </c>
    </row>
    <row r="50" spans="1:6" x14ac:dyDescent="0.3">
      <c r="A50">
        <v>1057.29103088378</v>
      </c>
      <c r="B50" t="s">
        <v>59</v>
      </c>
      <c r="C50">
        <v>0.93906960475690804</v>
      </c>
      <c r="D50">
        <v>0.96857751001118297</v>
      </c>
      <c r="E50">
        <v>0.96631154621364801</v>
      </c>
      <c r="F50">
        <v>0.99921041700953706</v>
      </c>
    </row>
    <row r="51" spans="1:6" x14ac:dyDescent="0.3">
      <c r="A51">
        <v>1061.7966651916499</v>
      </c>
      <c r="B51" t="s">
        <v>60</v>
      </c>
      <c r="C51">
        <v>0.92808383890374802</v>
      </c>
      <c r="D51">
        <v>0.96270070852461398</v>
      </c>
      <c r="E51">
        <v>0.94923708920187699</v>
      </c>
      <c r="F51">
        <v>0.99716844786770498</v>
      </c>
    </row>
    <row r="52" spans="1:6" x14ac:dyDescent="0.3">
      <c r="A52">
        <v>1053.9278984069799</v>
      </c>
      <c r="B52" t="s">
        <v>61</v>
      </c>
      <c r="C52">
        <v>0.95286144969722097</v>
      </c>
      <c r="D52">
        <v>0.97586180509114595</v>
      </c>
      <c r="E52">
        <v>0.98345627682403403</v>
      </c>
      <c r="F52">
        <v>0.99467678241070101</v>
      </c>
    </row>
    <row r="53" spans="1:6" x14ac:dyDescent="0.3">
      <c r="A53">
        <v>1061.46240234375</v>
      </c>
      <c r="B53" t="s">
        <v>62</v>
      </c>
      <c r="C53">
        <v>0.91843951631096798</v>
      </c>
      <c r="D53">
        <v>0.95748602809961503</v>
      </c>
      <c r="E53">
        <v>0.93487995590920003</v>
      </c>
      <c r="F53">
        <v>0.99643408547673196</v>
      </c>
    </row>
    <row r="54" spans="1:6" x14ac:dyDescent="0.3">
      <c r="A54">
        <v>1056.72216415405</v>
      </c>
      <c r="B54" t="s">
        <v>63</v>
      </c>
      <c r="C54">
        <v>0.96170223974292501</v>
      </c>
      <c r="D54">
        <v>0.98047728167854198</v>
      </c>
      <c r="E54">
        <v>0.99077382298403505</v>
      </c>
      <c r="F54">
        <v>0.99643717997784698</v>
      </c>
    </row>
    <row r="55" spans="1:6" x14ac:dyDescent="0.3">
      <c r="A55">
        <v>1060.9762668609601</v>
      </c>
      <c r="B55" t="s">
        <v>64</v>
      </c>
      <c r="C55">
        <v>0.94691772064034796</v>
      </c>
      <c r="D55">
        <v>0.97273522203999796</v>
      </c>
      <c r="E55">
        <v>0.96847186829774901</v>
      </c>
      <c r="F55">
        <v>0.99667016121186003</v>
      </c>
    </row>
    <row r="56" spans="1:6" x14ac:dyDescent="0.3">
      <c r="A56">
        <v>1061.3234043121299</v>
      </c>
      <c r="B56" t="s">
        <v>65</v>
      </c>
      <c r="C56">
        <v>0.88387201864463005</v>
      </c>
      <c r="D56">
        <v>0.93835675661294704</v>
      </c>
      <c r="E56">
        <v>0.91118760979642399</v>
      </c>
      <c r="F56">
        <v>0.99464611790400803</v>
      </c>
    </row>
    <row r="57" spans="1:6" x14ac:dyDescent="0.3">
      <c r="A57">
        <v>1061.00511550903</v>
      </c>
      <c r="B57" t="s">
        <v>66</v>
      </c>
      <c r="C57">
        <v>0.94385520820149305</v>
      </c>
      <c r="D57">
        <v>0.97111678299822901</v>
      </c>
      <c r="E57">
        <v>0.98468323342224096</v>
      </c>
      <c r="F57">
        <v>0.99837935548214096</v>
      </c>
    </row>
    <row r="58" spans="1:6" x14ac:dyDescent="0.3">
      <c r="A58">
        <v>1055.6452274322501</v>
      </c>
      <c r="B58" t="s">
        <v>67</v>
      </c>
      <c r="C58">
        <v>0.93775517513072104</v>
      </c>
      <c r="D58">
        <v>0.96787786936753695</v>
      </c>
      <c r="E58">
        <v>0.97588610189705904</v>
      </c>
      <c r="F58">
        <v>0.99893221890001904</v>
      </c>
    </row>
    <row r="59" spans="1:6" x14ac:dyDescent="0.3">
      <c r="A59">
        <v>1055.88793754577</v>
      </c>
      <c r="B59" t="s">
        <v>68</v>
      </c>
      <c r="C59">
        <v>0.97069025422980204</v>
      </c>
      <c r="D59">
        <v>0.98512716764733099</v>
      </c>
      <c r="E59">
        <v>0.98513599933061102</v>
      </c>
      <c r="F59">
        <v>0.997174496941307</v>
      </c>
    </row>
    <row r="60" spans="1:6" x14ac:dyDescent="0.3">
      <c r="A60">
        <v>1061.0067844390801</v>
      </c>
      <c r="B60" t="s">
        <v>69</v>
      </c>
      <c r="C60">
        <v>0.94698662115012899</v>
      </c>
      <c r="D60">
        <v>0.97277157517468904</v>
      </c>
      <c r="E60">
        <v>0.985656808443933</v>
      </c>
      <c r="F60">
        <v>0.99845293477184904</v>
      </c>
    </row>
    <row r="61" spans="1:6" x14ac:dyDescent="0.3">
      <c r="A61">
        <v>1055.63950538635</v>
      </c>
      <c r="B61" t="s">
        <v>70</v>
      </c>
      <c r="C61">
        <v>0.95997644697667095</v>
      </c>
      <c r="D61">
        <v>0.97957957449689403</v>
      </c>
      <c r="E61">
        <v>0.98191457776646696</v>
      </c>
      <c r="F61">
        <v>0.99710537654280496</v>
      </c>
    </row>
    <row r="62" spans="1:6" x14ac:dyDescent="0.3">
      <c r="A62">
        <v>1061.3646507263099</v>
      </c>
      <c r="B62" t="s">
        <v>71</v>
      </c>
      <c r="C62">
        <v>0.82202099253583505</v>
      </c>
      <c r="D62">
        <v>0.90231780632974001</v>
      </c>
      <c r="E62">
        <v>0.84170815618706596</v>
      </c>
      <c r="F62">
        <v>0.99621784338669195</v>
      </c>
    </row>
    <row r="63" spans="1:6" x14ac:dyDescent="0.3">
      <c r="A63">
        <v>1062.8898143768299</v>
      </c>
      <c r="B63" t="s">
        <v>72</v>
      </c>
      <c r="C63">
        <v>0.85661694616643702</v>
      </c>
      <c r="D63">
        <v>0.92277187056294896</v>
      </c>
      <c r="E63">
        <v>0.87283810034161702</v>
      </c>
      <c r="F63">
        <v>0.996856394962225</v>
      </c>
    </row>
    <row r="64" spans="1:6" x14ac:dyDescent="0.3">
      <c r="A64">
        <v>1059.92150306701</v>
      </c>
      <c r="B64" t="s">
        <v>73</v>
      </c>
      <c r="C64">
        <v>0.95556320117652604</v>
      </c>
      <c r="D64">
        <v>0.977276725806284</v>
      </c>
      <c r="E64">
        <v>0.98634467679152105</v>
      </c>
      <c r="F64">
        <v>0.99488822269050103</v>
      </c>
    </row>
    <row r="65" spans="1:6" x14ac:dyDescent="0.3">
      <c r="A65">
        <v>1060.7998371124199</v>
      </c>
      <c r="B65" t="s">
        <v>74</v>
      </c>
      <c r="C65">
        <v>0.96002759889604405</v>
      </c>
      <c r="D65">
        <v>0.97960620497054696</v>
      </c>
      <c r="E65">
        <v>0.97511329834451999</v>
      </c>
      <c r="F65">
        <v>0.99780688884686697</v>
      </c>
    </row>
    <row r="66" spans="1:6" x14ac:dyDescent="0.3">
      <c r="A66">
        <v>1056.8015575408899</v>
      </c>
      <c r="B66" t="s">
        <v>75</v>
      </c>
      <c r="C66">
        <v>0.936377532858229</v>
      </c>
      <c r="D66">
        <v>0.96714356262548695</v>
      </c>
      <c r="E66">
        <v>0.99268171761345503</v>
      </c>
      <c r="F66">
        <v>0.99110390996622599</v>
      </c>
    </row>
    <row r="67" spans="1:6" x14ac:dyDescent="0.3">
      <c r="A67">
        <v>1056.06055259704</v>
      </c>
      <c r="B67" t="s">
        <v>76</v>
      </c>
      <c r="C67">
        <v>0.95634972392504602</v>
      </c>
      <c r="D67">
        <v>0.97768789723987704</v>
      </c>
      <c r="E67">
        <v>0.98477861843577896</v>
      </c>
      <c r="F67">
        <v>0.99797058778583103</v>
      </c>
    </row>
    <row r="68" spans="1:6" x14ac:dyDescent="0.3">
      <c r="A68">
        <v>1056.0393333434999</v>
      </c>
      <c r="B68" t="s">
        <v>77</v>
      </c>
      <c r="C68">
        <v>0.965835840137516</v>
      </c>
      <c r="D68">
        <v>0.98262105148103596</v>
      </c>
      <c r="E68">
        <v>0.99366002900293504</v>
      </c>
      <c r="F68">
        <v>0.99651731082519801</v>
      </c>
    </row>
    <row r="69" spans="1:6" x14ac:dyDescent="0.3">
      <c r="A69">
        <v>1066.74718856811</v>
      </c>
      <c r="B69" t="s">
        <v>78</v>
      </c>
      <c r="C69">
        <v>0.94169583667403201</v>
      </c>
      <c r="D69">
        <v>0.96997255583251496</v>
      </c>
      <c r="E69">
        <v>0.966744961053561</v>
      </c>
      <c r="F69">
        <v>0.99720744568745301</v>
      </c>
    </row>
    <row r="70" spans="1:6" x14ac:dyDescent="0.3">
      <c r="A70">
        <v>1056.41198158264</v>
      </c>
      <c r="B70" t="s">
        <v>79</v>
      </c>
      <c r="C70">
        <v>0.94753282623468205</v>
      </c>
      <c r="D70">
        <v>0.97305967167354201</v>
      </c>
      <c r="E70">
        <v>0.99208179846455702</v>
      </c>
      <c r="F70">
        <v>0.99573866147997503</v>
      </c>
    </row>
    <row r="71" spans="1:6" x14ac:dyDescent="0.3">
      <c r="A71">
        <v>1056.43725395202</v>
      </c>
      <c r="B71" t="s">
        <v>80</v>
      </c>
      <c r="C71">
        <v>0.948579767650369</v>
      </c>
      <c r="D71">
        <v>0.97361143064128397</v>
      </c>
      <c r="E71">
        <v>0.98560994222173703</v>
      </c>
      <c r="F71">
        <v>0.99584350298045798</v>
      </c>
    </row>
    <row r="72" spans="1:6" x14ac:dyDescent="0.3">
      <c r="A72">
        <v>1056.24365806579</v>
      </c>
      <c r="B72" t="s">
        <v>81</v>
      </c>
      <c r="C72">
        <v>0.92461394934346997</v>
      </c>
      <c r="D72">
        <v>0.96083055997684796</v>
      </c>
      <c r="E72">
        <v>0.98398138818090197</v>
      </c>
      <c r="F72">
        <v>0.99558349267958501</v>
      </c>
    </row>
    <row r="73" spans="1:6" x14ac:dyDescent="0.3">
      <c r="A73">
        <v>1051.3074398040701</v>
      </c>
      <c r="B73" t="s">
        <v>82</v>
      </c>
      <c r="C73">
        <v>0.95705549822091396</v>
      </c>
      <c r="D73">
        <v>0.97805657436995297</v>
      </c>
      <c r="E73">
        <v>0.98385653774593196</v>
      </c>
      <c r="F73">
        <v>0.99616490163953897</v>
      </c>
    </row>
    <row r="74" spans="1:6" x14ac:dyDescent="0.3">
      <c r="A74">
        <v>1054.7301769256501</v>
      </c>
      <c r="B74" t="s">
        <v>83</v>
      </c>
      <c r="C74">
        <v>0.95181998785032895</v>
      </c>
      <c r="D74">
        <v>0.97531534032360501</v>
      </c>
      <c r="E74">
        <v>0.97332169270417901</v>
      </c>
      <c r="F74">
        <v>0.99710474870703503</v>
      </c>
    </row>
    <row r="75" spans="1:6" x14ac:dyDescent="0.3">
      <c r="A75">
        <v>1067.1563148498501</v>
      </c>
      <c r="B75" t="s">
        <v>84</v>
      </c>
      <c r="C75">
        <v>0.92785263810869401</v>
      </c>
      <c r="D75">
        <v>0.96257630875662503</v>
      </c>
      <c r="E75">
        <v>0.94869536108810903</v>
      </c>
      <c r="F75">
        <v>0.99727289644064798</v>
      </c>
    </row>
    <row r="76" spans="1:6" x14ac:dyDescent="0.3">
      <c r="A76">
        <v>1064.8443698883</v>
      </c>
      <c r="B76" t="s">
        <v>85</v>
      </c>
      <c r="C76">
        <v>0.96143950496661701</v>
      </c>
      <c r="D76">
        <v>0.98034071663401101</v>
      </c>
      <c r="E76">
        <v>0.98157938487115504</v>
      </c>
      <c r="F76">
        <v>0.998027862442883</v>
      </c>
    </row>
    <row r="77" spans="1:6" x14ac:dyDescent="0.3">
      <c r="A77">
        <v>1063.4272098541201</v>
      </c>
      <c r="B77" t="s">
        <v>86</v>
      </c>
      <c r="C77">
        <v>0.919736826132873</v>
      </c>
      <c r="D77">
        <v>0.95819053279880595</v>
      </c>
      <c r="E77">
        <v>0.95908808972265402</v>
      </c>
      <c r="F77">
        <v>0.99651394370947299</v>
      </c>
    </row>
    <row r="78" spans="1:6" x14ac:dyDescent="0.3">
      <c r="A78" s="1">
        <f>AVERAGE(A4:A77)</f>
        <v>1063.2656780449081</v>
      </c>
      <c r="B78" s="1"/>
      <c r="C78" s="1">
        <f>SUBTOTAL(101,Sam_test3[Column3])</f>
        <v>0.93409918422430305</v>
      </c>
      <c r="D78" s="1">
        <f>SUBTOTAL(101,Sam_test3[Column4])</f>
        <v>0.96537959176557386</v>
      </c>
      <c r="E78" s="1">
        <f>SUBTOTAL(101,Sam_test3[Column5])</f>
        <v>0.96436186013604275</v>
      </c>
      <c r="F78" s="1">
        <f>SUBTOTAL(101,Sam_test3[Column6])</f>
        <v>0.99674922156863677</v>
      </c>
    </row>
    <row r="79" spans="1:6" x14ac:dyDescent="0.3">
      <c r="A79" s="1">
        <f>STDEVA(A4:A77)</f>
        <v>27.500146804029502</v>
      </c>
      <c r="B79" s="1"/>
      <c r="C79" s="1">
        <f>STDEVA(C3:C77)</f>
        <v>4.3364708433982227E-2</v>
      </c>
      <c r="D79" s="1">
        <f>STDEVA(D3:D77)</f>
        <v>2.4768263305698979E-2</v>
      </c>
      <c r="E79" s="1">
        <f>STDEVA(E3:E77)</f>
        <v>4.4758552659865364E-2</v>
      </c>
      <c r="F79" s="1">
        <f>STDEVA(F3:F77)</f>
        <v>1.4125428797838728E-3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08CA9-E02F-44DB-B29A-89805EA76B9F}">
  <dimension ref="A1:F79"/>
  <sheetViews>
    <sheetView tabSelected="1" topLeftCell="A44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900.57349205016999</v>
      </c>
      <c r="B3" t="s">
        <v>12</v>
      </c>
      <c r="C3">
        <v>0.94877985491386196</v>
      </c>
      <c r="D3">
        <v>0.97371681313464598</v>
      </c>
      <c r="E3">
        <v>0.98246454356410196</v>
      </c>
      <c r="F3">
        <v>0.99684416466419701</v>
      </c>
    </row>
    <row r="4" spans="1:6" x14ac:dyDescent="0.3">
      <c r="A4">
        <v>65.719127655029297</v>
      </c>
      <c r="B4" t="s">
        <v>13</v>
      </c>
      <c r="C4">
        <v>0.95413548590786101</v>
      </c>
      <c r="D4">
        <v>0.97652951168284496</v>
      </c>
      <c r="E4">
        <v>0.98873483535528595</v>
      </c>
      <c r="F4">
        <v>0.99561617301845795</v>
      </c>
    </row>
    <row r="5" spans="1:6" x14ac:dyDescent="0.3">
      <c r="A5">
        <v>66.876888275146399</v>
      </c>
      <c r="B5" t="s">
        <v>14</v>
      </c>
      <c r="C5">
        <v>0.92102770542268497</v>
      </c>
      <c r="D5">
        <v>0.95889060092449896</v>
      </c>
      <c r="E5">
        <v>0.96717642670645199</v>
      </c>
      <c r="F5">
        <v>0.99758276867955897</v>
      </c>
    </row>
    <row r="6" spans="1:6" x14ac:dyDescent="0.3">
      <c r="A6">
        <v>61.868429183959897</v>
      </c>
      <c r="B6" t="s">
        <v>15</v>
      </c>
      <c r="C6">
        <v>0.70266914959652305</v>
      </c>
      <c r="D6">
        <v>0.82537367845424703</v>
      </c>
      <c r="E6">
        <v>0.72820842714699197</v>
      </c>
      <c r="F6">
        <v>0.99956376551431203</v>
      </c>
    </row>
    <row r="7" spans="1:6" x14ac:dyDescent="0.3">
      <c r="A7">
        <v>66.946268081664996</v>
      </c>
      <c r="B7" t="s">
        <v>16</v>
      </c>
      <c r="C7">
        <v>0.91680617149793897</v>
      </c>
      <c r="D7">
        <v>0.95659768330302897</v>
      </c>
      <c r="E7">
        <v>0.95742897160909002</v>
      </c>
      <c r="F7">
        <v>0.99544155588721905</v>
      </c>
    </row>
    <row r="8" spans="1:6" x14ac:dyDescent="0.3">
      <c r="A8">
        <v>66.887140274047795</v>
      </c>
      <c r="B8" t="s">
        <v>17</v>
      </c>
      <c r="C8">
        <v>0.95989933927291804</v>
      </c>
      <c r="D8">
        <v>0.97953942841678798</v>
      </c>
      <c r="E8">
        <v>0.97666861860310195</v>
      </c>
      <c r="F8">
        <v>0.99651985955923506</v>
      </c>
    </row>
    <row r="9" spans="1:6" x14ac:dyDescent="0.3">
      <c r="A9">
        <v>62.040567398071197</v>
      </c>
      <c r="B9" t="s">
        <v>18</v>
      </c>
      <c r="C9">
        <v>0.88526021655606002</v>
      </c>
      <c r="D9">
        <v>0.93913849004168504</v>
      </c>
      <c r="E9">
        <v>0.98146518341195499</v>
      </c>
      <c r="F9">
        <v>0.99377472866528704</v>
      </c>
    </row>
    <row r="10" spans="1:6" x14ac:dyDescent="0.3">
      <c r="A10">
        <v>61.897993087768498</v>
      </c>
      <c r="B10" t="s">
        <v>19</v>
      </c>
      <c r="C10">
        <v>0.95184638359976903</v>
      </c>
      <c r="D10">
        <v>0.97532919762290804</v>
      </c>
      <c r="E10">
        <v>0.99372813039819197</v>
      </c>
      <c r="F10">
        <v>0.99469162362360997</v>
      </c>
    </row>
    <row r="11" spans="1:6" x14ac:dyDescent="0.3">
      <c r="A11">
        <v>67.025184631347599</v>
      </c>
      <c r="B11" t="s">
        <v>20</v>
      </c>
      <c r="C11">
        <v>0.94368613792926803</v>
      </c>
      <c r="D11">
        <v>0.97102728626200596</v>
      </c>
      <c r="E11">
        <v>0.97314284205244606</v>
      </c>
      <c r="F11">
        <v>0.99883052391934701</v>
      </c>
    </row>
    <row r="12" spans="1:6" x14ac:dyDescent="0.3">
      <c r="A12">
        <v>61.956644058227504</v>
      </c>
      <c r="B12" t="s">
        <v>21</v>
      </c>
      <c r="C12">
        <v>0.94525519084918497</v>
      </c>
      <c r="D12">
        <v>0.97185726098645397</v>
      </c>
      <c r="E12">
        <v>0.98380052731184098</v>
      </c>
      <c r="F12">
        <v>0.99454877666417996</v>
      </c>
    </row>
    <row r="13" spans="1:6" x14ac:dyDescent="0.3">
      <c r="A13">
        <v>72.402238845825195</v>
      </c>
      <c r="B13" t="s">
        <v>22</v>
      </c>
      <c r="C13">
        <v>0.92307891399435704</v>
      </c>
      <c r="D13">
        <v>0.96000107668703405</v>
      </c>
      <c r="E13">
        <v>0.95930388939695499</v>
      </c>
      <c r="F13">
        <v>0.99700478331383002</v>
      </c>
    </row>
    <row r="14" spans="1:6" x14ac:dyDescent="0.3">
      <c r="A14">
        <v>64.532995223998995</v>
      </c>
      <c r="B14" t="s">
        <v>23</v>
      </c>
      <c r="C14">
        <v>0.96271024823360196</v>
      </c>
      <c r="D14">
        <v>0.98100088803227103</v>
      </c>
      <c r="E14">
        <v>0.98861082573519898</v>
      </c>
      <c r="F14">
        <v>0.99637223155379295</v>
      </c>
    </row>
    <row r="15" spans="1:6" x14ac:dyDescent="0.3">
      <c r="A15">
        <v>68.400144577026296</v>
      </c>
      <c r="B15" t="s">
        <v>24</v>
      </c>
      <c r="C15">
        <v>0.92585047871256798</v>
      </c>
      <c r="D15">
        <v>0.96149777871800302</v>
      </c>
      <c r="E15">
        <v>0.943767164579007</v>
      </c>
      <c r="F15">
        <v>0.99678745137809299</v>
      </c>
    </row>
    <row r="16" spans="1:6" x14ac:dyDescent="0.3">
      <c r="A16">
        <v>65.623521804809499</v>
      </c>
      <c r="B16" t="s">
        <v>25</v>
      </c>
      <c r="C16">
        <v>0.96237534936682601</v>
      </c>
      <c r="D16">
        <v>0.98082698570112303</v>
      </c>
      <c r="E16">
        <v>0.99048248137336303</v>
      </c>
      <c r="F16">
        <v>0.99547028309629004</v>
      </c>
    </row>
    <row r="17" spans="1:6" x14ac:dyDescent="0.3">
      <c r="A17">
        <v>62.844514846801701</v>
      </c>
      <c r="B17" t="s">
        <v>26</v>
      </c>
      <c r="C17">
        <v>0.95650187173764001</v>
      </c>
      <c r="D17">
        <v>0.97776739757282805</v>
      </c>
      <c r="E17">
        <v>0.98455972140563497</v>
      </c>
      <c r="F17">
        <v>0.99654272132500199</v>
      </c>
    </row>
    <row r="18" spans="1:6" x14ac:dyDescent="0.3">
      <c r="A18">
        <v>67.143678665161104</v>
      </c>
      <c r="B18" t="s">
        <v>27</v>
      </c>
      <c r="C18">
        <v>0.91804414293904002</v>
      </c>
      <c r="D18">
        <v>0.95727113092643501</v>
      </c>
      <c r="E18">
        <v>0.97299965822352097</v>
      </c>
      <c r="F18">
        <v>0.99512261532606405</v>
      </c>
    </row>
    <row r="19" spans="1:6" x14ac:dyDescent="0.3">
      <c r="A19">
        <v>76.850175857543903</v>
      </c>
      <c r="B19" t="s">
        <v>28</v>
      </c>
      <c r="C19">
        <v>0.90383360167094495</v>
      </c>
      <c r="D19">
        <v>0.949488023404644</v>
      </c>
      <c r="E19">
        <v>0.96516526749481102</v>
      </c>
      <c r="F19">
        <v>0.99554782757155802</v>
      </c>
    </row>
    <row r="20" spans="1:6" x14ac:dyDescent="0.3">
      <c r="A20">
        <v>61.2933635711669</v>
      </c>
      <c r="B20" t="s">
        <v>29</v>
      </c>
      <c r="C20">
        <v>0.93636195493421204</v>
      </c>
      <c r="D20">
        <v>0.96713525335300699</v>
      </c>
      <c r="E20">
        <v>0.99104237825869701</v>
      </c>
      <c r="F20">
        <v>0.99039241077080598</v>
      </c>
    </row>
    <row r="21" spans="1:6" x14ac:dyDescent="0.3">
      <c r="A21">
        <v>61.902999877929602</v>
      </c>
      <c r="B21" t="s">
        <v>30</v>
      </c>
      <c r="C21">
        <v>0.84810213466950302</v>
      </c>
      <c r="D21">
        <v>0.91780872794800294</v>
      </c>
      <c r="E21">
        <v>0.92102418843874601</v>
      </c>
      <c r="F21">
        <v>0.99774209807730896</v>
      </c>
    </row>
    <row r="22" spans="1:6" x14ac:dyDescent="0.3">
      <c r="A22">
        <v>60.319423675537102</v>
      </c>
      <c r="B22" t="s">
        <v>31</v>
      </c>
      <c r="C22">
        <v>0.96066942182576998</v>
      </c>
      <c r="D22">
        <v>0.97994022973153405</v>
      </c>
      <c r="E22">
        <v>0.99407226752703404</v>
      </c>
      <c r="F22">
        <v>0.99558725699552997</v>
      </c>
    </row>
    <row r="23" spans="1:6" x14ac:dyDescent="0.3">
      <c r="A23">
        <v>61.867475509643498</v>
      </c>
      <c r="B23" t="s">
        <v>32</v>
      </c>
      <c r="C23">
        <v>0.95588271742632602</v>
      </c>
      <c r="D23">
        <v>0.97744379957928795</v>
      </c>
      <c r="E23">
        <v>0.98147346990711204</v>
      </c>
      <c r="F23">
        <v>0.996608971183776</v>
      </c>
    </row>
    <row r="24" spans="1:6" x14ac:dyDescent="0.3">
      <c r="A24">
        <v>55.492401123046797</v>
      </c>
      <c r="B24" t="s">
        <v>33</v>
      </c>
      <c r="C24">
        <v>0.96049209841968397</v>
      </c>
      <c r="D24">
        <v>0.97984796694046195</v>
      </c>
      <c r="E24">
        <v>0.98839317525038595</v>
      </c>
      <c r="F24">
        <v>0.99602177667952196</v>
      </c>
    </row>
    <row r="25" spans="1:6" x14ac:dyDescent="0.3">
      <c r="A25">
        <v>61.974287033080998</v>
      </c>
      <c r="B25" t="s">
        <v>34</v>
      </c>
      <c r="C25">
        <v>0.83304813758534202</v>
      </c>
      <c r="D25">
        <v>0.90892117943253703</v>
      </c>
      <c r="E25">
        <v>0.84332458442694602</v>
      </c>
      <c r="F25">
        <v>0.99758871587434395</v>
      </c>
    </row>
    <row r="26" spans="1:6" x14ac:dyDescent="0.3">
      <c r="A26">
        <v>66.882133483886705</v>
      </c>
      <c r="B26" t="s">
        <v>35</v>
      </c>
      <c r="C26">
        <v>0.934369689093272</v>
      </c>
      <c r="D26">
        <v>0.96607147471510801</v>
      </c>
      <c r="E26">
        <v>0.97674783153934497</v>
      </c>
      <c r="F26">
        <v>0.99828169850539406</v>
      </c>
    </row>
    <row r="27" spans="1:6" x14ac:dyDescent="0.3">
      <c r="A27">
        <v>76.460838317871094</v>
      </c>
      <c r="B27" t="s">
        <v>36</v>
      </c>
      <c r="C27">
        <v>0.93568816039013802</v>
      </c>
      <c r="D27">
        <v>0.96677572300855497</v>
      </c>
      <c r="E27">
        <v>0.97815042749163605</v>
      </c>
      <c r="F27">
        <v>0.991251269765976</v>
      </c>
    </row>
    <row r="28" spans="1:6" x14ac:dyDescent="0.3">
      <c r="A28">
        <v>61.768293380737298</v>
      </c>
      <c r="B28" t="s">
        <v>37</v>
      </c>
      <c r="C28">
        <v>0.89851767388825499</v>
      </c>
      <c r="D28">
        <v>0.94654654654654602</v>
      </c>
      <c r="E28">
        <v>0.96326237898099498</v>
      </c>
      <c r="F28">
        <v>0.99552177726995505</v>
      </c>
    </row>
    <row r="29" spans="1:6" x14ac:dyDescent="0.3">
      <c r="A29">
        <v>59.7250461578369</v>
      </c>
      <c r="B29" t="s">
        <v>38</v>
      </c>
      <c r="C29">
        <v>0.93241379310344796</v>
      </c>
      <c r="D29">
        <v>0.96502498215560295</v>
      </c>
      <c r="E29">
        <v>0.98582945821753798</v>
      </c>
      <c r="F29">
        <v>0.99573312565965399</v>
      </c>
    </row>
    <row r="30" spans="1:6" x14ac:dyDescent="0.3">
      <c r="A30">
        <v>61.631917953491197</v>
      </c>
      <c r="B30" t="s">
        <v>39</v>
      </c>
      <c r="C30">
        <v>0.96053470239498395</v>
      </c>
      <c r="D30">
        <v>0.97987013565390801</v>
      </c>
      <c r="E30">
        <v>0.99046547222472303</v>
      </c>
      <c r="F30">
        <v>0.99630829029360801</v>
      </c>
    </row>
    <row r="31" spans="1:6" x14ac:dyDescent="0.3">
      <c r="A31">
        <v>61.860561370849602</v>
      </c>
      <c r="B31" t="s">
        <v>40</v>
      </c>
      <c r="C31">
        <v>0.96865964325463805</v>
      </c>
      <c r="D31">
        <v>0.98408035799751103</v>
      </c>
      <c r="E31">
        <v>0.98310990515010399</v>
      </c>
      <c r="F31">
        <v>0.99716768850020199</v>
      </c>
    </row>
    <row r="32" spans="1:6" x14ac:dyDescent="0.3">
      <c r="A32">
        <v>68.820238113403306</v>
      </c>
      <c r="B32" t="s">
        <v>41</v>
      </c>
      <c r="C32">
        <v>0.936629483408848</v>
      </c>
      <c r="D32">
        <v>0.96727793461059597</v>
      </c>
      <c r="E32">
        <v>0.97823038890118796</v>
      </c>
      <c r="F32">
        <v>0.99487857489299703</v>
      </c>
    </row>
    <row r="33" spans="1:6" x14ac:dyDescent="0.3">
      <c r="A33">
        <v>66.651821136474595</v>
      </c>
      <c r="B33" t="s">
        <v>42</v>
      </c>
      <c r="C33">
        <v>0.89481101425304399</v>
      </c>
      <c r="D33">
        <v>0.94448576403888895</v>
      </c>
      <c r="E33">
        <v>0.91511322838994702</v>
      </c>
      <c r="F33">
        <v>0.99718131368579899</v>
      </c>
    </row>
    <row r="34" spans="1:6" x14ac:dyDescent="0.3">
      <c r="A34">
        <v>71.322202682495103</v>
      </c>
      <c r="B34" t="s">
        <v>43</v>
      </c>
      <c r="C34">
        <v>0.87976832960379003</v>
      </c>
      <c r="D34">
        <v>0.93603910199851503</v>
      </c>
      <c r="E34">
        <v>0.89273374888691004</v>
      </c>
      <c r="F34">
        <v>0.99823235883436001</v>
      </c>
    </row>
    <row r="35" spans="1:6" x14ac:dyDescent="0.3">
      <c r="A35">
        <v>76.569795608520494</v>
      </c>
      <c r="B35" t="s">
        <v>44</v>
      </c>
      <c r="C35">
        <v>0.94355944541314596</v>
      </c>
      <c r="D35">
        <v>0.97096021183192804</v>
      </c>
      <c r="E35">
        <v>0.98326732585934595</v>
      </c>
      <c r="F35">
        <v>0.99489844472602196</v>
      </c>
    </row>
    <row r="36" spans="1:6" x14ac:dyDescent="0.3">
      <c r="A36">
        <v>62.293052673339801</v>
      </c>
      <c r="B36" t="s">
        <v>45</v>
      </c>
      <c r="C36">
        <v>0.96258720391825903</v>
      </c>
      <c r="D36">
        <v>0.98093700192936795</v>
      </c>
      <c r="E36">
        <v>0.98556679308891704</v>
      </c>
      <c r="F36">
        <v>0.99624915581176698</v>
      </c>
    </row>
    <row r="37" spans="1:6" x14ac:dyDescent="0.3">
      <c r="A37">
        <v>67.080259323120103</v>
      </c>
      <c r="B37" t="s">
        <v>46</v>
      </c>
      <c r="C37">
        <v>0.92773071444636002</v>
      </c>
      <c r="D37">
        <v>0.96251069456327198</v>
      </c>
      <c r="E37">
        <v>0.95692854933498295</v>
      </c>
      <c r="F37">
        <v>0.99879082572441502</v>
      </c>
    </row>
    <row r="38" spans="1:6" x14ac:dyDescent="0.3">
      <c r="A38">
        <v>61.644792556762603</v>
      </c>
      <c r="B38" t="s">
        <v>47</v>
      </c>
      <c r="C38">
        <v>0.93064944587736598</v>
      </c>
      <c r="D38">
        <v>0.96407915778251596</v>
      </c>
      <c r="E38">
        <v>0.97028567596566495</v>
      </c>
      <c r="F38">
        <v>0.99293906539063603</v>
      </c>
    </row>
    <row r="39" spans="1:6" x14ac:dyDescent="0.3">
      <c r="A39">
        <v>67.175149917602496</v>
      </c>
      <c r="B39" t="s">
        <v>48</v>
      </c>
      <c r="C39">
        <v>0.94825967196694605</v>
      </c>
      <c r="D39">
        <v>0.97344279678036005</v>
      </c>
      <c r="E39">
        <v>0.97831843546553598</v>
      </c>
      <c r="F39">
        <v>0.99450849460248103</v>
      </c>
    </row>
    <row r="40" spans="1:6" x14ac:dyDescent="0.3">
      <c r="A40">
        <v>67.195892333984304</v>
      </c>
      <c r="B40" t="s">
        <v>49</v>
      </c>
      <c r="C40">
        <v>0.96504647316143399</v>
      </c>
      <c r="D40">
        <v>0.98221236631501496</v>
      </c>
      <c r="E40">
        <v>0.98581377796075198</v>
      </c>
      <c r="F40">
        <v>0.99730789369774497</v>
      </c>
    </row>
    <row r="41" spans="1:6" x14ac:dyDescent="0.3">
      <c r="A41">
        <v>62.194347381591797</v>
      </c>
      <c r="B41" t="s">
        <v>50</v>
      </c>
      <c r="C41">
        <v>0.94987979021038804</v>
      </c>
      <c r="D41">
        <v>0.97429574374725703</v>
      </c>
      <c r="E41">
        <v>0.99420603933087304</v>
      </c>
      <c r="F41">
        <v>0.99443808783786602</v>
      </c>
    </row>
    <row r="42" spans="1:6" x14ac:dyDescent="0.3">
      <c r="A42">
        <v>60.373783111572202</v>
      </c>
      <c r="B42" t="s">
        <v>51</v>
      </c>
      <c r="C42">
        <v>0.95981634527088999</v>
      </c>
      <c r="D42">
        <v>0.979496214109003</v>
      </c>
      <c r="E42">
        <v>0.97696937974352205</v>
      </c>
      <c r="F42">
        <v>0.99851910754026196</v>
      </c>
    </row>
    <row r="43" spans="1:6" x14ac:dyDescent="0.3">
      <c r="A43">
        <v>70.8355903625488</v>
      </c>
      <c r="B43" t="s">
        <v>52</v>
      </c>
      <c r="C43">
        <v>0.94631078151215398</v>
      </c>
      <c r="D43">
        <v>0.97241487896083401</v>
      </c>
      <c r="E43">
        <v>0.96183675694195703</v>
      </c>
      <c r="F43">
        <v>0.997710165907011</v>
      </c>
    </row>
    <row r="44" spans="1:6" x14ac:dyDescent="0.3">
      <c r="A44">
        <v>65.0677680969238</v>
      </c>
      <c r="B44" t="s">
        <v>53</v>
      </c>
      <c r="C44">
        <v>0.89844693701466705</v>
      </c>
      <c r="D44">
        <v>0.94650729445984605</v>
      </c>
      <c r="E44">
        <v>0.96514968949856295</v>
      </c>
      <c r="F44">
        <v>0.99844011380742703</v>
      </c>
    </row>
    <row r="45" spans="1:6" x14ac:dyDescent="0.3">
      <c r="A45">
        <v>64.922094345092702</v>
      </c>
      <c r="B45" t="s">
        <v>54</v>
      </c>
      <c r="C45">
        <v>0.94861591565111802</v>
      </c>
      <c r="D45">
        <v>0.97363047076842102</v>
      </c>
      <c r="E45">
        <v>0.96387821052792799</v>
      </c>
      <c r="F45">
        <v>0.99771130404470598</v>
      </c>
    </row>
    <row r="46" spans="1:6" x14ac:dyDescent="0.3">
      <c r="A46">
        <v>66.742897033691406</v>
      </c>
      <c r="B46" t="s">
        <v>55</v>
      </c>
      <c r="C46">
        <v>0.935488815356457</v>
      </c>
      <c r="D46">
        <v>0.96666930641411997</v>
      </c>
      <c r="E46">
        <v>0.98829356574748695</v>
      </c>
      <c r="F46">
        <v>0.99371973662317603</v>
      </c>
    </row>
    <row r="47" spans="1:6" x14ac:dyDescent="0.3">
      <c r="A47">
        <v>60.054779052734297</v>
      </c>
      <c r="B47" t="s">
        <v>56</v>
      </c>
      <c r="C47">
        <v>0.95846471980762205</v>
      </c>
      <c r="D47">
        <v>0.97879191809160704</v>
      </c>
      <c r="E47">
        <v>0.98607060001347602</v>
      </c>
      <c r="F47">
        <v>0.99683284022885699</v>
      </c>
    </row>
    <row r="48" spans="1:6" x14ac:dyDescent="0.3">
      <c r="A48">
        <v>68.236589431762695</v>
      </c>
      <c r="B48" t="s">
        <v>57</v>
      </c>
      <c r="C48">
        <v>0.85072669191224604</v>
      </c>
      <c r="D48">
        <v>0.91934340778674395</v>
      </c>
      <c r="E48">
        <v>0.98145119957044802</v>
      </c>
      <c r="F48">
        <v>0.993751507290073</v>
      </c>
    </row>
    <row r="49" spans="1:6" x14ac:dyDescent="0.3">
      <c r="A49">
        <v>67.975997924804602</v>
      </c>
      <c r="B49" t="s">
        <v>58</v>
      </c>
      <c r="C49">
        <v>0.94915437774408795</v>
      </c>
      <c r="D49">
        <v>0.97391400966671504</v>
      </c>
      <c r="E49">
        <v>0.97518964296551003</v>
      </c>
      <c r="F49">
        <v>0.997144379418472</v>
      </c>
    </row>
    <row r="50" spans="1:6" x14ac:dyDescent="0.3">
      <c r="A50">
        <v>63.380479812621999</v>
      </c>
      <c r="B50" t="s">
        <v>59</v>
      </c>
      <c r="C50">
        <v>0.95172844431339199</v>
      </c>
      <c r="D50">
        <v>0.97526727868968999</v>
      </c>
      <c r="E50">
        <v>0.98816791831001105</v>
      </c>
      <c r="F50">
        <v>0.99785911873432198</v>
      </c>
    </row>
    <row r="51" spans="1:6" x14ac:dyDescent="0.3">
      <c r="A51">
        <v>64.626932144164996</v>
      </c>
      <c r="B51" t="s">
        <v>60</v>
      </c>
      <c r="C51">
        <v>0.94330073581424501</v>
      </c>
      <c r="D51">
        <v>0.97082321683884998</v>
      </c>
      <c r="E51">
        <v>0.96663353684509401</v>
      </c>
      <c r="F51">
        <v>0.99638156060776595</v>
      </c>
    </row>
    <row r="52" spans="1:6" x14ac:dyDescent="0.3">
      <c r="A52">
        <v>71.907997131347599</v>
      </c>
      <c r="B52" t="s">
        <v>61</v>
      </c>
      <c r="C52">
        <v>0.80830237715221898</v>
      </c>
      <c r="D52">
        <v>0.89399028322371998</v>
      </c>
      <c r="E52">
        <v>0.851161614659249</v>
      </c>
      <c r="F52">
        <v>0.99636721958297902</v>
      </c>
    </row>
    <row r="53" spans="1:6" x14ac:dyDescent="0.3">
      <c r="A53">
        <v>71.811914443969698</v>
      </c>
      <c r="B53" t="s">
        <v>62</v>
      </c>
      <c r="C53">
        <v>0.93462101258413799</v>
      </c>
      <c r="D53">
        <v>0.96620579069978496</v>
      </c>
      <c r="E53">
        <v>0.96169597687304198</v>
      </c>
      <c r="F53">
        <v>0.99695875028452396</v>
      </c>
    </row>
    <row r="54" spans="1:6" x14ac:dyDescent="0.3">
      <c r="A54">
        <v>61.729669570922802</v>
      </c>
      <c r="B54" t="s">
        <v>63</v>
      </c>
      <c r="C54">
        <v>0.95900360729258005</v>
      </c>
      <c r="D54">
        <v>0.97907283449871796</v>
      </c>
      <c r="E54">
        <v>0.98981655715105099</v>
      </c>
      <c r="F54">
        <v>0.99663611107892003</v>
      </c>
    </row>
    <row r="55" spans="1:6" x14ac:dyDescent="0.3">
      <c r="A55">
        <v>60.059070587158203</v>
      </c>
      <c r="B55" t="s">
        <v>64</v>
      </c>
      <c r="C55">
        <v>0.95333391213752305</v>
      </c>
      <c r="D55">
        <v>0.97610951841233795</v>
      </c>
      <c r="E55">
        <v>0.98316694274074401</v>
      </c>
      <c r="F55">
        <v>0.99786361575646998</v>
      </c>
    </row>
    <row r="56" spans="1:6" x14ac:dyDescent="0.3">
      <c r="A56">
        <v>66.615104675292898</v>
      </c>
      <c r="B56" t="s">
        <v>65</v>
      </c>
      <c r="C56">
        <v>0.94070174719895105</v>
      </c>
      <c r="D56">
        <v>0.96944494284779403</v>
      </c>
      <c r="E56">
        <v>0.963428619377936</v>
      </c>
      <c r="F56">
        <v>0.99618471500759698</v>
      </c>
    </row>
    <row r="57" spans="1:6" x14ac:dyDescent="0.3">
      <c r="A57">
        <v>61.21826171875</v>
      </c>
      <c r="B57" t="s">
        <v>66</v>
      </c>
      <c r="C57">
        <v>0.94435852719555102</v>
      </c>
      <c r="D57">
        <v>0.971383120949044</v>
      </c>
      <c r="E57">
        <v>0.96370977896795695</v>
      </c>
      <c r="F57">
        <v>0.99737372411515102</v>
      </c>
    </row>
    <row r="58" spans="1:6" x14ac:dyDescent="0.3">
      <c r="A58">
        <v>64.505815505981403</v>
      </c>
      <c r="B58" t="s">
        <v>67</v>
      </c>
      <c r="C58">
        <v>0.93651785672012</v>
      </c>
      <c r="D58">
        <v>0.96721840541796</v>
      </c>
      <c r="E58">
        <v>0.95996602766318795</v>
      </c>
      <c r="F58">
        <v>0.99387674683036398</v>
      </c>
    </row>
    <row r="59" spans="1:6" x14ac:dyDescent="0.3">
      <c r="A59">
        <v>71.650743484496999</v>
      </c>
      <c r="B59" t="s">
        <v>68</v>
      </c>
      <c r="C59">
        <v>0.95249843997503902</v>
      </c>
      <c r="D59">
        <v>0.97567139668210501</v>
      </c>
      <c r="E59">
        <v>0.97805664264660896</v>
      </c>
      <c r="F59">
        <v>0.997126063604583</v>
      </c>
    </row>
    <row r="60" spans="1:6" x14ac:dyDescent="0.3">
      <c r="A60">
        <v>61.734199523925703</v>
      </c>
      <c r="B60" t="s">
        <v>69</v>
      </c>
      <c r="C60">
        <v>0.866348417811586</v>
      </c>
      <c r="D60">
        <v>0.92838872907496595</v>
      </c>
      <c r="E60">
        <v>0.99106858762329697</v>
      </c>
      <c r="F60">
        <v>0.97870127595285905</v>
      </c>
    </row>
    <row r="61" spans="1:6" x14ac:dyDescent="0.3">
      <c r="A61">
        <v>67.096710205078097</v>
      </c>
      <c r="B61" t="s">
        <v>70</v>
      </c>
      <c r="C61">
        <v>0.952572745915372</v>
      </c>
      <c r="D61">
        <v>0.97571037791865001</v>
      </c>
      <c r="E61">
        <v>0.98979158397571099</v>
      </c>
      <c r="F61">
        <v>0.99379978761703403</v>
      </c>
    </row>
    <row r="62" spans="1:6" x14ac:dyDescent="0.3">
      <c r="A62">
        <v>76.405525207519503</v>
      </c>
      <c r="B62" t="s">
        <v>71</v>
      </c>
      <c r="C62">
        <v>0.95411638393815701</v>
      </c>
      <c r="D62">
        <v>0.97651950700634704</v>
      </c>
      <c r="E62">
        <v>0.97287616044841396</v>
      </c>
      <c r="F62">
        <v>0.99759737841343499</v>
      </c>
    </row>
    <row r="63" spans="1:6" x14ac:dyDescent="0.3">
      <c r="A63">
        <v>68.922519683837805</v>
      </c>
      <c r="B63" t="s">
        <v>72</v>
      </c>
      <c r="C63">
        <v>0.92505046688079795</v>
      </c>
      <c r="D63">
        <v>0.96106619831081896</v>
      </c>
      <c r="E63">
        <v>0.96069399979345205</v>
      </c>
      <c r="F63">
        <v>0.99607983642694498</v>
      </c>
    </row>
    <row r="64" spans="1:6" x14ac:dyDescent="0.3">
      <c r="A64">
        <v>66.999197006225501</v>
      </c>
      <c r="B64" t="s">
        <v>73</v>
      </c>
      <c r="C64">
        <v>0.93670995733498896</v>
      </c>
      <c r="D64">
        <v>0.96732084614667702</v>
      </c>
      <c r="E64">
        <v>0.95652109810397101</v>
      </c>
      <c r="F64">
        <v>0.99685735066664904</v>
      </c>
    </row>
    <row r="65" spans="1:6" x14ac:dyDescent="0.3">
      <c r="A65">
        <v>61.714649200439403</v>
      </c>
      <c r="B65" t="s">
        <v>74</v>
      </c>
      <c r="C65">
        <v>0.92572546006914103</v>
      </c>
      <c r="D65">
        <v>0.96143035885904904</v>
      </c>
      <c r="E65">
        <v>0.95414627123524298</v>
      </c>
      <c r="F65">
        <v>0.999164374328952</v>
      </c>
    </row>
    <row r="66" spans="1:6" x14ac:dyDescent="0.3">
      <c r="A66">
        <v>60.029268264770501</v>
      </c>
      <c r="B66" t="s">
        <v>75</v>
      </c>
      <c r="C66">
        <v>0.96623641382153802</v>
      </c>
      <c r="D66">
        <v>0.98282831813045302</v>
      </c>
      <c r="E66">
        <v>0.99560994606842301</v>
      </c>
      <c r="F66">
        <v>0.99732735446480103</v>
      </c>
    </row>
    <row r="67" spans="1:6" x14ac:dyDescent="0.3">
      <c r="A67">
        <v>59.832096099853501</v>
      </c>
      <c r="B67" t="s">
        <v>76</v>
      </c>
      <c r="C67">
        <v>0.94033455586367298</v>
      </c>
      <c r="D67">
        <v>0.96924991932137705</v>
      </c>
      <c r="E67">
        <v>0.99734345351043596</v>
      </c>
      <c r="F67">
        <v>0.99322501844830602</v>
      </c>
    </row>
    <row r="68" spans="1:6" x14ac:dyDescent="0.3">
      <c r="A68">
        <v>61.7446899414062</v>
      </c>
      <c r="B68" t="s">
        <v>77</v>
      </c>
      <c r="C68">
        <v>0.93737999953734696</v>
      </c>
      <c r="D68">
        <v>0.96767799787465203</v>
      </c>
      <c r="E68">
        <v>0.97692808409074405</v>
      </c>
      <c r="F68">
        <v>0.99826233222817595</v>
      </c>
    </row>
    <row r="69" spans="1:6" x14ac:dyDescent="0.3">
      <c r="A69">
        <v>61.906099319458001</v>
      </c>
      <c r="B69" t="s">
        <v>78</v>
      </c>
      <c r="C69">
        <v>0.931666808377972</v>
      </c>
      <c r="D69">
        <v>0.96462475240261103</v>
      </c>
      <c r="E69">
        <v>0.97733466794842505</v>
      </c>
      <c r="F69">
        <v>0.99478090016281895</v>
      </c>
    </row>
    <row r="70" spans="1:6" x14ac:dyDescent="0.3">
      <c r="A70">
        <v>71.9974040985107</v>
      </c>
      <c r="B70" t="s">
        <v>79</v>
      </c>
      <c r="C70">
        <v>0.87824523057594495</v>
      </c>
      <c r="D70">
        <v>0.935176319129148</v>
      </c>
      <c r="E70">
        <v>0.89906446554731401</v>
      </c>
      <c r="F70">
        <v>0.99712210365560205</v>
      </c>
    </row>
    <row r="71" spans="1:6" x14ac:dyDescent="0.3">
      <c r="A71">
        <v>65.447330474853501</v>
      </c>
      <c r="B71" t="s">
        <v>80</v>
      </c>
      <c r="C71">
        <v>0.956985636603912</v>
      </c>
      <c r="D71">
        <v>0.97802009243627697</v>
      </c>
      <c r="E71">
        <v>0.97918536990856198</v>
      </c>
      <c r="F71">
        <v>0.99781604026082305</v>
      </c>
    </row>
    <row r="72" spans="1:6" x14ac:dyDescent="0.3">
      <c r="A72">
        <v>65.363168716430593</v>
      </c>
      <c r="B72" t="s">
        <v>81</v>
      </c>
      <c r="C72">
        <v>0.82097614691626697</v>
      </c>
      <c r="D72">
        <v>0.90168797466847606</v>
      </c>
      <c r="E72">
        <v>0.83916654111015498</v>
      </c>
      <c r="F72">
        <v>0.99732833197078197</v>
      </c>
    </row>
    <row r="73" spans="1:6" x14ac:dyDescent="0.3">
      <c r="A73">
        <v>61.838865280151303</v>
      </c>
      <c r="B73" t="s">
        <v>82</v>
      </c>
      <c r="C73">
        <v>0.92291820349166598</v>
      </c>
      <c r="D73">
        <v>0.95991415736334096</v>
      </c>
      <c r="E73">
        <v>0.99065881731905703</v>
      </c>
      <c r="F73">
        <v>0.99334744418499399</v>
      </c>
    </row>
    <row r="74" spans="1:6" x14ac:dyDescent="0.3">
      <c r="A74">
        <v>69.093704223632798</v>
      </c>
      <c r="B74" t="s">
        <v>83</v>
      </c>
      <c r="C74">
        <v>0.952689123987428</v>
      </c>
      <c r="D74">
        <v>0.97577142442624798</v>
      </c>
      <c r="E74">
        <v>0.98813623132512396</v>
      </c>
      <c r="F74">
        <v>0.99568786162846001</v>
      </c>
    </row>
    <row r="75" spans="1:6" x14ac:dyDescent="0.3">
      <c r="A75">
        <v>62.031507492065401</v>
      </c>
      <c r="B75" t="s">
        <v>84</v>
      </c>
      <c r="C75">
        <v>0.71165635363875202</v>
      </c>
      <c r="D75">
        <v>0.83154115851101296</v>
      </c>
      <c r="E75">
        <v>0.73452966629126903</v>
      </c>
      <c r="F75">
        <v>0.99778919815878597</v>
      </c>
    </row>
    <row r="76" spans="1:6" x14ac:dyDescent="0.3">
      <c r="A76">
        <v>60.203313827514599</v>
      </c>
      <c r="B76" t="s">
        <v>85</v>
      </c>
      <c r="C76">
        <v>0.96279425927972595</v>
      </c>
      <c r="D76">
        <v>0.98104450298630497</v>
      </c>
      <c r="E76">
        <v>0.98406435579653995</v>
      </c>
      <c r="F76">
        <v>0.99703884755147898</v>
      </c>
    </row>
    <row r="77" spans="1:6" x14ac:dyDescent="0.3">
      <c r="A77">
        <v>71.608066558837805</v>
      </c>
      <c r="B77" t="s">
        <v>86</v>
      </c>
      <c r="C77">
        <v>0.97342671423807003</v>
      </c>
      <c r="D77">
        <v>0.98653444509988297</v>
      </c>
      <c r="E77">
        <v>0.98832127980373596</v>
      </c>
      <c r="F77">
        <v>0.99731517893575705</v>
      </c>
    </row>
    <row r="78" spans="1:6" x14ac:dyDescent="0.3">
      <c r="A78" s="1">
        <f>AVERAGE(A4:A77)</f>
        <v>65.36250823252908</v>
      </c>
      <c r="B78" s="1"/>
      <c r="C78" s="1">
        <f>SUBTOTAL(101,MobSam_test3[Column3])</f>
        <v>0.92576861419175394</v>
      </c>
      <c r="D78" s="1">
        <f>SUBTOTAL(101,MobSam_test3[Column4])</f>
        <v>0.96069362334286379</v>
      </c>
      <c r="E78" s="1">
        <f>SUBTOTAL(101,MobSam_test3[Column5])</f>
        <v>0.96206867006811991</v>
      </c>
      <c r="F78" s="1">
        <f>SUBTOTAL(101,MobSam_test3[Column6])</f>
        <v>0.99604784725412665</v>
      </c>
    </row>
    <row r="79" spans="1:6" x14ac:dyDescent="0.3">
      <c r="A79" s="1">
        <f>STDEVA(A4:A77)</f>
        <v>4.5846842043268499</v>
      </c>
      <c r="B79" s="1"/>
      <c r="C79" s="1">
        <f>STDEVA(C3:C77)</f>
        <v>5.0555607697852396E-2</v>
      </c>
      <c r="D79" s="1">
        <f>STDEVA(D3:D77)</f>
        <v>2.9373620964872307E-2</v>
      </c>
      <c r="E79" s="1">
        <f>STDEVA(E3:E77)</f>
        <v>5.0237690658304419E-2</v>
      </c>
      <c r="F79" s="1">
        <f>STDEVA(F3:F77)</f>
        <v>2.6904452026534982E-3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98985-DBFE-4233-ADE2-F099E5E8F72B}">
  <dimension ref="A1:F79"/>
  <sheetViews>
    <sheetView topLeftCell="A43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3" width="20.77734375" customWidth="1"/>
    <col min="4" max="6" width="1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1412.8537178039501</v>
      </c>
      <c r="B3" t="s">
        <v>12</v>
      </c>
      <c r="C3">
        <v>0.91969970107021404</v>
      </c>
      <c r="D3">
        <v>0.95817038525086995</v>
      </c>
      <c r="E3">
        <v>0.948597250988514</v>
      </c>
      <c r="F3">
        <v>0.99934272457648798</v>
      </c>
    </row>
    <row r="4" spans="1:6" x14ac:dyDescent="0.3">
      <c r="A4">
        <v>146.17419242858799</v>
      </c>
      <c r="B4" t="s">
        <v>13</v>
      </c>
      <c r="C4">
        <v>0.95849357265193103</v>
      </c>
      <c r="D4">
        <v>0.97880696269435996</v>
      </c>
      <c r="E4">
        <v>0.96380244639443802</v>
      </c>
      <c r="F4">
        <v>0.99954153375235799</v>
      </c>
    </row>
    <row r="5" spans="1:6" x14ac:dyDescent="0.3">
      <c r="A5">
        <v>131.46686553955001</v>
      </c>
      <c r="B5" t="s">
        <v>14</v>
      </c>
      <c r="C5">
        <v>0.96195396064693295</v>
      </c>
      <c r="D5">
        <v>0.980608087592167</v>
      </c>
      <c r="E5">
        <v>0.98705398279338297</v>
      </c>
      <c r="F5">
        <v>0.99854378151427303</v>
      </c>
    </row>
    <row r="6" spans="1:6" x14ac:dyDescent="0.3">
      <c r="A6">
        <v>140.46835899352999</v>
      </c>
      <c r="B6" t="s">
        <v>15</v>
      </c>
      <c r="C6">
        <v>0.94669734624162705</v>
      </c>
      <c r="D6">
        <v>0.97261893130882304</v>
      </c>
      <c r="E6">
        <v>0.95837014217651595</v>
      </c>
      <c r="F6">
        <v>0.99819430115695196</v>
      </c>
    </row>
    <row r="7" spans="1:6" x14ac:dyDescent="0.3">
      <c r="A7">
        <v>134.90295410156199</v>
      </c>
      <c r="B7" t="s">
        <v>16</v>
      </c>
      <c r="C7">
        <v>0.94959619661957495</v>
      </c>
      <c r="D7">
        <v>0.974146542002995</v>
      </c>
      <c r="E7">
        <v>0.96411355815329103</v>
      </c>
      <c r="F7">
        <v>0.99735348411722702</v>
      </c>
    </row>
    <row r="8" spans="1:6" x14ac:dyDescent="0.3">
      <c r="A8">
        <v>130.79595565795799</v>
      </c>
      <c r="B8" t="s">
        <v>17</v>
      </c>
      <c r="C8">
        <v>0.91106038763414998</v>
      </c>
      <c r="D8">
        <v>0.95346059551997897</v>
      </c>
      <c r="E8">
        <v>0.93218880603130305</v>
      </c>
      <c r="F8">
        <v>0.99972379384284704</v>
      </c>
    </row>
    <row r="9" spans="1:6" x14ac:dyDescent="0.3">
      <c r="A9">
        <v>132.10082054138101</v>
      </c>
      <c r="B9" t="s">
        <v>18</v>
      </c>
      <c r="C9">
        <v>0.93416496612364497</v>
      </c>
      <c r="D9">
        <v>0.96596203786676005</v>
      </c>
      <c r="E9">
        <v>0.94096333773337304</v>
      </c>
      <c r="F9">
        <v>0.99896434082221397</v>
      </c>
    </row>
    <row r="10" spans="1:6" x14ac:dyDescent="0.3">
      <c r="A10">
        <v>130.480289459228</v>
      </c>
      <c r="B10" t="s">
        <v>19</v>
      </c>
      <c r="C10">
        <v>0.94690910801656003</v>
      </c>
      <c r="D10">
        <v>0.97273067768555099</v>
      </c>
      <c r="E10">
        <v>0.95101783675237195</v>
      </c>
      <c r="F10">
        <v>0.99939438237443801</v>
      </c>
    </row>
    <row r="11" spans="1:6" x14ac:dyDescent="0.3">
      <c r="A11">
        <v>130.20277023315401</v>
      </c>
      <c r="B11" t="s">
        <v>20</v>
      </c>
      <c r="C11">
        <v>0.954935695913118</v>
      </c>
      <c r="D11">
        <v>0.97694844685628701</v>
      </c>
      <c r="E11">
        <v>0.969645261642754</v>
      </c>
      <c r="F11">
        <v>0.99860411591202602</v>
      </c>
    </row>
    <row r="12" spans="1:6" x14ac:dyDescent="0.3">
      <c r="A12">
        <v>134.21654701232899</v>
      </c>
      <c r="B12" t="s">
        <v>21</v>
      </c>
      <c r="C12">
        <v>0.95142684085183704</v>
      </c>
      <c r="D12">
        <v>0.97510890076362799</v>
      </c>
      <c r="E12">
        <v>0.96363091337506801</v>
      </c>
      <c r="F12">
        <v>0.99904670819012298</v>
      </c>
    </row>
    <row r="13" spans="1:6" x14ac:dyDescent="0.3">
      <c r="A13">
        <v>133.32366943359301</v>
      </c>
      <c r="B13" t="s">
        <v>22</v>
      </c>
      <c r="C13">
        <v>0.94664553459724698</v>
      </c>
      <c r="D13">
        <v>0.97259158667846901</v>
      </c>
      <c r="E13">
        <v>0.95128880077609101</v>
      </c>
      <c r="F13">
        <v>0.99906869239937002</v>
      </c>
    </row>
    <row r="14" spans="1:6" x14ac:dyDescent="0.3">
      <c r="A14">
        <v>130.450963973999</v>
      </c>
      <c r="B14" t="s">
        <v>23</v>
      </c>
      <c r="C14">
        <v>0.95932436466937399</v>
      </c>
      <c r="D14">
        <v>0.97923996860137597</v>
      </c>
      <c r="E14">
        <v>0.97167991569494305</v>
      </c>
      <c r="F14">
        <v>0.998484917899366</v>
      </c>
    </row>
    <row r="15" spans="1:6" x14ac:dyDescent="0.3">
      <c r="A15">
        <v>145.991802215576</v>
      </c>
      <c r="B15" t="s">
        <v>24</v>
      </c>
      <c r="C15">
        <v>0.888049285695235</v>
      </c>
      <c r="D15">
        <v>0.94070561867586999</v>
      </c>
      <c r="E15">
        <v>0.968719190325802</v>
      </c>
      <c r="F15">
        <v>0.98407133719259399</v>
      </c>
    </row>
    <row r="16" spans="1:6" x14ac:dyDescent="0.3">
      <c r="A16">
        <v>134.054660797119</v>
      </c>
      <c r="B16" t="s">
        <v>25</v>
      </c>
      <c r="C16">
        <v>0.88232834005018601</v>
      </c>
      <c r="D16">
        <v>0.93748611363590395</v>
      </c>
      <c r="E16">
        <v>0.91047118364784796</v>
      </c>
      <c r="F16">
        <v>0.99791126606051395</v>
      </c>
    </row>
    <row r="17" spans="1:6" x14ac:dyDescent="0.3">
      <c r="A17">
        <v>141.40772819519</v>
      </c>
      <c r="B17" t="s">
        <v>26</v>
      </c>
      <c r="C17">
        <v>0.94466786293323701</v>
      </c>
      <c r="D17">
        <v>0.97154674167170996</v>
      </c>
      <c r="E17">
        <v>0.97722667382902795</v>
      </c>
      <c r="F17">
        <v>0.99335697419924396</v>
      </c>
    </row>
    <row r="18" spans="1:6" x14ac:dyDescent="0.3">
      <c r="A18">
        <v>130.86390495300199</v>
      </c>
      <c r="B18" t="s">
        <v>27</v>
      </c>
      <c r="C18">
        <v>0.74660869306252498</v>
      </c>
      <c r="D18">
        <v>0.854923825843798</v>
      </c>
      <c r="E18">
        <v>0.91323036572927296</v>
      </c>
      <c r="F18">
        <v>0.99393024011540099</v>
      </c>
    </row>
    <row r="19" spans="1:6" x14ac:dyDescent="0.3">
      <c r="A19">
        <v>130.674600601196</v>
      </c>
      <c r="B19" t="s">
        <v>28</v>
      </c>
      <c r="C19">
        <v>0.92826772558382997</v>
      </c>
      <c r="D19">
        <v>0.96279962918818696</v>
      </c>
      <c r="E19">
        <v>0.948282158975295</v>
      </c>
      <c r="F19">
        <v>0.99917223103016894</v>
      </c>
    </row>
    <row r="20" spans="1:6" x14ac:dyDescent="0.3">
      <c r="A20">
        <v>130.569219589233</v>
      </c>
      <c r="B20" t="s">
        <v>29</v>
      </c>
      <c r="C20">
        <v>0.93266133764523296</v>
      </c>
      <c r="D20">
        <v>0.96515754672424203</v>
      </c>
      <c r="E20">
        <v>0.95474750710824496</v>
      </c>
      <c r="F20">
        <v>0.99911241730195799</v>
      </c>
    </row>
    <row r="21" spans="1:6" x14ac:dyDescent="0.3">
      <c r="A21">
        <v>131.27017021179199</v>
      </c>
      <c r="B21" t="s">
        <v>30</v>
      </c>
      <c r="C21">
        <v>0.92419239783960005</v>
      </c>
      <c r="D21">
        <v>0.96060289904194895</v>
      </c>
      <c r="E21">
        <v>0.95149715676605695</v>
      </c>
      <c r="F21">
        <v>0.99857654555509101</v>
      </c>
    </row>
    <row r="22" spans="1:6" x14ac:dyDescent="0.3">
      <c r="A22">
        <v>130.68509101867599</v>
      </c>
      <c r="B22" t="s">
        <v>31</v>
      </c>
      <c r="C22">
        <v>0.93168117083885404</v>
      </c>
      <c r="D22">
        <v>0.96463245063807401</v>
      </c>
      <c r="E22">
        <v>0.95188496298374203</v>
      </c>
      <c r="F22">
        <v>0.99910725448619597</v>
      </c>
    </row>
    <row r="23" spans="1:6" x14ac:dyDescent="0.3">
      <c r="A23">
        <v>132.73358345031701</v>
      </c>
      <c r="B23" t="s">
        <v>32</v>
      </c>
      <c r="C23">
        <v>0.168738728892289</v>
      </c>
      <c r="D23">
        <v>0.28875355067974301</v>
      </c>
      <c r="E23">
        <v>0.94205454007053002</v>
      </c>
      <c r="F23">
        <v>0.44807906985288898</v>
      </c>
    </row>
    <row r="24" spans="1:6" x14ac:dyDescent="0.3">
      <c r="A24">
        <v>133.47578048706001</v>
      </c>
      <c r="B24" t="s">
        <v>33</v>
      </c>
      <c r="C24">
        <v>0.63719167554467604</v>
      </c>
      <c r="D24">
        <v>0.77839593868285295</v>
      </c>
      <c r="E24">
        <v>0.64638573102116903</v>
      </c>
      <c r="F24">
        <v>0.99910417304774701</v>
      </c>
    </row>
    <row r="25" spans="1:6" x14ac:dyDescent="0.3">
      <c r="A25">
        <v>132.88760185241699</v>
      </c>
      <c r="B25" t="s">
        <v>34</v>
      </c>
      <c r="C25">
        <v>0.92122101017508395</v>
      </c>
      <c r="D25">
        <v>0.95899535274302605</v>
      </c>
      <c r="E25">
        <v>0.94895280542388205</v>
      </c>
      <c r="F25">
        <v>0.99921114453821502</v>
      </c>
    </row>
    <row r="26" spans="1:6" x14ac:dyDescent="0.3">
      <c r="A26">
        <v>132.23886489868099</v>
      </c>
      <c r="B26" t="s">
        <v>35</v>
      </c>
      <c r="C26">
        <v>0.91639928698752204</v>
      </c>
      <c r="D26">
        <v>0.95637615105571505</v>
      </c>
      <c r="E26">
        <v>0.95062869822485196</v>
      </c>
      <c r="F26">
        <v>0.99858450523752995</v>
      </c>
    </row>
    <row r="27" spans="1:6" x14ac:dyDescent="0.3">
      <c r="A27">
        <v>131.371259689331</v>
      </c>
      <c r="B27" t="s">
        <v>36</v>
      </c>
      <c r="C27">
        <v>0.93723409995558804</v>
      </c>
      <c r="D27">
        <v>0.96760025025067897</v>
      </c>
      <c r="E27">
        <v>0.95896257665585105</v>
      </c>
      <c r="F27">
        <v>0.99703013711746402</v>
      </c>
    </row>
    <row r="28" spans="1:6" x14ac:dyDescent="0.3">
      <c r="A28">
        <v>131.51836395263601</v>
      </c>
      <c r="B28" t="s">
        <v>37</v>
      </c>
      <c r="C28">
        <v>0.95827114024271498</v>
      </c>
      <c r="D28">
        <v>0.97869096934548405</v>
      </c>
      <c r="E28">
        <v>0.96591480541143804</v>
      </c>
      <c r="F28">
        <v>0.99893330096604305</v>
      </c>
    </row>
    <row r="29" spans="1:6" x14ac:dyDescent="0.3">
      <c r="A29">
        <v>130.02514839172301</v>
      </c>
      <c r="B29" t="s">
        <v>38</v>
      </c>
      <c r="C29">
        <v>4.74508270547358E-2</v>
      </c>
      <c r="D29">
        <v>9.0602490979285397E-2</v>
      </c>
      <c r="E29">
        <v>0.53058298679441795</v>
      </c>
      <c r="F29">
        <v>0.41700882935238298</v>
      </c>
    </row>
    <row r="30" spans="1:6" x14ac:dyDescent="0.3">
      <c r="A30">
        <v>137.97283172607399</v>
      </c>
      <c r="B30" t="s">
        <v>39</v>
      </c>
      <c r="C30">
        <v>0.92571528440246698</v>
      </c>
      <c r="D30">
        <v>0.96142487095615303</v>
      </c>
      <c r="E30">
        <v>0.95854320615291799</v>
      </c>
      <c r="F30">
        <v>0.997576997186988</v>
      </c>
    </row>
    <row r="31" spans="1:6" x14ac:dyDescent="0.3">
      <c r="A31">
        <v>129.63628768920799</v>
      </c>
      <c r="B31" t="s">
        <v>40</v>
      </c>
      <c r="C31">
        <v>0.94538818957506099</v>
      </c>
      <c r="D31">
        <v>0.97192755116043505</v>
      </c>
      <c r="E31">
        <v>0.95475099224292903</v>
      </c>
      <c r="F31">
        <v>0.99837019123576198</v>
      </c>
    </row>
    <row r="32" spans="1:6" x14ac:dyDescent="0.3">
      <c r="A32">
        <v>130.397319793701</v>
      </c>
      <c r="B32" t="s">
        <v>41</v>
      </c>
      <c r="C32">
        <v>0.96879492328930294</v>
      </c>
      <c r="D32">
        <v>0.98415016397006805</v>
      </c>
      <c r="E32">
        <v>0.975896427942608</v>
      </c>
      <c r="F32">
        <v>0.99886370029315397</v>
      </c>
    </row>
    <row r="33" spans="1:6" x14ac:dyDescent="0.3">
      <c r="A33">
        <v>130.434274673461</v>
      </c>
      <c r="B33" t="s">
        <v>42</v>
      </c>
      <c r="C33">
        <v>0.96838905775075901</v>
      </c>
      <c r="D33">
        <v>0.98394070413835699</v>
      </c>
      <c r="E33">
        <v>0.97284515203590305</v>
      </c>
      <c r="F33">
        <v>0.999276767956356</v>
      </c>
    </row>
    <row r="34" spans="1:6" x14ac:dyDescent="0.3">
      <c r="A34">
        <v>132.48729705810501</v>
      </c>
      <c r="B34" t="s">
        <v>43</v>
      </c>
      <c r="C34">
        <v>0.943596020758112</v>
      </c>
      <c r="D34">
        <v>0.97097957670242196</v>
      </c>
      <c r="E34">
        <v>0.97645414310394496</v>
      </c>
      <c r="F34">
        <v>0.99485708940705397</v>
      </c>
    </row>
    <row r="35" spans="1:6" x14ac:dyDescent="0.3">
      <c r="A35">
        <v>132.036685943603</v>
      </c>
      <c r="B35" t="s">
        <v>44</v>
      </c>
      <c r="C35">
        <v>0.96749843958382897</v>
      </c>
      <c r="D35">
        <v>0.98348076940633</v>
      </c>
      <c r="E35">
        <v>0.98121894682193</v>
      </c>
      <c r="F35">
        <v>0.99832040375034303</v>
      </c>
    </row>
    <row r="36" spans="1:6" x14ac:dyDescent="0.3">
      <c r="A36">
        <v>130.44548034667901</v>
      </c>
      <c r="B36" t="s">
        <v>45</v>
      </c>
      <c r="C36">
        <v>0.95547736718229404</v>
      </c>
      <c r="D36">
        <v>0.97723183424932203</v>
      </c>
      <c r="E36">
        <v>0.97096719195265102</v>
      </c>
      <c r="F36">
        <v>0.998218715794713</v>
      </c>
    </row>
    <row r="37" spans="1:6" x14ac:dyDescent="0.3">
      <c r="A37">
        <v>129.949808120727</v>
      </c>
      <c r="B37" t="s">
        <v>46</v>
      </c>
      <c r="C37">
        <v>0.92918459209687698</v>
      </c>
      <c r="D37">
        <v>0.96329257024277104</v>
      </c>
      <c r="E37">
        <v>0.94859108392497005</v>
      </c>
      <c r="F37">
        <v>0.99653474949606802</v>
      </c>
    </row>
    <row r="38" spans="1:6" x14ac:dyDescent="0.3">
      <c r="A38">
        <v>130.30195236206001</v>
      </c>
      <c r="B38" t="s">
        <v>47</v>
      </c>
      <c r="C38">
        <v>0.96313484686475304</v>
      </c>
      <c r="D38">
        <v>0.98122128329894298</v>
      </c>
      <c r="E38">
        <v>0.98271155595996296</v>
      </c>
      <c r="F38">
        <v>0.99757651126652302</v>
      </c>
    </row>
    <row r="39" spans="1:6" x14ac:dyDescent="0.3">
      <c r="A39">
        <v>130.85150718688899</v>
      </c>
      <c r="B39" t="s">
        <v>48</v>
      </c>
      <c r="C39">
        <v>0.94595211490243103</v>
      </c>
      <c r="D39">
        <v>0.97222548043003598</v>
      </c>
      <c r="E39">
        <v>0.97825558495365394</v>
      </c>
      <c r="F39">
        <v>0.99458418098099299</v>
      </c>
    </row>
    <row r="40" spans="1:6" x14ac:dyDescent="0.3">
      <c r="A40">
        <v>129.773616790771</v>
      </c>
      <c r="B40" t="s">
        <v>49</v>
      </c>
      <c r="C40">
        <v>0.94532806121442803</v>
      </c>
      <c r="D40">
        <v>0.97189577435517904</v>
      </c>
      <c r="E40">
        <v>0.96113628616686297</v>
      </c>
      <c r="F40">
        <v>0.99821995317238899</v>
      </c>
    </row>
    <row r="41" spans="1:6" x14ac:dyDescent="0.3">
      <c r="A41">
        <v>128.872632980346</v>
      </c>
      <c r="B41" t="s">
        <v>50</v>
      </c>
      <c r="C41">
        <v>0.949098582164143</v>
      </c>
      <c r="D41">
        <v>0.97388463656910595</v>
      </c>
      <c r="E41">
        <v>0.96790437525047401</v>
      </c>
      <c r="F41">
        <v>0.99605436795288604</v>
      </c>
    </row>
    <row r="42" spans="1:6" x14ac:dyDescent="0.3">
      <c r="A42">
        <v>131.98041915893501</v>
      </c>
      <c r="B42" t="s">
        <v>51</v>
      </c>
      <c r="C42">
        <v>0.95107422103514305</v>
      </c>
      <c r="D42">
        <v>0.97492367105393896</v>
      </c>
      <c r="E42">
        <v>0.9634805872094</v>
      </c>
      <c r="F42">
        <v>0.99783389238628895</v>
      </c>
    </row>
    <row r="43" spans="1:6" x14ac:dyDescent="0.3">
      <c r="A43">
        <v>130.70750236511199</v>
      </c>
      <c r="B43" t="s">
        <v>52</v>
      </c>
      <c r="C43">
        <v>0.95419605935295504</v>
      </c>
      <c r="D43">
        <v>0.97656123579421605</v>
      </c>
      <c r="E43">
        <v>0.97055008288532796</v>
      </c>
      <c r="F43">
        <v>0.99729208864346897</v>
      </c>
    </row>
    <row r="44" spans="1:6" x14ac:dyDescent="0.3">
      <c r="A44">
        <v>134.92989540100001</v>
      </c>
      <c r="B44" t="s">
        <v>53</v>
      </c>
      <c r="C44">
        <v>0.90387609739937003</v>
      </c>
      <c r="D44">
        <v>0.94951147150177895</v>
      </c>
      <c r="E44">
        <v>0.96712846719640799</v>
      </c>
      <c r="F44">
        <v>0.99377998093822695</v>
      </c>
    </row>
    <row r="45" spans="1:6" x14ac:dyDescent="0.3">
      <c r="A45">
        <v>138.96870613098099</v>
      </c>
      <c r="B45" t="s">
        <v>54</v>
      </c>
      <c r="C45">
        <v>0.96364571502046503</v>
      </c>
      <c r="D45">
        <v>0.98148633192767398</v>
      </c>
      <c r="E45">
        <v>0.97629955143709402</v>
      </c>
      <c r="F45">
        <v>0.99835947201472997</v>
      </c>
    </row>
    <row r="46" spans="1:6" x14ac:dyDescent="0.3">
      <c r="A46">
        <v>132.83753395080501</v>
      </c>
      <c r="B46" t="s">
        <v>55</v>
      </c>
      <c r="C46">
        <v>0.95178387479092996</v>
      </c>
      <c r="D46">
        <v>0.97529638100210503</v>
      </c>
      <c r="E46">
        <v>0.96182676342742002</v>
      </c>
      <c r="F46">
        <v>0.99843374861886802</v>
      </c>
    </row>
    <row r="47" spans="1:6" x14ac:dyDescent="0.3">
      <c r="A47">
        <v>137.91275024414</v>
      </c>
      <c r="B47" t="s">
        <v>56</v>
      </c>
      <c r="C47">
        <v>0.91815812542943098</v>
      </c>
      <c r="D47">
        <v>0.95733309288448398</v>
      </c>
      <c r="E47">
        <v>0.95139741336135297</v>
      </c>
      <c r="F47">
        <v>0.99115032563632899</v>
      </c>
    </row>
    <row r="48" spans="1:6" x14ac:dyDescent="0.3">
      <c r="A48">
        <v>131.24942779541001</v>
      </c>
      <c r="B48" t="s">
        <v>57</v>
      </c>
      <c r="C48">
        <v>0.90566869391231997</v>
      </c>
      <c r="D48">
        <v>0.95049962966331802</v>
      </c>
      <c r="E48">
        <v>0.95428168867087604</v>
      </c>
      <c r="F48">
        <v>0.99453445060229395</v>
      </c>
    </row>
    <row r="49" spans="1:6" x14ac:dyDescent="0.3">
      <c r="A49">
        <v>133.59975814819299</v>
      </c>
      <c r="B49" t="s">
        <v>58</v>
      </c>
      <c r="C49">
        <v>0.90371092629767702</v>
      </c>
      <c r="D49">
        <v>0.94942032827978495</v>
      </c>
      <c r="E49">
        <v>0.97092679319694297</v>
      </c>
      <c r="F49">
        <v>0.99697108097527598</v>
      </c>
    </row>
    <row r="50" spans="1:6" x14ac:dyDescent="0.3">
      <c r="A50">
        <v>131.06751441955501</v>
      </c>
      <c r="B50" t="s">
        <v>59</v>
      </c>
      <c r="C50">
        <v>0.93481453788020397</v>
      </c>
      <c r="D50">
        <v>0.96630919354616096</v>
      </c>
      <c r="E50">
        <v>0.95160555914234202</v>
      </c>
      <c r="F50">
        <v>0.99862804996742704</v>
      </c>
    </row>
    <row r="51" spans="1:6" x14ac:dyDescent="0.3">
      <c r="A51">
        <v>131.79063796996999</v>
      </c>
      <c r="B51" t="s">
        <v>60</v>
      </c>
      <c r="C51">
        <v>0.91629223744292199</v>
      </c>
      <c r="D51">
        <v>0.95631785125384805</v>
      </c>
      <c r="E51">
        <v>0.96547410557918401</v>
      </c>
      <c r="F51">
        <v>0.99563699961985996</v>
      </c>
    </row>
    <row r="52" spans="1:6" x14ac:dyDescent="0.3">
      <c r="A52">
        <v>131.11233711242599</v>
      </c>
      <c r="B52" t="s">
        <v>61</v>
      </c>
      <c r="C52">
        <v>0.56022468681494297</v>
      </c>
      <c r="D52">
        <v>0.71813334521528605</v>
      </c>
      <c r="E52">
        <v>0.56418346534237496</v>
      </c>
      <c r="F52">
        <v>0.99918573563729596</v>
      </c>
    </row>
    <row r="53" spans="1:6" x14ac:dyDescent="0.3">
      <c r="A53">
        <v>130.59568405151299</v>
      </c>
      <c r="B53" t="s">
        <v>62</v>
      </c>
      <c r="C53">
        <v>0.95516938482710101</v>
      </c>
      <c r="D53">
        <v>0.97707072567686304</v>
      </c>
      <c r="E53">
        <v>0.96287736573041005</v>
      </c>
      <c r="F53">
        <v>0.99842402945808195</v>
      </c>
    </row>
    <row r="54" spans="1:6" x14ac:dyDescent="0.3">
      <c r="A54">
        <v>131.809711456298</v>
      </c>
      <c r="B54" t="s">
        <v>63</v>
      </c>
      <c r="C54">
        <v>0.910430939881958</v>
      </c>
      <c r="D54">
        <v>0.95311578228335403</v>
      </c>
      <c r="E54">
        <v>0.91775841759398202</v>
      </c>
      <c r="F54">
        <v>0.99929394275271</v>
      </c>
    </row>
    <row r="55" spans="1:6" x14ac:dyDescent="0.3">
      <c r="A55">
        <v>130.95808029174799</v>
      </c>
      <c r="B55" t="s">
        <v>64</v>
      </c>
      <c r="C55">
        <v>0.95468410464805498</v>
      </c>
      <c r="D55">
        <v>0.97681676786331395</v>
      </c>
      <c r="E55">
        <v>0.96423206383639604</v>
      </c>
      <c r="F55">
        <v>0.99895377373918803</v>
      </c>
    </row>
    <row r="56" spans="1:6" x14ac:dyDescent="0.3">
      <c r="A56">
        <v>131.35385513305599</v>
      </c>
      <c r="B56" t="s">
        <v>65</v>
      </c>
      <c r="C56">
        <v>0.96498578482717301</v>
      </c>
      <c r="D56">
        <v>0.982180932074322</v>
      </c>
      <c r="E56">
        <v>0.98144675060762399</v>
      </c>
      <c r="F56">
        <v>0.99794021043255499</v>
      </c>
    </row>
    <row r="57" spans="1:6" x14ac:dyDescent="0.3">
      <c r="A57">
        <v>133.471012115478</v>
      </c>
      <c r="B57" t="s">
        <v>66</v>
      </c>
      <c r="C57">
        <v>0.94801778258650204</v>
      </c>
      <c r="D57">
        <v>0.97331532705801205</v>
      </c>
      <c r="E57">
        <v>0.968826073387132</v>
      </c>
      <c r="F57">
        <v>0.997337926037278</v>
      </c>
    </row>
    <row r="58" spans="1:6" x14ac:dyDescent="0.3">
      <c r="A58">
        <v>133.910655975341</v>
      </c>
      <c r="B58" t="s">
        <v>67</v>
      </c>
      <c r="C58">
        <v>0.94114464546400001</v>
      </c>
      <c r="D58">
        <v>0.96968007784812404</v>
      </c>
      <c r="E58">
        <v>0.97283329235427096</v>
      </c>
      <c r="F58">
        <v>0.99625758971415801</v>
      </c>
    </row>
    <row r="59" spans="1:6" x14ac:dyDescent="0.3">
      <c r="A59">
        <v>132.408857345581</v>
      </c>
      <c r="B59" t="s">
        <v>68</v>
      </c>
      <c r="C59">
        <v>0.94870569732081</v>
      </c>
      <c r="D59">
        <v>0.97367775813981905</v>
      </c>
      <c r="E59">
        <v>0.96858660026931498</v>
      </c>
      <c r="F59">
        <v>0.99780264865023205</v>
      </c>
    </row>
    <row r="60" spans="1:6" x14ac:dyDescent="0.3">
      <c r="A60">
        <v>134.875535964965</v>
      </c>
      <c r="B60" t="s">
        <v>69</v>
      </c>
      <c r="C60">
        <v>0.95225629769839504</v>
      </c>
      <c r="D60">
        <v>0.97554434714443305</v>
      </c>
      <c r="E60">
        <v>0.97789449740482604</v>
      </c>
      <c r="F60">
        <v>0.99723002886982204</v>
      </c>
    </row>
    <row r="61" spans="1:6" x14ac:dyDescent="0.3">
      <c r="A61">
        <v>136.983394622802</v>
      </c>
      <c r="B61" t="s">
        <v>70</v>
      </c>
      <c r="C61">
        <v>0.94555167454283895</v>
      </c>
      <c r="D61">
        <v>0.97201394022599996</v>
      </c>
      <c r="E61">
        <v>0.96418332984143296</v>
      </c>
      <c r="F61">
        <v>0.99794665236707403</v>
      </c>
    </row>
    <row r="62" spans="1:6" x14ac:dyDescent="0.3">
      <c r="A62">
        <v>133.899450302124</v>
      </c>
      <c r="B62" t="s">
        <v>71</v>
      </c>
      <c r="C62">
        <v>0.851128785696878</v>
      </c>
      <c r="D62">
        <v>0.91957814310197905</v>
      </c>
      <c r="E62">
        <v>0.86558817565283996</v>
      </c>
      <c r="F62">
        <v>0.99796401655789102</v>
      </c>
    </row>
    <row r="63" spans="1:6" x14ac:dyDescent="0.3">
      <c r="A63">
        <v>133.57162475585901</v>
      </c>
      <c r="B63" t="s">
        <v>72</v>
      </c>
      <c r="C63">
        <v>0.176128229094037</v>
      </c>
      <c r="D63">
        <v>0.29950514703606301</v>
      </c>
      <c r="E63">
        <v>0.98565455785566802</v>
      </c>
      <c r="F63">
        <v>0.43838232635968699</v>
      </c>
    </row>
    <row r="64" spans="1:6" x14ac:dyDescent="0.3">
      <c r="A64">
        <v>131.84738159179599</v>
      </c>
      <c r="B64" t="s">
        <v>73</v>
      </c>
      <c r="C64">
        <v>0.59506365289685603</v>
      </c>
      <c r="D64">
        <v>0.74613154379906799</v>
      </c>
      <c r="E64">
        <v>0.60110527065633801</v>
      </c>
      <c r="F64">
        <v>0.99930214782817905</v>
      </c>
    </row>
    <row r="65" spans="1:6" x14ac:dyDescent="0.3">
      <c r="A65">
        <v>131.51502609252901</v>
      </c>
      <c r="B65" t="s">
        <v>74</v>
      </c>
      <c r="C65">
        <v>0.94644090185835605</v>
      </c>
      <c r="D65">
        <v>0.97248357343369196</v>
      </c>
      <c r="E65">
        <v>0.954088735548695</v>
      </c>
      <c r="F65">
        <v>0.99944989059621903</v>
      </c>
    </row>
    <row r="66" spans="1:6" x14ac:dyDescent="0.3">
      <c r="A66">
        <v>132.969379425048</v>
      </c>
      <c r="B66" t="s">
        <v>75</v>
      </c>
      <c r="C66">
        <v>0.95356839161574802</v>
      </c>
      <c r="D66">
        <v>0.97623241214204404</v>
      </c>
      <c r="E66">
        <v>0.96899469956794704</v>
      </c>
      <c r="F66">
        <v>0.99803579057806802</v>
      </c>
    </row>
    <row r="67" spans="1:6" x14ac:dyDescent="0.3">
      <c r="A67">
        <v>133.00323486328099</v>
      </c>
      <c r="B67" t="s">
        <v>76</v>
      </c>
      <c r="C67">
        <v>0.96039276067920198</v>
      </c>
      <c r="D67">
        <v>0.979796273422742</v>
      </c>
      <c r="E67">
        <v>0.97490471387968403</v>
      </c>
      <c r="F67">
        <v>0.99812366464937496</v>
      </c>
    </row>
    <row r="68" spans="1:6" x14ac:dyDescent="0.3">
      <c r="A68">
        <v>131.490230560302</v>
      </c>
      <c r="B68" t="s">
        <v>77</v>
      </c>
      <c r="C68">
        <v>0.95813183953811398</v>
      </c>
      <c r="D68">
        <v>0.97861831383541498</v>
      </c>
      <c r="E68">
        <v>0.97324995137714798</v>
      </c>
      <c r="F68">
        <v>0.99831080089072599</v>
      </c>
    </row>
    <row r="69" spans="1:6" x14ac:dyDescent="0.3">
      <c r="A69">
        <v>133.14199447631799</v>
      </c>
      <c r="B69" t="s">
        <v>78</v>
      </c>
      <c r="C69">
        <v>0.93362783595113397</v>
      </c>
      <c r="D69">
        <v>0.96567479904103704</v>
      </c>
      <c r="E69">
        <v>0.96067835036504501</v>
      </c>
      <c r="F69">
        <v>0.99727604103190703</v>
      </c>
    </row>
    <row r="70" spans="1:6" x14ac:dyDescent="0.3">
      <c r="A70">
        <v>129.694938659667</v>
      </c>
      <c r="B70" t="s">
        <v>79</v>
      </c>
      <c r="C70">
        <v>4.5526742727583398E-2</v>
      </c>
      <c r="D70">
        <v>8.7088624072518106E-2</v>
      </c>
      <c r="E70">
        <v>0.235714743281765</v>
      </c>
      <c r="F70">
        <v>0.427904543839564</v>
      </c>
    </row>
    <row r="71" spans="1:6" x14ac:dyDescent="0.3">
      <c r="A71">
        <v>132.25126266479401</v>
      </c>
      <c r="B71" t="s">
        <v>80</v>
      </c>
      <c r="C71">
        <v>0.95391448941937496</v>
      </c>
      <c r="D71">
        <v>0.97641375258222296</v>
      </c>
      <c r="E71">
        <v>0.97354913101293405</v>
      </c>
      <c r="F71">
        <v>0.99761799967931497</v>
      </c>
    </row>
    <row r="72" spans="1:6" x14ac:dyDescent="0.3">
      <c r="A72">
        <v>131.39128684997499</v>
      </c>
      <c r="B72" t="s">
        <v>81</v>
      </c>
      <c r="C72">
        <v>0.83777968834879601</v>
      </c>
      <c r="D72">
        <v>0.91173027285062902</v>
      </c>
      <c r="E72">
        <v>0.84001097930229895</v>
      </c>
      <c r="F72">
        <v>0.99966257958720595</v>
      </c>
    </row>
    <row r="73" spans="1:6" x14ac:dyDescent="0.3">
      <c r="A73">
        <v>130.04279136657701</v>
      </c>
      <c r="B73" t="s">
        <v>82</v>
      </c>
      <c r="C73">
        <v>0.95834259817021095</v>
      </c>
      <c r="D73">
        <v>0.97872823587215396</v>
      </c>
      <c r="E73">
        <v>0.96901008878787298</v>
      </c>
      <c r="F73">
        <v>0.998511185518422</v>
      </c>
    </row>
    <row r="74" spans="1:6" x14ac:dyDescent="0.3">
      <c r="A74">
        <v>131.279230117797</v>
      </c>
      <c r="B74" t="s">
        <v>83</v>
      </c>
      <c r="C74">
        <v>0.97146631439894304</v>
      </c>
      <c r="D74">
        <v>0.98552666845349701</v>
      </c>
      <c r="E74">
        <v>0.97680676301593405</v>
      </c>
      <c r="F74">
        <v>0.999302798100002</v>
      </c>
    </row>
    <row r="75" spans="1:6" x14ac:dyDescent="0.3">
      <c r="A75">
        <v>130.82480430602999</v>
      </c>
      <c r="B75" t="s">
        <v>84</v>
      </c>
      <c r="C75">
        <v>0.96308891336181301</v>
      </c>
      <c r="D75">
        <v>0.98119744531847197</v>
      </c>
      <c r="E75">
        <v>0.96962891061282297</v>
      </c>
      <c r="F75">
        <v>0.99908502833840096</v>
      </c>
    </row>
    <row r="76" spans="1:6" x14ac:dyDescent="0.3">
      <c r="A76">
        <v>131.55150413513101</v>
      </c>
      <c r="B76" t="s">
        <v>85</v>
      </c>
      <c r="C76">
        <v>0.95884728356841797</v>
      </c>
      <c r="D76">
        <v>0.97899136049206703</v>
      </c>
      <c r="E76">
        <v>0.97394882805510796</v>
      </c>
      <c r="F76">
        <v>0.99809679790707195</v>
      </c>
    </row>
    <row r="77" spans="1:6" x14ac:dyDescent="0.3">
      <c r="A77">
        <v>130.82647323608299</v>
      </c>
      <c r="B77" t="s">
        <v>86</v>
      </c>
      <c r="C77">
        <v>0.95763657683197301</v>
      </c>
      <c r="D77">
        <v>0.97835991436337799</v>
      </c>
      <c r="E77">
        <v>0.97618544724891698</v>
      </c>
      <c r="F77">
        <v>0.99783678821754496</v>
      </c>
    </row>
    <row r="78" spans="1:6" x14ac:dyDescent="0.3">
      <c r="A78" s="1">
        <f>AVERAGE(A4:A77)</f>
        <v>132.6937127757711</v>
      </c>
      <c r="B78" s="1"/>
      <c r="C78" s="1">
        <f>SUBTOTAL(101,FastSAM_test3[Column3])</f>
        <v>0.87891873638203477</v>
      </c>
      <c r="D78" s="1">
        <f>SUBTOTAL(101,FastSAM_test3[Column4])</f>
        <v>0.91678110050280948</v>
      </c>
      <c r="E78" s="1">
        <f>SUBTOTAL(101,FastSAM_test3[Column5])</f>
        <v>0.92968107675577871</v>
      </c>
      <c r="F78" s="1">
        <f>SUBTOTAL(101,FastSAM_test3[Column6])</f>
        <v>0.96754347810460117</v>
      </c>
    </row>
    <row r="79" spans="1:6" x14ac:dyDescent="0.3">
      <c r="A79" s="1">
        <f>STDEVA(A4:A77)</f>
        <v>3.3158194978140365</v>
      </c>
      <c r="B79" s="1"/>
      <c r="C79" s="1">
        <f>STDEVA(C3:C77)</f>
        <v>0.19906318765343853</v>
      </c>
      <c r="D79" s="1">
        <f>STDEVA(D3:D77)</f>
        <v>0.18125117857693035</v>
      </c>
      <c r="E79" s="1">
        <f>STDEVA(E3:E77)</f>
        <v>0.11989839699729909</v>
      </c>
      <c r="F79" s="1">
        <f>STDEVA(F3:F77)</f>
        <v>0.12781761121900473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359B-E898-4D9A-9BB8-C142899CBCBE}">
  <dimension ref="A1:F79"/>
  <sheetViews>
    <sheetView topLeftCell="A43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783.05912017822197</v>
      </c>
      <c r="B3" t="s">
        <v>12</v>
      </c>
      <c r="C3">
        <v>0.93958633004315195</v>
      </c>
      <c r="D3">
        <v>0.96885229132569495</v>
      </c>
      <c r="E3">
        <v>0.97654397360552603</v>
      </c>
      <c r="F3">
        <v>0.99848877973419903</v>
      </c>
    </row>
    <row r="4" spans="1:6" x14ac:dyDescent="0.3">
      <c r="A4">
        <v>82.659721374511705</v>
      </c>
      <c r="B4" t="s">
        <v>13</v>
      </c>
      <c r="C4">
        <v>0.92565810749628097</v>
      </c>
      <c r="D4">
        <v>0.96139403344014296</v>
      </c>
      <c r="E4">
        <v>0.96237021894668895</v>
      </c>
      <c r="F4">
        <v>0.99697296298577298</v>
      </c>
    </row>
    <row r="5" spans="1:6" x14ac:dyDescent="0.3">
      <c r="A5">
        <v>66.893815994262695</v>
      </c>
      <c r="B5" t="s">
        <v>14</v>
      </c>
      <c r="C5">
        <v>0.96212302586498599</v>
      </c>
      <c r="D5">
        <v>0.98069592291833196</v>
      </c>
      <c r="E5">
        <v>0.98689124304549902</v>
      </c>
      <c r="F5">
        <v>0.99673289363526796</v>
      </c>
    </row>
    <row r="6" spans="1:6" x14ac:dyDescent="0.3">
      <c r="A6">
        <v>67.274332046508704</v>
      </c>
      <c r="B6" t="s">
        <v>15</v>
      </c>
      <c r="C6">
        <v>0.91834185962607595</v>
      </c>
      <c r="D6">
        <v>0.95743295702787801</v>
      </c>
      <c r="E6">
        <v>0.98381614025351005</v>
      </c>
      <c r="F6">
        <v>0.99240877391252003</v>
      </c>
    </row>
    <row r="7" spans="1:6" x14ac:dyDescent="0.3">
      <c r="A7">
        <v>73.592185974121094</v>
      </c>
      <c r="B7" t="s">
        <v>16</v>
      </c>
      <c r="C7">
        <v>0.933594079347978</v>
      </c>
      <c r="D7">
        <v>0.96565674183569405</v>
      </c>
      <c r="E7">
        <v>0.96730405241446205</v>
      </c>
      <c r="F7">
        <v>0.99116941198253805</v>
      </c>
    </row>
    <row r="8" spans="1:6" x14ac:dyDescent="0.3">
      <c r="A8">
        <v>68.549394607543903</v>
      </c>
      <c r="B8" t="s">
        <v>17</v>
      </c>
      <c r="C8">
        <v>0.92871839118603505</v>
      </c>
      <c r="D8">
        <v>0.96304198210598702</v>
      </c>
      <c r="E8">
        <v>0.98521439132577604</v>
      </c>
      <c r="F8">
        <v>0.99651530001088895</v>
      </c>
    </row>
    <row r="9" spans="1:6" x14ac:dyDescent="0.3">
      <c r="A9">
        <v>68.650722503662095</v>
      </c>
      <c r="B9" t="s">
        <v>18</v>
      </c>
      <c r="C9">
        <v>0.95012062246494</v>
      </c>
      <c r="D9">
        <v>0.97442241420327402</v>
      </c>
      <c r="E9">
        <v>0.98614588779132095</v>
      </c>
      <c r="F9">
        <v>0.997175911219502</v>
      </c>
    </row>
    <row r="10" spans="1:6" x14ac:dyDescent="0.3">
      <c r="A10">
        <v>83.900451660156193</v>
      </c>
      <c r="B10" t="s">
        <v>19</v>
      </c>
      <c r="C10">
        <v>0.93878120762542805</v>
      </c>
      <c r="D10">
        <v>0.96842408409273195</v>
      </c>
      <c r="E10">
        <v>0.97224402131262599</v>
      </c>
      <c r="F10">
        <v>0.99312819147786502</v>
      </c>
    </row>
    <row r="11" spans="1:6" x14ac:dyDescent="0.3">
      <c r="A11">
        <v>68.860292434692298</v>
      </c>
      <c r="B11" t="s">
        <v>20</v>
      </c>
      <c r="C11">
        <v>0.94351442592141399</v>
      </c>
      <c r="D11">
        <v>0.97093637519474196</v>
      </c>
      <c r="E11">
        <v>0.97574143391880197</v>
      </c>
      <c r="F11">
        <v>0.99907032970477805</v>
      </c>
    </row>
    <row r="12" spans="1:6" x14ac:dyDescent="0.3">
      <c r="A12">
        <v>82.037448883056598</v>
      </c>
      <c r="B12" t="s">
        <v>21</v>
      </c>
      <c r="C12">
        <v>0.93359622260619601</v>
      </c>
      <c r="D12">
        <v>0.96565788833394495</v>
      </c>
      <c r="E12">
        <v>0.9627065122474</v>
      </c>
      <c r="F12">
        <v>0.996220080089392</v>
      </c>
    </row>
    <row r="13" spans="1:6" x14ac:dyDescent="0.3">
      <c r="A13">
        <v>67.251205444335895</v>
      </c>
      <c r="B13" t="s">
        <v>22</v>
      </c>
      <c r="C13">
        <v>0.95630664534136101</v>
      </c>
      <c r="D13">
        <v>0.97766538555563998</v>
      </c>
      <c r="E13">
        <v>0.98648561215081698</v>
      </c>
      <c r="F13">
        <v>0.995781302368827</v>
      </c>
    </row>
    <row r="14" spans="1:6" x14ac:dyDescent="0.3">
      <c r="A14">
        <v>68.717241287231403</v>
      </c>
      <c r="B14" t="s">
        <v>23</v>
      </c>
      <c r="C14">
        <v>0.96225062507649495</v>
      </c>
      <c r="D14">
        <v>0.98076220517344304</v>
      </c>
      <c r="E14">
        <v>0.99097866210497798</v>
      </c>
      <c r="F14">
        <v>0.99646295597041501</v>
      </c>
    </row>
    <row r="15" spans="1:6" x14ac:dyDescent="0.3">
      <c r="A15">
        <v>77.074050903320298</v>
      </c>
      <c r="B15" t="s">
        <v>24</v>
      </c>
      <c r="C15">
        <v>0.96052062405675298</v>
      </c>
      <c r="D15">
        <v>0.97986281018479904</v>
      </c>
      <c r="E15">
        <v>0.98500635825044602</v>
      </c>
      <c r="F15">
        <v>0.99726965484256103</v>
      </c>
    </row>
    <row r="16" spans="1:6" x14ac:dyDescent="0.3">
      <c r="A16">
        <v>66.850662231445298</v>
      </c>
      <c r="B16" t="s">
        <v>25</v>
      </c>
      <c r="C16">
        <v>0.96027190756640801</v>
      </c>
      <c r="D16">
        <v>0.97973337664012505</v>
      </c>
      <c r="E16">
        <v>0.987264273543766</v>
      </c>
      <c r="F16">
        <v>0.996909055303563</v>
      </c>
    </row>
    <row r="17" spans="1:6" x14ac:dyDescent="0.3">
      <c r="A17">
        <v>67.162990570068303</v>
      </c>
      <c r="B17" t="s">
        <v>26</v>
      </c>
      <c r="C17">
        <v>0.96055358345263997</v>
      </c>
      <c r="D17">
        <v>0.979879959986662</v>
      </c>
      <c r="E17">
        <v>0.99183891131481905</v>
      </c>
      <c r="F17">
        <v>0.99464147288973903</v>
      </c>
    </row>
    <row r="18" spans="1:6" x14ac:dyDescent="0.3">
      <c r="A18">
        <v>80.291032791137695</v>
      </c>
      <c r="B18" t="s">
        <v>27</v>
      </c>
      <c r="C18">
        <v>0.96032290154325906</v>
      </c>
      <c r="D18">
        <v>0.97975991688639397</v>
      </c>
      <c r="E18">
        <v>0.99488882853899796</v>
      </c>
      <c r="F18">
        <v>0.99428820213730995</v>
      </c>
    </row>
    <row r="19" spans="1:6" x14ac:dyDescent="0.3">
      <c r="A19">
        <v>72.283983230590806</v>
      </c>
      <c r="B19" t="s">
        <v>28</v>
      </c>
      <c r="C19">
        <v>0.94915600326708405</v>
      </c>
      <c r="D19">
        <v>0.97391486538394301</v>
      </c>
      <c r="E19">
        <v>0.97512027299171999</v>
      </c>
      <c r="F19">
        <v>0.99568005936605497</v>
      </c>
    </row>
    <row r="20" spans="1:6" x14ac:dyDescent="0.3">
      <c r="A20">
        <v>73.955059051513601</v>
      </c>
      <c r="B20" t="s">
        <v>29</v>
      </c>
      <c r="C20">
        <v>0.95762980758334604</v>
      </c>
      <c r="D20">
        <v>0.97835638165473204</v>
      </c>
      <c r="E20">
        <v>0.98725437510222203</v>
      </c>
      <c r="F20">
        <v>0.99725019678538795</v>
      </c>
    </row>
    <row r="21" spans="1:6" x14ac:dyDescent="0.3">
      <c r="A21">
        <v>72.045803070068303</v>
      </c>
      <c r="B21" t="s">
        <v>30</v>
      </c>
      <c r="C21">
        <v>0.95399255592648002</v>
      </c>
      <c r="D21">
        <v>0.976454647212458</v>
      </c>
      <c r="E21">
        <v>0.96798056407780597</v>
      </c>
      <c r="F21">
        <v>0.99795360341855799</v>
      </c>
    </row>
    <row r="22" spans="1:6" x14ac:dyDescent="0.3">
      <c r="A22">
        <v>69.013595581054602</v>
      </c>
      <c r="B22" t="s">
        <v>31</v>
      </c>
      <c r="C22">
        <v>0.78128593886831399</v>
      </c>
      <c r="D22">
        <v>0.87721563598563002</v>
      </c>
      <c r="E22">
        <v>0.99315316523605102</v>
      </c>
      <c r="F22">
        <v>0.95504171410274596</v>
      </c>
    </row>
    <row r="23" spans="1:6" x14ac:dyDescent="0.3">
      <c r="A23">
        <v>73.846340179443303</v>
      </c>
      <c r="B23" t="s">
        <v>32</v>
      </c>
      <c r="C23">
        <v>0.91886693268978004</v>
      </c>
      <c r="D23">
        <v>0.95771824198539302</v>
      </c>
      <c r="E23">
        <v>0.97356928568715995</v>
      </c>
      <c r="F23">
        <v>0.99514943114368404</v>
      </c>
    </row>
    <row r="24" spans="1:6" x14ac:dyDescent="0.3">
      <c r="A24">
        <v>72.434425354003906</v>
      </c>
      <c r="B24" t="s">
        <v>33</v>
      </c>
      <c r="C24">
        <v>0.95107782630992499</v>
      </c>
      <c r="D24">
        <v>0.974925565228425</v>
      </c>
      <c r="E24">
        <v>0.98771383708437699</v>
      </c>
      <c r="F24">
        <v>0.99553568102946399</v>
      </c>
    </row>
    <row r="25" spans="1:6" x14ac:dyDescent="0.3">
      <c r="A25">
        <v>73.689222335815401</v>
      </c>
      <c r="B25" t="s">
        <v>34</v>
      </c>
      <c r="C25">
        <v>0.94610657801954201</v>
      </c>
      <c r="D25">
        <v>0.97230705523060201</v>
      </c>
      <c r="E25">
        <v>0.98150276935938896</v>
      </c>
      <c r="F25">
        <v>0.99858259922795201</v>
      </c>
    </row>
    <row r="26" spans="1:6" x14ac:dyDescent="0.3">
      <c r="A26">
        <v>73.908805847167898</v>
      </c>
      <c r="B26" t="s">
        <v>35</v>
      </c>
      <c r="C26">
        <v>0.93645505072916102</v>
      </c>
      <c r="D26">
        <v>0.96718490870887397</v>
      </c>
      <c r="E26">
        <v>0.95348659121192103</v>
      </c>
      <c r="F26">
        <v>0.99741282584777602</v>
      </c>
    </row>
    <row r="27" spans="1:6" x14ac:dyDescent="0.3">
      <c r="A27">
        <v>67.813158035278306</v>
      </c>
      <c r="B27" t="s">
        <v>36</v>
      </c>
      <c r="C27">
        <v>0.96381338672670502</v>
      </c>
      <c r="D27">
        <v>0.98157329330888599</v>
      </c>
      <c r="E27">
        <v>0.99174123722279195</v>
      </c>
      <c r="F27">
        <v>0.99649700048317202</v>
      </c>
    </row>
    <row r="28" spans="1:6" x14ac:dyDescent="0.3">
      <c r="A28">
        <v>72.313308715820298</v>
      </c>
      <c r="B28" t="s">
        <v>37</v>
      </c>
      <c r="C28">
        <v>0.95479670802112704</v>
      </c>
      <c r="D28">
        <v>0.97687570692472003</v>
      </c>
      <c r="E28">
        <v>0.97411759502255701</v>
      </c>
      <c r="F28">
        <v>0.99699317796442999</v>
      </c>
    </row>
    <row r="29" spans="1:6" x14ac:dyDescent="0.3">
      <c r="A29">
        <v>84.766149520873995</v>
      </c>
      <c r="B29" t="s">
        <v>38</v>
      </c>
      <c r="C29">
        <v>0.89927673956604304</v>
      </c>
      <c r="D29">
        <v>0.94696757016201305</v>
      </c>
      <c r="E29">
        <v>0.91580837274478799</v>
      </c>
      <c r="F29">
        <v>0.99775362908231602</v>
      </c>
    </row>
    <row r="30" spans="1:6" x14ac:dyDescent="0.3">
      <c r="A30">
        <v>69.209814071655202</v>
      </c>
      <c r="B30" t="s">
        <v>39</v>
      </c>
      <c r="C30">
        <v>0.78363781000097599</v>
      </c>
      <c r="D30">
        <v>0.87869611824448501</v>
      </c>
      <c r="E30">
        <v>0.83204907830004105</v>
      </c>
      <c r="F30">
        <v>0.99575065335361002</v>
      </c>
    </row>
    <row r="31" spans="1:6" x14ac:dyDescent="0.3">
      <c r="A31">
        <v>73.469877243041907</v>
      </c>
      <c r="B31" t="s">
        <v>40</v>
      </c>
      <c r="C31">
        <v>0.94281432050744396</v>
      </c>
      <c r="D31">
        <v>0.97056554561651598</v>
      </c>
      <c r="E31">
        <v>0.97484502988709298</v>
      </c>
      <c r="F31">
        <v>0.99608261502199602</v>
      </c>
    </row>
    <row r="32" spans="1:6" x14ac:dyDescent="0.3">
      <c r="A32">
        <v>72.035551071166907</v>
      </c>
      <c r="B32" t="s">
        <v>41</v>
      </c>
      <c r="C32">
        <v>0.95467178849847401</v>
      </c>
      <c r="D32">
        <v>0.97681032091001496</v>
      </c>
      <c r="E32">
        <v>0.97020426440701302</v>
      </c>
      <c r="F32">
        <v>0.99675888333581097</v>
      </c>
    </row>
    <row r="33" spans="1:6" x14ac:dyDescent="0.3">
      <c r="A33">
        <v>72.413444519042898</v>
      </c>
      <c r="B33" t="s">
        <v>42</v>
      </c>
      <c r="C33">
        <v>0.92901831753670805</v>
      </c>
      <c r="D33">
        <v>0.96320320972693896</v>
      </c>
      <c r="E33">
        <v>0.96702892253585904</v>
      </c>
      <c r="F33">
        <v>0.99579074911413201</v>
      </c>
    </row>
    <row r="34" spans="1:6" x14ac:dyDescent="0.3">
      <c r="A34">
        <v>69.033622741699205</v>
      </c>
      <c r="B34" t="s">
        <v>43</v>
      </c>
      <c r="C34">
        <v>0.96469868365313705</v>
      </c>
      <c r="D34">
        <v>0.98203219830064503</v>
      </c>
      <c r="E34">
        <v>0.98701361243097396</v>
      </c>
      <c r="F34">
        <v>0.99688089837053395</v>
      </c>
    </row>
    <row r="35" spans="1:6" x14ac:dyDescent="0.3">
      <c r="A35">
        <v>68.915843963623004</v>
      </c>
      <c r="B35" t="s">
        <v>44</v>
      </c>
      <c r="C35">
        <v>0.95500421244476497</v>
      </c>
      <c r="D35">
        <v>0.97698430148190496</v>
      </c>
      <c r="E35">
        <v>0.99480603216677999</v>
      </c>
      <c r="F35">
        <v>0.99503259658365595</v>
      </c>
    </row>
    <row r="36" spans="1:6" x14ac:dyDescent="0.3">
      <c r="A36">
        <v>67.363262176513601</v>
      </c>
      <c r="B36" t="s">
        <v>45</v>
      </c>
      <c r="C36">
        <v>0.96509502923976598</v>
      </c>
      <c r="D36">
        <v>0.98223751511206103</v>
      </c>
      <c r="E36">
        <v>0.98721351927318901</v>
      </c>
      <c r="F36">
        <v>0.99810086385393404</v>
      </c>
    </row>
    <row r="37" spans="1:6" x14ac:dyDescent="0.3">
      <c r="A37">
        <v>66.921710968017507</v>
      </c>
      <c r="B37" t="s">
        <v>46</v>
      </c>
      <c r="C37">
        <v>0.95672067799587202</v>
      </c>
      <c r="D37">
        <v>0.97788170662740903</v>
      </c>
      <c r="E37">
        <v>0.98536475057663597</v>
      </c>
      <c r="F37">
        <v>0.996471294352685</v>
      </c>
    </row>
    <row r="38" spans="1:6" x14ac:dyDescent="0.3">
      <c r="A38">
        <v>78.888416290283203</v>
      </c>
      <c r="B38" t="s">
        <v>47</v>
      </c>
      <c r="C38">
        <v>0.92545095236093</v>
      </c>
      <c r="D38">
        <v>0.96128229205337001</v>
      </c>
      <c r="E38">
        <v>0.98209239372936297</v>
      </c>
      <c r="F38">
        <v>0.99580676257614498</v>
      </c>
    </row>
    <row r="39" spans="1:6" x14ac:dyDescent="0.3">
      <c r="A39">
        <v>67.260265350341797</v>
      </c>
      <c r="B39" t="s">
        <v>48</v>
      </c>
      <c r="C39">
        <v>0.94217560794505295</v>
      </c>
      <c r="D39">
        <v>0.97022700119474303</v>
      </c>
      <c r="E39">
        <v>0.97890498806625004</v>
      </c>
      <c r="F39">
        <v>0.99839439497883498</v>
      </c>
    </row>
    <row r="40" spans="1:6" x14ac:dyDescent="0.3">
      <c r="A40">
        <v>78.927516937255803</v>
      </c>
      <c r="B40" t="s">
        <v>49</v>
      </c>
      <c r="C40">
        <v>0.95230148257393399</v>
      </c>
      <c r="D40">
        <v>0.97556805757111897</v>
      </c>
      <c r="E40">
        <v>0.98518429294145904</v>
      </c>
      <c r="F40">
        <v>0.99637494836409002</v>
      </c>
    </row>
    <row r="41" spans="1:6" x14ac:dyDescent="0.3">
      <c r="A41">
        <v>77.219963073730398</v>
      </c>
      <c r="B41" t="s">
        <v>50</v>
      </c>
      <c r="C41">
        <v>0.93395012560504798</v>
      </c>
      <c r="D41">
        <v>0.96584716765935796</v>
      </c>
      <c r="E41">
        <v>0.95014247551202102</v>
      </c>
      <c r="F41">
        <v>0.99792048498519603</v>
      </c>
    </row>
    <row r="42" spans="1:6" x14ac:dyDescent="0.3">
      <c r="A42">
        <v>69.344282150268498</v>
      </c>
      <c r="B42" t="s">
        <v>51</v>
      </c>
      <c r="C42">
        <v>0.92569794493989899</v>
      </c>
      <c r="D42">
        <v>0.96141551936774805</v>
      </c>
      <c r="E42">
        <v>0.98928526501949798</v>
      </c>
      <c r="F42">
        <v>0.989837262640472</v>
      </c>
    </row>
    <row r="43" spans="1:6" x14ac:dyDescent="0.3">
      <c r="A43">
        <v>68.629264831542898</v>
      </c>
      <c r="B43" t="s">
        <v>52</v>
      </c>
      <c r="C43">
        <v>0.956592520025355</v>
      </c>
      <c r="D43">
        <v>0.97781475727297495</v>
      </c>
      <c r="E43">
        <v>0.99086717106146704</v>
      </c>
      <c r="F43">
        <v>0.99755390626193796</v>
      </c>
    </row>
    <row r="44" spans="1:6" x14ac:dyDescent="0.3">
      <c r="A44">
        <v>73.719263076782198</v>
      </c>
      <c r="B44" t="s">
        <v>53</v>
      </c>
      <c r="C44">
        <v>0.94440360161009695</v>
      </c>
      <c r="D44">
        <v>0.97140696594890796</v>
      </c>
      <c r="E44">
        <v>0.96957038343409196</v>
      </c>
      <c r="F44">
        <v>0.99610170547652399</v>
      </c>
    </row>
    <row r="45" spans="1:6" x14ac:dyDescent="0.3">
      <c r="A45">
        <v>67.157268524169893</v>
      </c>
      <c r="B45" t="s">
        <v>54</v>
      </c>
      <c r="C45">
        <v>0.94831835433678902</v>
      </c>
      <c r="D45">
        <v>0.973473716167498</v>
      </c>
      <c r="E45">
        <v>0.96904040361642996</v>
      </c>
      <c r="F45">
        <v>0.99719942805069195</v>
      </c>
    </row>
    <row r="46" spans="1:6" x14ac:dyDescent="0.3">
      <c r="A46">
        <v>74.909210205078097</v>
      </c>
      <c r="B46" t="s">
        <v>55</v>
      </c>
      <c r="C46">
        <v>0.92115489197607103</v>
      </c>
      <c r="D46">
        <v>0.95895952567217002</v>
      </c>
      <c r="E46">
        <v>0.94225750986143397</v>
      </c>
      <c r="F46">
        <v>0.99761505139485196</v>
      </c>
    </row>
    <row r="47" spans="1:6" x14ac:dyDescent="0.3">
      <c r="A47">
        <v>73.996543884277301</v>
      </c>
      <c r="B47" t="s">
        <v>56</v>
      </c>
      <c r="C47">
        <v>0.85740773615795796</v>
      </c>
      <c r="D47">
        <v>0.92323049965486104</v>
      </c>
      <c r="E47">
        <v>0.87349454082657896</v>
      </c>
      <c r="F47">
        <v>0.99688530678782905</v>
      </c>
    </row>
    <row r="48" spans="1:6" x14ac:dyDescent="0.3">
      <c r="A48">
        <v>69.140195846557603</v>
      </c>
      <c r="B48" t="s">
        <v>57</v>
      </c>
      <c r="C48">
        <v>0.88199296748592104</v>
      </c>
      <c r="D48">
        <v>0.93729677286110102</v>
      </c>
      <c r="E48">
        <v>0.92574952561669799</v>
      </c>
      <c r="F48">
        <v>0.99445596580065598</v>
      </c>
    </row>
    <row r="49" spans="1:6" x14ac:dyDescent="0.3">
      <c r="A49">
        <v>68.702936172485295</v>
      </c>
      <c r="B49" t="s">
        <v>58</v>
      </c>
      <c r="C49">
        <v>0.96860237235688496</v>
      </c>
      <c r="D49">
        <v>0.98405080269941703</v>
      </c>
      <c r="E49">
        <v>0.98931731984829296</v>
      </c>
      <c r="F49">
        <v>0.99663979977841399</v>
      </c>
    </row>
    <row r="50" spans="1:6" x14ac:dyDescent="0.3">
      <c r="A50">
        <v>69.133281707763601</v>
      </c>
      <c r="B50" t="s">
        <v>59</v>
      </c>
      <c r="C50">
        <v>0.96266241701944599</v>
      </c>
      <c r="D50">
        <v>0.98097605443667901</v>
      </c>
      <c r="E50">
        <v>0.99081276351670899</v>
      </c>
      <c r="F50">
        <v>0.996938471279468</v>
      </c>
    </row>
    <row r="51" spans="1:6" x14ac:dyDescent="0.3">
      <c r="A51">
        <v>78.866243362426701</v>
      </c>
      <c r="B51" t="s">
        <v>60</v>
      </c>
      <c r="C51">
        <v>0.94861571582346604</v>
      </c>
      <c r="D51">
        <v>0.973630365515748</v>
      </c>
      <c r="E51">
        <v>0.97040116985852398</v>
      </c>
      <c r="F51">
        <v>0.99721193765520399</v>
      </c>
    </row>
    <row r="52" spans="1:6" x14ac:dyDescent="0.3">
      <c r="A52">
        <v>70.075035095214801</v>
      </c>
      <c r="B52" t="s">
        <v>61</v>
      </c>
      <c r="C52">
        <v>0.96556885042088603</v>
      </c>
      <c r="D52">
        <v>0.98248285753422404</v>
      </c>
      <c r="E52">
        <v>0.98383843273947802</v>
      </c>
      <c r="F52">
        <v>0.99746387783353496</v>
      </c>
    </row>
    <row r="53" spans="1:6" x14ac:dyDescent="0.3">
      <c r="A53">
        <v>68.902730941772404</v>
      </c>
      <c r="B53" t="s">
        <v>62</v>
      </c>
      <c r="C53">
        <v>0.96266849345401195</v>
      </c>
      <c r="D53">
        <v>0.98097920934151706</v>
      </c>
      <c r="E53">
        <v>0.98812440959422698</v>
      </c>
      <c r="F53">
        <v>0.99589879960298799</v>
      </c>
    </row>
    <row r="54" spans="1:6" x14ac:dyDescent="0.3">
      <c r="A54">
        <v>67.225933074951101</v>
      </c>
      <c r="B54" t="s">
        <v>63</v>
      </c>
      <c r="C54">
        <v>0.95866799102632105</v>
      </c>
      <c r="D54">
        <v>0.97889789940763705</v>
      </c>
      <c r="E54">
        <v>0.99179696150950003</v>
      </c>
      <c r="F54">
        <v>0.99583088861600599</v>
      </c>
    </row>
    <row r="55" spans="1:6" x14ac:dyDescent="0.3">
      <c r="A55">
        <v>72.486877441406193</v>
      </c>
      <c r="B55" t="s">
        <v>64</v>
      </c>
      <c r="C55">
        <v>0.94253824592212299</v>
      </c>
      <c r="D55">
        <v>0.97041924183551898</v>
      </c>
      <c r="E55">
        <v>0.98942666465776197</v>
      </c>
      <c r="F55">
        <v>0.99400157094080099</v>
      </c>
    </row>
    <row r="56" spans="1:6" x14ac:dyDescent="0.3">
      <c r="A56">
        <v>74.037075042724595</v>
      </c>
      <c r="B56" t="s">
        <v>65</v>
      </c>
      <c r="C56">
        <v>0.90429199857329601</v>
      </c>
      <c r="D56">
        <v>0.94974090029343805</v>
      </c>
      <c r="E56">
        <v>0.94260043374987001</v>
      </c>
      <c r="F56">
        <v>0.99569002654069405</v>
      </c>
    </row>
    <row r="57" spans="1:6" x14ac:dyDescent="0.3">
      <c r="A57">
        <v>72.336912155151296</v>
      </c>
      <c r="B57" t="s">
        <v>66</v>
      </c>
      <c r="C57">
        <v>0.92968856780240094</v>
      </c>
      <c r="D57">
        <v>0.96356332655394605</v>
      </c>
      <c r="E57">
        <v>0.98665506237307798</v>
      </c>
      <c r="F57">
        <v>0.99704394002707097</v>
      </c>
    </row>
    <row r="58" spans="1:6" x14ac:dyDescent="0.3">
      <c r="A58">
        <v>67.555189132690401</v>
      </c>
      <c r="B58" t="s">
        <v>67</v>
      </c>
      <c r="C58">
        <v>0.85585482176984695</v>
      </c>
      <c r="D58">
        <v>0.92232949660755903</v>
      </c>
      <c r="E58">
        <v>0.86978710994458996</v>
      </c>
      <c r="F58">
        <v>0.99681801702377903</v>
      </c>
    </row>
    <row r="59" spans="1:6" x14ac:dyDescent="0.3">
      <c r="A59">
        <v>72.093486785888601</v>
      </c>
      <c r="B59" t="s">
        <v>68</v>
      </c>
      <c r="C59">
        <v>0.93589778246334798</v>
      </c>
      <c r="D59">
        <v>0.96688760216715297</v>
      </c>
      <c r="E59">
        <v>0.98933180930609099</v>
      </c>
      <c r="F59">
        <v>0.99364767150174105</v>
      </c>
    </row>
    <row r="60" spans="1:6" x14ac:dyDescent="0.3">
      <c r="A60">
        <v>72.331428527832003</v>
      </c>
      <c r="B60" t="s">
        <v>69</v>
      </c>
      <c r="C60">
        <v>0.91438826799866901</v>
      </c>
      <c r="D60">
        <v>0.95527984921740505</v>
      </c>
      <c r="E60">
        <v>0.94112328200888695</v>
      </c>
      <c r="F60">
        <v>0.994934791170626</v>
      </c>
    </row>
    <row r="61" spans="1:6" x14ac:dyDescent="0.3">
      <c r="A61">
        <v>67.401885986328097</v>
      </c>
      <c r="B61" t="s">
        <v>70</v>
      </c>
      <c r="C61">
        <v>0.86845086811403305</v>
      </c>
      <c r="D61">
        <v>0.92959454587170998</v>
      </c>
      <c r="E61">
        <v>0.92450369984027103</v>
      </c>
      <c r="F61">
        <v>0.99598874417304295</v>
      </c>
    </row>
    <row r="62" spans="1:6" x14ac:dyDescent="0.3">
      <c r="A62">
        <v>73.8067626953125</v>
      </c>
      <c r="B62" t="s">
        <v>71</v>
      </c>
      <c r="C62">
        <v>0.95313173303591803</v>
      </c>
      <c r="D62">
        <v>0.97600353003776597</v>
      </c>
      <c r="E62">
        <v>0.99300182216705801</v>
      </c>
      <c r="F62">
        <v>0.99843278332338903</v>
      </c>
    </row>
    <row r="63" spans="1:6" x14ac:dyDescent="0.3">
      <c r="A63">
        <v>72.249174118041907</v>
      </c>
      <c r="B63" t="s">
        <v>72</v>
      </c>
      <c r="C63">
        <v>0.88690203270670898</v>
      </c>
      <c r="D63">
        <v>0.94006155839948102</v>
      </c>
      <c r="E63">
        <v>0.99140897664315497</v>
      </c>
      <c r="F63">
        <v>0.99520843030439499</v>
      </c>
    </row>
    <row r="64" spans="1:6" x14ac:dyDescent="0.3">
      <c r="A64">
        <v>73.924541473388601</v>
      </c>
      <c r="B64" t="s">
        <v>73</v>
      </c>
      <c r="C64">
        <v>0.95836039312464805</v>
      </c>
      <c r="D64">
        <v>0.97873751582112301</v>
      </c>
      <c r="E64">
        <v>0.98133555001385397</v>
      </c>
      <c r="F64">
        <v>0.99774299812907796</v>
      </c>
    </row>
    <row r="65" spans="1:6" x14ac:dyDescent="0.3">
      <c r="A65">
        <v>83.719015121459904</v>
      </c>
      <c r="B65" t="s">
        <v>74</v>
      </c>
      <c r="C65">
        <v>0.86467570857242204</v>
      </c>
      <c r="D65">
        <v>0.92742743909546499</v>
      </c>
      <c r="E65">
        <v>0.92427434094358896</v>
      </c>
      <c r="F65">
        <v>0.99547770661799495</v>
      </c>
    </row>
    <row r="66" spans="1:6" x14ac:dyDescent="0.3">
      <c r="A66">
        <v>68.745613098144503</v>
      </c>
      <c r="B66" t="s">
        <v>75</v>
      </c>
      <c r="C66">
        <v>0.96251168304192203</v>
      </c>
      <c r="D66">
        <v>0.98089778660579896</v>
      </c>
      <c r="E66">
        <v>0.99655404368811695</v>
      </c>
      <c r="F66">
        <v>0.99689055952290695</v>
      </c>
    </row>
    <row r="67" spans="1:6" x14ac:dyDescent="0.3">
      <c r="A67">
        <v>68.700790405273395</v>
      </c>
      <c r="B67" t="s">
        <v>76</v>
      </c>
      <c r="C67">
        <v>0.71622246187028105</v>
      </c>
      <c r="D67">
        <v>0.83464991023339297</v>
      </c>
      <c r="E67">
        <v>0.74766806046960399</v>
      </c>
      <c r="F67">
        <v>0.99947304418321803</v>
      </c>
    </row>
    <row r="68" spans="1:6" x14ac:dyDescent="0.3">
      <c r="A68">
        <v>73.849439620971594</v>
      </c>
      <c r="B68" t="s">
        <v>77</v>
      </c>
      <c r="C68">
        <v>0.96712605042016797</v>
      </c>
      <c r="D68">
        <v>0.98328833601038901</v>
      </c>
      <c r="E68">
        <v>0.98710031563057499</v>
      </c>
      <c r="F68">
        <v>0.99741626465690403</v>
      </c>
    </row>
    <row r="69" spans="1:6" x14ac:dyDescent="0.3">
      <c r="A69">
        <v>63.5473728179931</v>
      </c>
      <c r="B69" t="s">
        <v>78</v>
      </c>
      <c r="C69">
        <v>0.95307067032030701</v>
      </c>
      <c r="D69">
        <v>0.97597151480852595</v>
      </c>
      <c r="E69">
        <v>0.98307272079490104</v>
      </c>
      <c r="F69">
        <v>0.99568890271948196</v>
      </c>
    </row>
    <row r="70" spans="1:6" x14ac:dyDescent="0.3">
      <c r="A70">
        <v>67.181110382080007</v>
      </c>
      <c r="B70" t="s">
        <v>79</v>
      </c>
      <c r="C70">
        <v>0.89126796824715704</v>
      </c>
      <c r="D70">
        <v>0.94250839459115998</v>
      </c>
      <c r="E70">
        <v>0.96260079710816504</v>
      </c>
      <c r="F70">
        <v>0.99831839984109005</v>
      </c>
    </row>
    <row r="71" spans="1:6" x14ac:dyDescent="0.3">
      <c r="A71">
        <v>66.973686218261705</v>
      </c>
      <c r="B71" t="s">
        <v>80</v>
      </c>
      <c r="C71">
        <v>0.96930950810403305</v>
      </c>
      <c r="D71">
        <v>0.98441560771952197</v>
      </c>
      <c r="E71">
        <v>0.98364780625997295</v>
      </c>
      <c r="F71">
        <v>0.99719151804407102</v>
      </c>
    </row>
    <row r="72" spans="1:6" x14ac:dyDescent="0.3">
      <c r="A72">
        <v>78.691959381103501</v>
      </c>
      <c r="B72" t="s">
        <v>81</v>
      </c>
      <c r="C72">
        <v>0.96701243638696799</v>
      </c>
      <c r="D72">
        <v>0.98322961105745499</v>
      </c>
      <c r="E72">
        <v>0.98211775829904602</v>
      </c>
      <c r="F72">
        <v>0.99725912839161801</v>
      </c>
    </row>
    <row r="73" spans="1:6" x14ac:dyDescent="0.3">
      <c r="A73">
        <v>68.696737289428697</v>
      </c>
      <c r="B73" t="s">
        <v>82</v>
      </c>
      <c r="C73">
        <v>0.95638198281789699</v>
      </c>
      <c r="D73">
        <v>0.97770475420179603</v>
      </c>
      <c r="E73">
        <v>0.97927641345378902</v>
      </c>
      <c r="F73">
        <v>0.99696784432212104</v>
      </c>
    </row>
    <row r="74" spans="1:6" x14ac:dyDescent="0.3">
      <c r="A74">
        <v>67.416906356811495</v>
      </c>
      <c r="B74" t="s">
        <v>83</v>
      </c>
      <c r="C74">
        <v>0.831319297371371</v>
      </c>
      <c r="D74">
        <v>0.907891156462585</v>
      </c>
      <c r="E74">
        <v>0.995501543475516</v>
      </c>
      <c r="F74">
        <v>0.98209967392491404</v>
      </c>
    </row>
    <row r="75" spans="1:6" x14ac:dyDescent="0.3">
      <c r="A75">
        <v>69.241046905517507</v>
      </c>
      <c r="B75" t="s">
        <v>84</v>
      </c>
      <c r="C75">
        <v>0.94640981941503499</v>
      </c>
      <c r="D75">
        <v>0.97246716490514296</v>
      </c>
      <c r="E75">
        <v>0.99007689952635602</v>
      </c>
      <c r="F75">
        <v>0.99742006688491702</v>
      </c>
    </row>
    <row r="76" spans="1:6" x14ac:dyDescent="0.3">
      <c r="A76">
        <v>68.8498020172119</v>
      </c>
      <c r="B76" t="s">
        <v>85</v>
      </c>
      <c r="C76">
        <v>0.90388576136207599</v>
      </c>
      <c r="D76">
        <v>0.94951680369248503</v>
      </c>
      <c r="E76">
        <v>0.98140210950020501</v>
      </c>
      <c r="F76">
        <v>0.99774797038399898</v>
      </c>
    </row>
    <row r="77" spans="1:6" x14ac:dyDescent="0.3">
      <c r="A77">
        <v>73.390722274780202</v>
      </c>
      <c r="B77" t="s">
        <v>86</v>
      </c>
      <c r="C77">
        <v>0.92676108676007296</v>
      </c>
      <c r="D77">
        <v>0.96198858605605198</v>
      </c>
      <c r="E77">
        <v>0.94703638497652498</v>
      </c>
      <c r="F77">
        <v>0.99728209592753903</v>
      </c>
    </row>
    <row r="78" spans="1:6" x14ac:dyDescent="0.3">
      <c r="A78" s="1">
        <f>AVERAGE(A4:A77)</f>
        <v>71.817897461556086</v>
      </c>
      <c r="B78" s="1"/>
      <c r="C78" s="1">
        <f>SUBTOTAL(101,Edgesam_test3[Column3])</f>
        <v>0.93013426797497123</v>
      </c>
      <c r="D78" s="1">
        <f>SUBTOTAL(101,Edgesam_test3[Column4])</f>
        <v>0.96317596305753417</v>
      </c>
      <c r="E78" s="1">
        <f>SUBTOTAL(101,Edgesam_test3[Column5])</f>
        <v>0.96847729876889044</v>
      </c>
      <c r="F78" s="1">
        <f>SUBTOTAL(101,Edgesam_test3[Column6])</f>
        <v>0.9956643318845505</v>
      </c>
    </row>
    <row r="79" spans="1:6" x14ac:dyDescent="0.3">
      <c r="A79" s="1">
        <f>STDEVA(A4:A77)</f>
        <v>4.7372668385268017</v>
      </c>
      <c r="B79" s="1"/>
      <c r="C79" s="1">
        <f>STDEVA(C3:C77)</f>
        <v>4.6317522284828369E-2</v>
      </c>
      <c r="D79" s="1">
        <f>STDEVA(D3:D77)</f>
        <v>2.6491531451990846E-2</v>
      </c>
      <c r="E79" s="1">
        <f>STDEVA(E3:E77)</f>
        <v>3.9432793193601885E-2</v>
      </c>
      <c r="F79" s="1">
        <f>STDEVA(F3:F77)</f>
        <v>5.2954091052999962E-3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3A7D0-39E4-4866-ABA6-A86433D490BC}">
  <dimension ref="A1:F79"/>
  <sheetViews>
    <sheetView topLeftCell="A61" workbookViewId="0">
      <selection activeCell="A78" sqref="A78:F7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494.37379837036099</v>
      </c>
      <c r="B3" t="s">
        <v>12</v>
      </c>
      <c r="C3">
        <v>0.96362880481803104</v>
      </c>
      <c r="D3">
        <v>0.98147756078301196</v>
      </c>
      <c r="E3">
        <v>0.98471748590587005</v>
      </c>
      <c r="F3">
        <v>0.99564038929996901</v>
      </c>
    </row>
    <row r="4" spans="1:6" x14ac:dyDescent="0.3">
      <c r="A4">
        <v>39.902925491333001</v>
      </c>
      <c r="B4" t="s">
        <v>13</v>
      </c>
      <c r="C4">
        <v>0.96566244703802795</v>
      </c>
      <c r="D4">
        <v>0.98253130744105399</v>
      </c>
      <c r="E4">
        <v>0.98728794791159102</v>
      </c>
      <c r="F4">
        <v>0.99729825337638101</v>
      </c>
    </row>
    <row r="5" spans="1:6" x14ac:dyDescent="0.3">
      <c r="A5">
        <v>22.421836853027301</v>
      </c>
      <c r="B5" t="s">
        <v>14</v>
      </c>
      <c r="C5">
        <v>0.94515294395776095</v>
      </c>
      <c r="D5">
        <v>0.97180321670200198</v>
      </c>
      <c r="E5">
        <v>0.99005310513716505</v>
      </c>
      <c r="F5">
        <v>0.99646169137915097</v>
      </c>
    </row>
    <row r="6" spans="1:6" x14ac:dyDescent="0.3">
      <c r="A6">
        <v>20.662307739257798</v>
      </c>
      <c r="B6" t="s">
        <v>15</v>
      </c>
      <c r="C6">
        <v>0.95314245628621097</v>
      </c>
      <c r="D6">
        <v>0.97600915203958705</v>
      </c>
      <c r="E6">
        <v>0.98293254739098401</v>
      </c>
      <c r="F6">
        <v>0.99481143929739801</v>
      </c>
    </row>
    <row r="7" spans="1:6" x14ac:dyDescent="0.3">
      <c r="A7">
        <v>21.4984416961669</v>
      </c>
      <c r="B7" t="s">
        <v>16</v>
      </c>
      <c r="C7">
        <v>0.88065024285651705</v>
      </c>
      <c r="D7">
        <v>0.93653803646009004</v>
      </c>
      <c r="E7">
        <v>0.98237863959192595</v>
      </c>
      <c r="F7">
        <v>0.99530271346949095</v>
      </c>
    </row>
    <row r="8" spans="1:6" x14ac:dyDescent="0.3">
      <c r="A8">
        <v>20.687341690063398</v>
      </c>
      <c r="B8" t="s">
        <v>17</v>
      </c>
      <c r="C8">
        <v>0.95992844364937302</v>
      </c>
      <c r="D8">
        <v>0.97955458196421996</v>
      </c>
      <c r="E8">
        <v>0.97954585930543103</v>
      </c>
      <c r="F8">
        <v>0.997548799712905</v>
      </c>
    </row>
    <row r="9" spans="1:6" x14ac:dyDescent="0.3">
      <c r="A9">
        <v>21.32248878479</v>
      </c>
      <c r="B9" t="s">
        <v>18</v>
      </c>
      <c r="C9">
        <v>0.96288868333924005</v>
      </c>
      <c r="D9">
        <v>0.98109351947680101</v>
      </c>
      <c r="E9">
        <v>0.987193235901481</v>
      </c>
      <c r="F9">
        <v>0.99695643578111504</v>
      </c>
    </row>
    <row r="10" spans="1:6" x14ac:dyDescent="0.3">
      <c r="A10">
        <v>22.104024887084901</v>
      </c>
      <c r="B10" t="s">
        <v>19</v>
      </c>
      <c r="C10">
        <v>0.96229903436559106</v>
      </c>
      <c r="D10">
        <v>0.98078734944360901</v>
      </c>
      <c r="E10">
        <v>0.98429633794178495</v>
      </c>
      <c r="F10">
        <v>0.995989023061435</v>
      </c>
    </row>
    <row r="11" spans="1:6" x14ac:dyDescent="0.3">
      <c r="A11">
        <v>21.119117736816399</v>
      </c>
      <c r="B11" t="s">
        <v>20</v>
      </c>
      <c r="C11">
        <v>0.96308063102541597</v>
      </c>
      <c r="D11">
        <v>0.98119314693900295</v>
      </c>
      <c r="E11">
        <v>0.98628659210162894</v>
      </c>
      <c r="F11">
        <v>0.99700655299001595</v>
      </c>
    </row>
    <row r="12" spans="1:6" x14ac:dyDescent="0.3">
      <c r="A12">
        <v>20.897626876831001</v>
      </c>
      <c r="B12" t="s">
        <v>21</v>
      </c>
      <c r="C12">
        <v>0.92918344010901999</v>
      </c>
      <c r="D12">
        <v>0.96329195118584598</v>
      </c>
      <c r="E12">
        <v>0.96684812726146596</v>
      </c>
      <c r="F12">
        <v>0.99748080978746401</v>
      </c>
    </row>
    <row r="13" spans="1:6" x14ac:dyDescent="0.3">
      <c r="A13">
        <v>21.531581878662099</v>
      </c>
      <c r="B13" t="s">
        <v>22</v>
      </c>
      <c r="C13">
        <v>0.89482732844969304</v>
      </c>
      <c r="D13">
        <v>0.94449485186792304</v>
      </c>
      <c r="E13">
        <v>0.96260855580572502</v>
      </c>
      <c r="F13">
        <v>0.99909085644797002</v>
      </c>
    </row>
    <row r="14" spans="1:6" x14ac:dyDescent="0.3">
      <c r="A14">
        <v>21.253585815429599</v>
      </c>
      <c r="B14" t="s">
        <v>23</v>
      </c>
      <c r="C14">
        <v>0.96416471103129198</v>
      </c>
      <c r="D14">
        <v>0.98175545626726302</v>
      </c>
      <c r="E14">
        <v>0.97846629807176799</v>
      </c>
      <c r="F14">
        <v>0.99788995522826995</v>
      </c>
    </row>
    <row r="15" spans="1:6" x14ac:dyDescent="0.3">
      <c r="A15">
        <v>21.884202957153299</v>
      </c>
      <c r="B15" t="s">
        <v>24</v>
      </c>
      <c r="C15">
        <v>0.95473019238839896</v>
      </c>
      <c r="D15">
        <v>0.97684089201267799</v>
      </c>
      <c r="E15">
        <v>0.99203589584695995</v>
      </c>
      <c r="F15">
        <v>0.99645841892587605</v>
      </c>
    </row>
    <row r="16" spans="1:6" x14ac:dyDescent="0.3">
      <c r="A16">
        <v>22.1023559570312</v>
      </c>
      <c r="B16" t="s">
        <v>25</v>
      </c>
      <c r="C16">
        <v>0.95328842073919595</v>
      </c>
      <c r="D16">
        <v>0.97608567236418298</v>
      </c>
      <c r="E16">
        <v>0.98620536960560601</v>
      </c>
      <c r="F16">
        <v>0.99620300731982203</v>
      </c>
    </row>
    <row r="17" spans="1:6" x14ac:dyDescent="0.3">
      <c r="A17">
        <v>21.012306213378899</v>
      </c>
      <c r="B17" t="s">
        <v>26</v>
      </c>
      <c r="C17">
        <v>0.96838746420964705</v>
      </c>
      <c r="D17">
        <v>0.98393988157049805</v>
      </c>
      <c r="E17">
        <v>0.98274019239143295</v>
      </c>
      <c r="F17">
        <v>0.99797022783975597</v>
      </c>
    </row>
    <row r="18" spans="1:6" x14ac:dyDescent="0.3">
      <c r="A18">
        <v>21.173000335693299</v>
      </c>
      <c r="B18" t="s">
        <v>27</v>
      </c>
      <c r="C18">
        <v>0.94810706249259802</v>
      </c>
      <c r="D18">
        <v>0.97336237904655698</v>
      </c>
      <c r="E18">
        <v>0.98213938842485105</v>
      </c>
      <c r="F18">
        <v>0.99630717644670597</v>
      </c>
    </row>
    <row r="19" spans="1:6" x14ac:dyDescent="0.3">
      <c r="A19">
        <v>22.2439765930175</v>
      </c>
      <c r="B19" t="s">
        <v>28</v>
      </c>
      <c r="C19">
        <v>0.94612786770699897</v>
      </c>
      <c r="D19">
        <v>0.97231829768900202</v>
      </c>
      <c r="E19">
        <v>0.97933894259745802</v>
      </c>
      <c r="F19">
        <v>0.99855426041384299</v>
      </c>
    </row>
    <row r="20" spans="1:6" x14ac:dyDescent="0.3">
      <c r="A20">
        <v>20.9367275238037</v>
      </c>
      <c r="B20" t="s">
        <v>29</v>
      </c>
      <c r="C20">
        <v>0.93526788873947198</v>
      </c>
      <c r="D20">
        <v>0.96655134328576497</v>
      </c>
      <c r="E20">
        <v>0.98271707766903604</v>
      </c>
      <c r="F20">
        <v>0.99652414754489205</v>
      </c>
    </row>
    <row r="21" spans="1:6" x14ac:dyDescent="0.3">
      <c r="A21">
        <v>23.077487945556602</v>
      </c>
      <c r="B21" t="s">
        <v>30</v>
      </c>
      <c r="C21">
        <v>0.92603829893061396</v>
      </c>
      <c r="D21">
        <v>0.96159904966040799</v>
      </c>
      <c r="E21">
        <v>0.97282892674260601</v>
      </c>
      <c r="F21">
        <v>0.99808571711372795</v>
      </c>
    </row>
    <row r="22" spans="1:6" x14ac:dyDescent="0.3">
      <c r="A22">
        <v>24.579524993896399</v>
      </c>
      <c r="B22" t="s">
        <v>31</v>
      </c>
      <c r="C22">
        <v>0.96362464803029302</v>
      </c>
      <c r="D22">
        <v>0.98147540467767302</v>
      </c>
      <c r="E22">
        <v>0.98747229885577303</v>
      </c>
      <c r="F22">
        <v>0.99708322095134305</v>
      </c>
    </row>
    <row r="23" spans="1:6" x14ac:dyDescent="0.3">
      <c r="A23">
        <v>21.392583847045898</v>
      </c>
      <c r="B23" t="s">
        <v>32</v>
      </c>
      <c r="C23">
        <v>0.89335465375916501</v>
      </c>
      <c r="D23">
        <v>0.94367386689593702</v>
      </c>
      <c r="E23">
        <v>0.96053406028313804</v>
      </c>
      <c r="F23">
        <v>0.99506612710794695</v>
      </c>
    </row>
    <row r="24" spans="1:6" x14ac:dyDescent="0.3">
      <c r="A24">
        <v>22.363185882568299</v>
      </c>
      <c r="B24" t="s">
        <v>33</v>
      </c>
      <c r="C24">
        <v>0.96961207645022696</v>
      </c>
      <c r="D24">
        <v>0.984571620009286</v>
      </c>
      <c r="E24">
        <v>0.98844660537899598</v>
      </c>
      <c r="F24">
        <v>0.99829224590413901</v>
      </c>
    </row>
    <row r="25" spans="1:6" x14ac:dyDescent="0.3">
      <c r="A25">
        <v>20.975589752197202</v>
      </c>
      <c r="B25" t="s">
        <v>34</v>
      </c>
      <c r="C25">
        <v>0.96503479338741505</v>
      </c>
      <c r="D25">
        <v>0.98220631678876702</v>
      </c>
      <c r="E25">
        <v>0.97994790693037204</v>
      </c>
      <c r="F25">
        <v>0.99871945142951501</v>
      </c>
    </row>
    <row r="26" spans="1:6" x14ac:dyDescent="0.3">
      <c r="A26">
        <v>21.984577178955</v>
      </c>
      <c r="B26" t="s">
        <v>35</v>
      </c>
      <c r="C26">
        <v>0.96611933494464997</v>
      </c>
      <c r="D26">
        <v>0.98276774738278805</v>
      </c>
      <c r="E26">
        <v>0.99319138400594198</v>
      </c>
      <c r="F26">
        <v>0.99661244874310995</v>
      </c>
    </row>
    <row r="27" spans="1:6" x14ac:dyDescent="0.3">
      <c r="A27">
        <v>21.616935729980401</v>
      </c>
      <c r="B27" t="s">
        <v>36</v>
      </c>
      <c r="C27">
        <v>0.95494801694262599</v>
      </c>
      <c r="D27">
        <v>0.97695489462280805</v>
      </c>
      <c r="E27">
        <v>0.98506974462020103</v>
      </c>
      <c r="F27">
        <v>0.99719619762860601</v>
      </c>
    </row>
    <row r="28" spans="1:6" x14ac:dyDescent="0.3">
      <c r="A28">
        <v>21.931409835815401</v>
      </c>
      <c r="B28" t="s">
        <v>37</v>
      </c>
      <c r="C28">
        <v>0.93408259744893396</v>
      </c>
      <c r="D28">
        <v>0.96591800027671404</v>
      </c>
      <c r="E28">
        <v>0.97061822226341599</v>
      </c>
      <c r="F28">
        <v>0.99917818729929297</v>
      </c>
    </row>
    <row r="29" spans="1:6" x14ac:dyDescent="0.3">
      <c r="A29">
        <v>21.470546722412099</v>
      </c>
      <c r="B29" t="s">
        <v>38</v>
      </c>
      <c r="C29">
        <v>0.96558735102632298</v>
      </c>
      <c r="D29">
        <v>0.98249243466299796</v>
      </c>
      <c r="E29">
        <v>0.99100939019246503</v>
      </c>
      <c r="F29">
        <v>0.99610481315036103</v>
      </c>
    </row>
    <row r="30" spans="1:6" x14ac:dyDescent="0.3">
      <c r="A30">
        <v>21.543979644775298</v>
      </c>
      <c r="B30" t="s">
        <v>39</v>
      </c>
      <c r="C30">
        <v>0.94102196979035302</v>
      </c>
      <c r="D30">
        <v>0.96961495999140201</v>
      </c>
      <c r="E30">
        <v>0.98354855653449302</v>
      </c>
      <c r="F30">
        <v>0.99518821365597598</v>
      </c>
    </row>
    <row r="31" spans="1:6" x14ac:dyDescent="0.3">
      <c r="A31">
        <v>21.748542785644499</v>
      </c>
      <c r="B31" t="s">
        <v>40</v>
      </c>
      <c r="C31">
        <v>0.97169511962937105</v>
      </c>
      <c r="D31">
        <v>0.98564439294450801</v>
      </c>
      <c r="E31">
        <v>0.98311288044176104</v>
      </c>
      <c r="F31">
        <v>0.99841555697934103</v>
      </c>
    </row>
    <row r="32" spans="1:6" x14ac:dyDescent="0.3">
      <c r="A32">
        <v>20.8418369293212</v>
      </c>
      <c r="B32" t="s">
        <v>41</v>
      </c>
      <c r="C32">
        <v>0.95998216585752505</v>
      </c>
      <c r="D32">
        <v>0.97958255190298305</v>
      </c>
      <c r="E32">
        <v>0.97998381713360905</v>
      </c>
      <c r="F32">
        <v>0.99783090767037297</v>
      </c>
    </row>
    <row r="33" spans="1:6" x14ac:dyDescent="0.3">
      <c r="A33">
        <v>21.665334701538001</v>
      </c>
      <c r="B33" t="s">
        <v>42</v>
      </c>
      <c r="C33">
        <v>0.93815889029003696</v>
      </c>
      <c r="D33">
        <v>0.96809285863002204</v>
      </c>
      <c r="E33">
        <v>0.98233290199910195</v>
      </c>
      <c r="F33">
        <v>0.99823589183434602</v>
      </c>
    </row>
    <row r="34" spans="1:6" x14ac:dyDescent="0.3">
      <c r="A34">
        <v>20.887851715087798</v>
      </c>
      <c r="B34" t="s">
        <v>43</v>
      </c>
      <c r="C34">
        <v>0.94994715855098899</v>
      </c>
      <c r="D34">
        <v>0.97433118060173196</v>
      </c>
      <c r="E34">
        <v>0.98668917423068403</v>
      </c>
      <c r="F34">
        <v>0.99554015878013202</v>
      </c>
    </row>
    <row r="35" spans="1:6" x14ac:dyDescent="0.3">
      <c r="A35">
        <v>21.765232086181602</v>
      </c>
      <c r="B35" t="s">
        <v>44</v>
      </c>
      <c r="C35">
        <v>0.92519793500784497</v>
      </c>
      <c r="D35">
        <v>0.96114577954196101</v>
      </c>
      <c r="E35">
        <v>0.97775921214192496</v>
      </c>
      <c r="F35">
        <v>0.99537117732784497</v>
      </c>
    </row>
    <row r="36" spans="1:6" x14ac:dyDescent="0.3">
      <c r="A36">
        <v>22.135257720947202</v>
      </c>
      <c r="B36" t="s">
        <v>45</v>
      </c>
      <c r="C36">
        <v>0.96121945566518696</v>
      </c>
      <c r="D36">
        <v>0.98022631061363796</v>
      </c>
      <c r="E36">
        <v>0.97481594654264903</v>
      </c>
      <c r="F36">
        <v>0.99818710574929503</v>
      </c>
    </row>
    <row r="37" spans="1:6" x14ac:dyDescent="0.3">
      <c r="A37">
        <v>21.5518474578857</v>
      </c>
      <c r="B37" t="s">
        <v>46</v>
      </c>
      <c r="C37">
        <v>0.96275085376616398</v>
      </c>
      <c r="D37">
        <v>0.98102196916008899</v>
      </c>
      <c r="E37">
        <v>0.98933391165482099</v>
      </c>
      <c r="F37">
        <v>0.99704265398840497</v>
      </c>
    </row>
    <row r="38" spans="1:6" x14ac:dyDescent="0.3">
      <c r="A38">
        <v>21.5115547180175</v>
      </c>
      <c r="B38" t="s">
        <v>47</v>
      </c>
      <c r="C38">
        <v>0.94582293538835505</v>
      </c>
      <c r="D38">
        <v>0.97215724841847795</v>
      </c>
      <c r="E38">
        <v>0.98376728172575101</v>
      </c>
      <c r="F38">
        <v>0.99693806327112899</v>
      </c>
    </row>
    <row r="39" spans="1:6" x14ac:dyDescent="0.3">
      <c r="A39">
        <v>21.367549896240199</v>
      </c>
      <c r="B39" t="s">
        <v>48</v>
      </c>
      <c r="C39">
        <v>0.96339579323499702</v>
      </c>
      <c r="D39">
        <v>0.98135668473410897</v>
      </c>
      <c r="E39">
        <v>0.97757926081625501</v>
      </c>
      <c r="F39">
        <v>0.99820097688774301</v>
      </c>
    </row>
    <row r="40" spans="1:6" x14ac:dyDescent="0.3">
      <c r="A40">
        <v>21.867752075195298</v>
      </c>
      <c r="B40" t="s">
        <v>49</v>
      </c>
      <c r="C40">
        <v>0.92574292620503296</v>
      </c>
      <c r="D40">
        <v>0.96143977849561602</v>
      </c>
      <c r="E40">
        <v>0.937338036279873</v>
      </c>
      <c r="F40">
        <v>0.99965908823736804</v>
      </c>
    </row>
    <row r="41" spans="1:6" x14ac:dyDescent="0.3">
      <c r="A41">
        <v>21.494865417480401</v>
      </c>
      <c r="B41" t="s">
        <v>50</v>
      </c>
      <c r="C41">
        <v>0.94101186201431297</v>
      </c>
      <c r="D41">
        <v>0.96960959428425597</v>
      </c>
      <c r="E41">
        <v>0.97945664501495</v>
      </c>
      <c r="F41">
        <v>0.99843035116559997</v>
      </c>
    </row>
    <row r="42" spans="1:6" x14ac:dyDescent="0.3">
      <c r="A42">
        <v>21.1236476898193</v>
      </c>
      <c r="B42" t="s">
        <v>51</v>
      </c>
      <c r="C42">
        <v>0.92774743152373196</v>
      </c>
      <c r="D42">
        <v>0.96251969148304894</v>
      </c>
      <c r="E42">
        <v>0.97490571511459201</v>
      </c>
      <c r="F42">
        <v>0.99754777980602105</v>
      </c>
    </row>
    <row r="43" spans="1:6" x14ac:dyDescent="0.3">
      <c r="A43">
        <v>21.393060684204102</v>
      </c>
      <c r="B43" t="s">
        <v>52</v>
      </c>
      <c r="C43">
        <v>0.95468127134900704</v>
      </c>
      <c r="D43">
        <v>0.97681528476521595</v>
      </c>
      <c r="E43">
        <v>0.98689293191401495</v>
      </c>
      <c r="F43">
        <v>0.99498643917785001</v>
      </c>
    </row>
    <row r="44" spans="1:6" x14ac:dyDescent="0.3">
      <c r="A44">
        <v>23.042201995849599</v>
      </c>
      <c r="B44" t="s">
        <v>53</v>
      </c>
      <c r="C44">
        <v>0.95848968447487903</v>
      </c>
      <c r="D44">
        <v>0.97880493532635005</v>
      </c>
      <c r="E44">
        <v>0.98113094748798702</v>
      </c>
      <c r="F44">
        <v>0.99654444503962203</v>
      </c>
    </row>
    <row r="45" spans="1:6" x14ac:dyDescent="0.3">
      <c r="A45">
        <v>21.640539169311499</v>
      </c>
      <c r="B45" t="s">
        <v>54</v>
      </c>
      <c r="C45">
        <v>0.95122963161240603</v>
      </c>
      <c r="D45">
        <v>0.97500531582882299</v>
      </c>
      <c r="E45">
        <v>0.98983336466885297</v>
      </c>
      <c r="F45">
        <v>0.99356000039780301</v>
      </c>
    </row>
    <row r="46" spans="1:6" x14ac:dyDescent="0.3">
      <c r="A46">
        <v>20.850658416748001</v>
      </c>
      <c r="B46" t="s">
        <v>55</v>
      </c>
      <c r="C46">
        <v>0.96590370109701795</v>
      </c>
      <c r="D46">
        <v>0.98265617034854902</v>
      </c>
      <c r="E46">
        <v>0.98317266511968304</v>
      </c>
      <c r="F46">
        <v>0.99750476550664302</v>
      </c>
    </row>
    <row r="47" spans="1:6" x14ac:dyDescent="0.3">
      <c r="A47">
        <v>21.3470458984375</v>
      </c>
      <c r="B47" t="s">
        <v>56</v>
      </c>
      <c r="C47">
        <v>0.96237536224765396</v>
      </c>
      <c r="D47">
        <v>0.98082699239086901</v>
      </c>
      <c r="E47">
        <v>0.98579148092616997</v>
      </c>
      <c r="F47">
        <v>0.99745258897238598</v>
      </c>
    </row>
    <row r="48" spans="1:6" x14ac:dyDescent="0.3">
      <c r="A48">
        <v>20.929813385009702</v>
      </c>
      <c r="B48" t="s">
        <v>57</v>
      </c>
      <c r="C48">
        <v>0.96583692047138503</v>
      </c>
      <c r="D48">
        <v>0.98262161058587505</v>
      </c>
      <c r="E48">
        <v>0.98581975330872396</v>
      </c>
      <c r="F48">
        <v>0.99754881568757903</v>
      </c>
    </row>
    <row r="49" spans="1:6" x14ac:dyDescent="0.3">
      <c r="A49">
        <v>22.5627422332763</v>
      </c>
      <c r="B49" t="s">
        <v>58</v>
      </c>
      <c r="C49">
        <v>0.95344387755102</v>
      </c>
      <c r="D49">
        <v>0.97616715638263096</v>
      </c>
      <c r="E49">
        <v>0.984873927870207</v>
      </c>
      <c r="F49">
        <v>0.99428919243094205</v>
      </c>
    </row>
    <row r="50" spans="1:6" x14ac:dyDescent="0.3">
      <c r="A50">
        <v>21.757602691650298</v>
      </c>
      <c r="B50" t="s">
        <v>59</v>
      </c>
      <c r="C50">
        <v>0.96036007902186604</v>
      </c>
      <c r="D50">
        <v>0.97977926534909199</v>
      </c>
      <c r="E50">
        <v>0.98918941597672805</v>
      </c>
      <c r="F50">
        <v>0.995259328951553</v>
      </c>
    </row>
    <row r="51" spans="1:6" x14ac:dyDescent="0.3">
      <c r="A51">
        <v>21.445512771606399</v>
      </c>
      <c r="B51" t="s">
        <v>60</v>
      </c>
      <c r="C51">
        <v>0.95708410848918002</v>
      </c>
      <c r="D51">
        <v>0.97807151398109804</v>
      </c>
      <c r="E51">
        <v>0.98115915843571799</v>
      </c>
      <c r="F51">
        <v>0.99735919203500201</v>
      </c>
    </row>
    <row r="52" spans="1:6" x14ac:dyDescent="0.3">
      <c r="A52">
        <v>21.1813449859619</v>
      </c>
      <c r="B52" t="s">
        <v>61</v>
      </c>
      <c r="C52">
        <v>0.92283966223390801</v>
      </c>
      <c r="D52">
        <v>0.95987167350373404</v>
      </c>
      <c r="E52">
        <v>0.96375765683306303</v>
      </c>
      <c r="F52">
        <v>0.99746008122900198</v>
      </c>
    </row>
    <row r="53" spans="1:6" x14ac:dyDescent="0.3">
      <c r="A53">
        <v>21.451473236083899</v>
      </c>
      <c r="B53" t="s">
        <v>62</v>
      </c>
      <c r="C53">
        <v>0.96613105739124905</v>
      </c>
      <c r="D53">
        <v>0.98277381231458205</v>
      </c>
      <c r="E53">
        <v>0.98325865778108401</v>
      </c>
      <c r="F53">
        <v>0.99763009092579902</v>
      </c>
    </row>
    <row r="54" spans="1:6" x14ac:dyDescent="0.3">
      <c r="A54">
        <v>21.2461948394775</v>
      </c>
      <c r="B54" t="s">
        <v>63</v>
      </c>
      <c r="C54">
        <v>0.94340825835400699</v>
      </c>
      <c r="D54">
        <v>0.970880157886164</v>
      </c>
      <c r="E54">
        <v>0.98363989322979795</v>
      </c>
      <c r="F54">
        <v>0.98957064826485996</v>
      </c>
    </row>
    <row r="55" spans="1:6" x14ac:dyDescent="0.3">
      <c r="A55">
        <v>23.6189365386962</v>
      </c>
      <c r="B55" t="s">
        <v>64</v>
      </c>
      <c r="C55">
        <v>0.96363888696134803</v>
      </c>
      <c r="D55">
        <v>0.98148279030320096</v>
      </c>
      <c r="E55">
        <v>0.97993313986821995</v>
      </c>
      <c r="F55">
        <v>0.99795018204564701</v>
      </c>
    </row>
    <row r="56" spans="1:6" x14ac:dyDescent="0.3">
      <c r="A56">
        <v>20.922899246215799</v>
      </c>
      <c r="B56" t="s">
        <v>65</v>
      </c>
      <c r="C56">
        <v>0.959919370570258</v>
      </c>
      <c r="D56">
        <v>0.97954985800355598</v>
      </c>
      <c r="E56">
        <v>0.98998122317596504</v>
      </c>
      <c r="F56">
        <v>0.99480797281912603</v>
      </c>
    </row>
    <row r="57" spans="1:6" x14ac:dyDescent="0.3">
      <c r="A57">
        <v>22.155284881591701</v>
      </c>
      <c r="B57" t="s">
        <v>66</v>
      </c>
      <c r="C57">
        <v>0.95910744445887997</v>
      </c>
      <c r="D57">
        <v>0.97912694596879801</v>
      </c>
      <c r="E57">
        <v>0.98184538653366504</v>
      </c>
      <c r="F57">
        <v>0.99776804114567597</v>
      </c>
    </row>
    <row r="58" spans="1:6" x14ac:dyDescent="0.3">
      <c r="A58">
        <v>20.9240913391113</v>
      </c>
      <c r="B58" t="s">
        <v>67</v>
      </c>
      <c r="C58">
        <v>0.93223063732495004</v>
      </c>
      <c r="D58">
        <v>0.96492687706842595</v>
      </c>
      <c r="E58">
        <v>0.97256904327084304</v>
      </c>
      <c r="F58">
        <v>0.99886370865528995</v>
      </c>
    </row>
    <row r="59" spans="1:6" x14ac:dyDescent="0.3">
      <c r="A59">
        <v>21.434068679809499</v>
      </c>
      <c r="B59" t="s">
        <v>68</v>
      </c>
      <c r="C59">
        <v>0.97000626959247604</v>
      </c>
      <c r="D59">
        <v>0.98477480459301803</v>
      </c>
      <c r="E59">
        <v>0.98432370530601798</v>
      </c>
      <c r="F59">
        <v>0.99813042137508501</v>
      </c>
    </row>
    <row r="60" spans="1:6" x14ac:dyDescent="0.3">
      <c r="A60">
        <v>21.5682983398437</v>
      </c>
      <c r="B60" t="s">
        <v>69</v>
      </c>
      <c r="C60">
        <v>0.97056933770579301</v>
      </c>
      <c r="D60">
        <v>0.98506489381973705</v>
      </c>
      <c r="E60">
        <v>0.98496896408640899</v>
      </c>
      <c r="F60">
        <v>0.998117115016115</v>
      </c>
    </row>
    <row r="61" spans="1:6" x14ac:dyDescent="0.3">
      <c r="A61">
        <v>21.519660949706999</v>
      </c>
      <c r="B61" t="s">
        <v>70</v>
      </c>
      <c r="C61">
        <v>0.96679247809458402</v>
      </c>
      <c r="D61">
        <v>0.983115899478329</v>
      </c>
      <c r="E61">
        <v>0.990831274873061</v>
      </c>
      <c r="F61">
        <v>0.99688943157822396</v>
      </c>
    </row>
    <row r="62" spans="1:6" x14ac:dyDescent="0.3">
      <c r="A62">
        <v>20.998477935791001</v>
      </c>
      <c r="B62" t="s">
        <v>71</v>
      </c>
      <c r="C62">
        <v>0.96979419931709698</v>
      </c>
      <c r="D62">
        <v>0.98466550429817701</v>
      </c>
      <c r="E62">
        <v>0.98545314630557101</v>
      </c>
      <c r="F62">
        <v>0.99734350324399101</v>
      </c>
    </row>
    <row r="63" spans="1:6" x14ac:dyDescent="0.3">
      <c r="A63">
        <v>21.3208198547363</v>
      </c>
      <c r="B63" t="s">
        <v>72</v>
      </c>
      <c r="C63">
        <v>0.90904012261677902</v>
      </c>
      <c r="D63">
        <v>0.95235308241791194</v>
      </c>
      <c r="E63">
        <v>0.94038586924307899</v>
      </c>
      <c r="F63">
        <v>0.99762815311917696</v>
      </c>
    </row>
    <row r="64" spans="1:6" x14ac:dyDescent="0.3">
      <c r="A64">
        <v>20.889997482299801</v>
      </c>
      <c r="B64" t="s">
        <v>73</v>
      </c>
      <c r="C64">
        <v>0.96757009261837801</v>
      </c>
      <c r="D64">
        <v>0.98351778800496703</v>
      </c>
      <c r="E64">
        <v>0.98901774974059398</v>
      </c>
      <c r="F64">
        <v>0.99743102121695504</v>
      </c>
    </row>
    <row r="65" spans="1:6" x14ac:dyDescent="0.3">
      <c r="A65">
        <v>21.494388580322202</v>
      </c>
      <c r="B65" t="s">
        <v>74</v>
      </c>
      <c r="C65">
        <v>0.96245312078522105</v>
      </c>
      <c r="D65">
        <v>0.98086737521670997</v>
      </c>
      <c r="E65">
        <v>0.99050757602894202</v>
      </c>
      <c r="F65">
        <v>0.99652580616239805</v>
      </c>
    </row>
    <row r="66" spans="1:6" x14ac:dyDescent="0.3">
      <c r="A66">
        <v>21.916151046752901</v>
      </c>
      <c r="B66" t="s">
        <v>75</v>
      </c>
      <c r="C66">
        <v>0.91740889113608903</v>
      </c>
      <c r="D66">
        <v>0.95692566710954696</v>
      </c>
      <c r="E66">
        <v>0.974388102860683</v>
      </c>
      <c r="F66">
        <v>0.99368108718082304</v>
      </c>
    </row>
    <row r="67" spans="1:6" x14ac:dyDescent="0.3">
      <c r="A67">
        <v>21.756410598754801</v>
      </c>
      <c r="B67" t="s">
        <v>76</v>
      </c>
      <c r="C67">
        <v>0.97060636919730303</v>
      </c>
      <c r="D67">
        <v>0.98508396640640605</v>
      </c>
      <c r="E67">
        <v>0.98404270262677296</v>
      </c>
      <c r="F67">
        <v>0.99782497384671698</v>
      </c>
    </row>
    <row r="68" spans="1:6" x14ac:dyDescent="0.3">
      <c r="A68">
        <v>20.816564559936499</v>
      </c>
      <c r="B68" t="s">
        <v>77</v>
      </c>
      <c r="C68">
        <v>0.96689267679761004</v>
      </c>
      <c r="D68">
        <v>0.98316770223767702</v>
      </c>
      <c r="E68">
        <v>0.97502345846506899</v>
      </c>
      <c r="F68">
        <v>0.99840342056081099</v>
      </c>
    </row>
    <row r="69" spans="1:6" x14ac:dyDescent="0.3">
      <c r="A69">
        <v>21.725416183471602</v>
      </c>
      <c r="B69" t="s">
        <v>78</v>
      </c>
      <c r="C69">
        <v>0.94306242798074902</v>
      </c>
      <c r="D69">
        <v>0.97069699295332401</v>
      </c>
      <c r="E69">
        <v>0.98512482519751898</v>
      </c>
      <c r="F69">
        <v>0.99140142350292704</v>
      </c>
    </row>
    <row r="70" spans="1:6" x14ac:dyDescent="0.3">
      <c r="A70">
        <v>20.938634872436499</v>
      </c>
      <c r="B70" t="s">
        <v>79</v>
      </c>
      <c r="C70">
        <v>0.96234309623430903</v>
      </c>
      <c r="D70">
        <v>0.98081023454157701</v>
      </c>
      <c r="E70">
        <v>0.98633776091081504</v>
      </c>
      <c r="F70">
        <v>0.99721366955902102</v>
      </c>
    </row>
    <row r="71" spans="1:6" x14ac:dyDescent="0.3">
      <c r="A71">
        <v>21.698236465454102</v>
      </c>
      <c r="B71" t="s">
        <v>80</v>
      </c>
      <c r="C71">
        <v>0.95232529244475495</v>
      </c>
      <c r="D71">
        <v>0.97558055118184395</v>
      </c>
      <c r="E71">
        <v>0.98559794256322297</v>
      </c>
      <c r="F71">
        <v>0.99611272256729799</v>
      </c>
    </row>
    <row r="72" spans="1:6" x14ac:dyDescent="0.3">
      <c r="A72">
        <v>21.779060363769499</v>
      </c>
      <c r="B72" t="s">
        <v>81</v>
      </c>
      <c r="C72">
        <v>0.96545169749555604</v>
      </c>
      <c r="D72">
        <v>0.98242220729796204</v>
      </c>
      <c r="E72">
        <v>0.98791578871539898</v>
      </c>
      <c r="F72">
        <v>0.99869895644625795</v>
      </c>
    </row>
    <row r="73" spans="1:6" x14ac:dyDescent="0.3">
      <c r="A73">
        <v>22.448778152465799</v>
      </c>
      <c r="B73" t="s">
        <v>82</v>
      </c>
      <c r="C73">
        <v>0.96355547877164904</v>
      </c>
      <c r="D73">
        <v>0.98143952558389103</v>
      </c>
      <c r="E73">
        <v>0.98262830564315795</v>
      </c>
      <c r="F73">
        <v>0.99759694051064196</v>
      </c>
    </row>
    <row r="74" spans="1:6" x14ac:dyDescent="0.3">
      <c r="A74">
        <v>20.989656448364201</v>
      </c>
      <c r="B74" t="s">
        <v>83</v>
      </c>
      <c r="C74">
        <v>0.967337619610112</v>
      </c>
      <c r="D74">
        <v>0.98339767406249201</v>
      </c>
      <c r="E74">
        <v>0.984532339271882</v>
      </c>
      <c r="F74">
        <v>0.99761745111611</v>
      </c>
    </row>
    <row r="75" spans="1:6" x14ac:dyDescent="0.3">
      <c r="A75">
        <v>22.136211395263601</v>
      </c>
      <c r="B75" t="s">
        <v>84</v>
      </c>
      <c r="C75">
        <v>0.95982620168793598</v>
      </c>
      <c r="D75">
        <v>0.97950134645742404</v>
      </c>
      <c r="E75">
        <v>0.98438028579760795</v>
      </c>
      <c r="F75">
        <v>0.99499957816778895</v>
      </c>
    </row>
    <row r="76" spans="1:6" x14ac:dyDescent="0.3">
      <c r="A76">
        <v>21.469354629516602</v>
      </c>
      <c r="B76" t="s">
        <v>85</v>
      </c>
      <c r="C76">
        <v>0.958199167806154</v>
      </c>
      <c r="D76">
        <v>0.97865343174429098</v>
      </c>
      <c r="E76">
        <v>0.97252689856889096</v>
      </c>
      <c r="F76">
        <v>0.99897918120552298</v>
      </c>
    </row>
    <row r="77" spans="1:6" x14ac:dyDescent="0.3">
      <c r="A77">
        <v>21.6450691223144</v>
      </c>
      <c r="B77" t="s">
        <v>86</v>
      </c>
      <c r="C77">
        <v>0.92603795300788805</v>
      </c>
      <c r="D77">
        <v>0.96159886316019605</v>
      </c>
      <c r="E77">
        <v>0.93721278756756299</v>
      </c>
      <c r="F77">
        <v>0.99812840733963903</v>
      </c>
    </row>
    <row r="78" spans="1:6" x14ac:dyDescent="0.3">
      <c r="A78" s="1">
        <f>AVERAGE(A4:A77)</f>
        <v>21.846832455815466</v>
      </c>
      <c r="B78" s="1"/>
      <c r="C78" s="1">
        <f>SUBTOTAL(101,CMTUnet_test3[Column3])</f>
        <v>0.95131422370074759</v>
      </c>
      <c r="D78" s="1">
        <f>SUBTOTAL(101,CMTUnet_test3[Column4])</f>
        <v>0.97494705070521037</v>
      </c>
      <c r="E78" s="1">
        <f>SUBTOTAL(101,CMTUnet_test3[Column5])</f>
        <v>0.98060775477251338</v>
      </c>
      <c r="F78" s="1">
        <f>SUBTOTAL(101,CMTUnet_test3[Column6])</f>
        <v>0.99690265666672473</v>
      </c>
    </row>
    <row r="79" spans="1:6" x14ac:dyDescent="0.3">
      <c r="A79" s="1">
        <f>STDEVA(A4:A77)</f>
        <v>2.2310129110269421</v>
      </c>
      <c r="B79" s="1"/>
      <c r="C79" s="1">
        <f>STDEVA(C3:C77)</f>
        <v>1.9506071993866482E-2</v>
      </c>
      <c r="D79" s="1">
        <f>STDEVA(D3:D77)</f>
        <v>1.0413504217152975E-2</v>
      </c>
      <c r="E79" s="1">
        <f>STDEVA(E3:E77)</f>
        <v>1.0951013628343468E-2</v>
      </c>
      <c r="F79" s="1">
        <f>STDEVA(F3:F77)</f>
        <v>1.7077200819625453E-3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E318-FF8C-40C7-94E8-A6AA3E2D77C5}">
  <dimension ref="A1:F79"/>
  <sheetViews>
    <sheetView topLeftCell="A43" workbookViewId="0">
      <selection activeCell="F79" sqref="A78:F79"/>
    </sheetView>
  </sheetViews>
  <sheetFormatPr defaultRowHeight="14.4" x14ac:dyDescent="0.3"/>
  <cols>
    <col min="1" max="1" width="18.77734375" bestFit="1" customWidth="1"/>
    <col min="2" max="2" width="11.109375" bestFit="1" customWidth="1"/>
    <col min="3" max="6" width="18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>
        <v>554.86369132995605</v>
      </c>
      <c r="B3" t="s">
        <v>12</v>
      </c>
      <c r="C3">
        <v>0.92892250598450399</v>
      </c>
      <c r="D3">
        <v>0.96315171097077401</v>
      </c>
      <c r="E3">
        <v>0.97541422494571195</v>
      </c>
      <c r="F3">
        <v>0.99657102213091797</v>
      </c>
    </row>
    <row r="4" spans="1:6" x14ac:dyDescent="0.3">
      <c r="A4">
        <v>41.604518890380803</v>
      </c>
      <c r="B4" t="s">
        <v>13</v>
      </c>
      <c r="C4">
        <v>0.91768869276176201</v>
      </c>
      <c r="D4">
        <v>0.95707785755377395</v>
      </c>
      <c r="E4">
        <v>0.94912868235433501</v>
      </c>
      <c r="F4">
        <v>0.99764344220521595</v>
      </c>
    </row>
    <row r="5" spans="1:6" x14ac:dyDescent="0.3">
      <c r="A5">
        <v>25.5224704742431</v>
      </c>
      <c r="B5" t="s">
        <v>14</v>
      </c>
      <c r="C5">
        <v>0.94788926001256402</v>
      </c>
      <c r="D5">
        <v>0.97324758596025096</v>
      </c>
      <c r="E5">
        <v>0.984260359615583</v>
      </c>
      <c r="F5">
        <v>0.99335268264737997</v>
      </c>
    </row>
    <row r="6" spans="1:6" x14ac:dyDescent="0.3">
      <c r="A6">
        <v>24.300336837768501</v>
      </c>
      <c r="B6" t="s">
        <v>15</v>
      </c>
      <c r="C6">
        <v>0.95761090246291303</v>
      </c>
      <c r="D6">
        <v>0.97834651539600803</v>
      </c>
      <c r="E6">
        <v>0.99002145922746698</v>
      </c>
      <c r="F6">
        <v>0.99438883058203997</v>
      </c>
    </row>
    <row r="7" spans="1:6" x14ac:dyDescent="0.3">
      <c r="A7">
        <v>24.530887603759702</v>
      </c>
      <c r="B7" t="s">
        <v>16</v>
      </c>
      <c r="C7">
        <v>0.96036250054990902</v>
      </c>
      <c r="D7">
        <v>0.97978052557168804</v>
      </c>
      <c r="E7">
        <v>0.977302233961588</v>
      </c>
      <c r="F7">
        <v>0.99879580058376105</v>
      </c>
    </row>
    <row r="8" spans="1:6" x14ac:dyDescent="0.3">
      <c r="A8">
        <v>24.970293045043899</v>
      </c>
      <c r="B8" t="s">
        <v>17</v>
      </c>
      <c r="C8">
        <v>0.94697158166682605</v>
      </c>
      <c r="D8">
        <v>0.97276364029526496</v>
      </c>
      <c r="E8">
        <v>0.98082316680376203</v>
      </c>
      <c r="F8">
        <v>0.99619383479322499</v>
      </c>
    </row>
    <row r="9" spans="1:6" x14ac:dyDescent="0.3">
      <c r="A9">
        <v>24.785041809081999</v>
      </c>
      <c r="B9" t="s">
        <v>18</v>
      </c>
      <c r="C9">
        <v>0.93757798802735703</v>
      </c>
      <c r="D9">
        <v>0.96778348414445203</v>
      </c>
      <c r="E9">
        <v>0.96748378263845802</v>
      </c>
      <c r="F9">
        <v>0.99801766978450601</v>
      </c>
    </row>
    <row r="10" spans="1:6" x14ac:dyDescent="0.3">
      <c r="A10">
        <v>24.672508239746001</v>
      </c>
      <c r="B10" t="s">
        <v>19</v>
      </c>
      <c r="C10">
        <v>0.94349504114596305</v>
      </c>
      <c r="D10">
        <v>0.97092611112569704</v>
      </c>
      <c r="E10">
        <v>0.98710507158456595</v>
      </c>
      <c r="F10">
        <v>0.98869589781205502</v>
      </c>
    </row>
    <row r="11" spans="1:6" x14ac:dyDescent="0.3">
      <c r="A11">
        <v>24.3322849273681</v>
      </c>
      <c r="B11" t="s">
        <v>20</v>
      </c>
      <c r="C11">
        <v>0.96868203063538305</v>
      </c>
      <c r="D11">
        <v>0.98409191079246605</v>
      </c>
      <c r="E11">
        <v>0.98810436999185702</v>
      </c>
      <c r="F11">
        <v>0.99823725746727399</v>
      </c>
    </row>
    <row r="12" spans="1:6" x14ac:dyDescent="0.3">
      <c r="A12">
        <v>23.617506027221602</v>
      </c>
      <c r="B12" t="s">
        <v>21</v>
      </c>
      <c r="C12">
        <v>0.96071150872349498</v>
      </c>
      <c r="D12">
        <v>0.97996212543165795</v>
      </c>
      <c r="E12">
        <v>0.97919857524487897</v>
      </c>
      <c r="F12">
        <v>0.997691919903959</v>
      </c>
    </row>
    <row r="13" spans="1:6" x14ac:dyDescent="0.3">
      <c r="A13">
        <v>24.423599243163999</v>
      </c>
      <c r="B13" t="s">
        <v>22</v>
      </c>
      <c r="C13">
        <v>0.96763252658906196</v>
      </c>
      <c r="D13">
        <v>0.98355004149730796</v>
      </c>
      <c r="E13">
        <v>0.98480748332658496</v>
      </c>
      <c r="F13">
        <v>0.99724713945954002</v>
      </c>
    </row>
    <row r="14" spans="1:6" x14ac:dyDescent="0.3">
      <c r="A14">
        <v>25.9976387023925</v>
      </c>
      <c r="B14" t="s">
        <v>23</v>
      </c>
      <c r="C14">
        <v>0.95512167313927299</v>
      </c>
      <c r="D14">
        <v>0.97704576268715404</v>
      </c>
      <c r="E14">
        <v>0.98809453601863595</v>
      </c>
      <c r="F14">
        <v>0.994870328745875</v>
      </c>
    </row>
    <row r="15" spans="1:6" x14ac:dyDescent="0.3">
      <c r="A15">
        <v>25.034904479980401</v>
      </c>
      <c r="B15" t="s">
        <v>24</v>
      </c>
      <c r="C15">
        <v>0.92922401418559397</v>
      </c>
      <c r="D15">
        <v>0.96331375449714995</v>
      </c>
      <c r="E15">
        <v>0.968527775822009</v>
      </c>
      <c r="F15">
        <v>0.99757704453882101</v>
      </c>
    </row>
    <row r="16" spans="1:6" x14ac:dyDescent="0.3">
      <c r="A16">
        <v>24.271965026855401</v>
      </c>
      <c r="B16" t="s">
        <v>25</v>
      </c>
      <c r="C16">
        <v>0.90227999147666704</v>
      </c>
      <c r="D16">
        <v>0.94863006026390595</v>
      </c>
      <c r="E16">
        <v>0.98118453980906395</v>
      </c>
      <c r="F16">
        <v>0.99816260596417905</v>
      </c>
    </row>
    <row r="17" spans="1:6" x14ac:dyDescent="0.3">
      <c r="A17">
        <v>24.2297649383544</v>
      </c>
      <c r="B17" t="s">
        <v>26</v>
      </c>
      <c r="C17">
        <v>0.96833265253844103</v>
      </c>
      <c r="D17">
        <v>0.98391158759637498</v>
      </c>
      <c r="E17">
        <v>0.98233600224750595</v>
      </c>
      <c r="F17">
        <v>0.99772786461206997</v>
      </c>
    </row>
    <row r="18" spans="1:6" x14ac:dyDescent="0.3">
      <c r="A18">
        <v>24.908542633056602</v>
      </c>
      <c r="B18" t="s">
        <v>27</v>
      </c>
      <c r="C18">
        <v>0.96288851500929695</v>
      </c>
      <c r="D18">
        <v>0.98109343209921096</v>
      </c>
      <c r="E18">
        <v>0.98357378680294805</v>
      </c>
      <c r="F18">
        <v>0.99746807374248503</v>
      </c>
    </row>
    <row r="19" spans="1:6" x14ac:dyDescent="0.3">
      <c r="A19">
        <v>24.700880050659102</v>
      </c>
      <c r="B19" t="s">
        <v>28</v>
      </c>
      <c r="C19">
        <v>0.88295347307615302</v>
      </c>
      <c r="D19">
        <v>0.93783886399878502</v>
      </c>
      <c r="E19">
        <v>0.95647594560267601</v>
      </c>
      <c r="F19">
        <v>0.99453666309625599</v>
      </c>
    </row>
    <row r="20" spans="1:6" x14ac:dyDescent="0.3">
      <c r="A20">
        <v>23.789644241333001</v>
      </c>
      <c r="B20" t="s">
        <v>29</v>
      </c>
      <c r="C20">
        <v>0.95614040061004302</v>
      </c>
      <c r="D20">
        <v>0.97757850133033397</v>
      </c>
      <c r="E20">
        <v>0.98363954505686702</v>
      </c>
      <c r="F20">
        <v>0.99437823072169795</v>
      </c>
    </row>
    <row r="21" spans="1:6" x14ac:dyDescent="0.3">
      <c r="A21">
        <v>24.856090545654201</v>
      </c>
      <c r="B21" t="s">
        <v>30</v>
      </c>
      <c r="C21">
        <v>0.96309809061839902</v>
      </c>
      <c r="D21">
        <v>0.98120220810261305</v>
      </c>
      <c r="E21">
        <v>0.98940750651845699</v>
      </c>
      <c r="F21">
        <v>0.99658255935724205</v>
      </c>
    </row>
    <row r="22" spans="1:6" x14ac:dyDescent="0.3">
      <c r="A22">
        <v>24.716615676879801</v>
      </c>
      <c r="B22" t="s">
        <v>31</v>
      </c>
      <c r="C22">
        <v>0.92255108979635603</v>
      </c>
      <c r="D22">
        <v>0.95971555158419897</v>
      </c>
      <c r="E22">
        <v>0.97888580868112196</v>
      </c>
      <c r="F22">
        <v>0.99502463445399303</v>
      </c>
    </row>
    <row r="23" spans="1:6" x14ac:dyDescent="0.3">
      <c r="A23">
        <v>24.091005325317301</v>
      </c>
      <c r="B23" t="s">
        <v>32</v>
      </c>
      <c r="C23">
        <v>0.95731941882601201</v>
      </c>
      <c r="D23">
        <v>0.97819437095270401</v>
      </c>
      <c r="E23">
        <v>0.98163244664711202</v>
      </c>
      <c r="F23">
        <v>0.99735602386422695</v>
      </c>
    </row>
    <row r="24" spans="1:6" x14ac:dyDescent="0.3">
      <c r="A24">
        <v>24.670839309692301</v>
      </c>
      <c r="B24" t="s">
        <v>33</v>
      </c>
      <c r="C24">
        <v>0.96228602105931005</v>
      </c>
      <c r="D24">
        <v>0.98078059032376397</v>
      </c>
      <c r="E24">
        <v>0.98288904674667499</v>
      </c>
      <c r="F24">
        <v>0.99822582060960297</v>
      </c>
    </row>
    <row r="25" spans="1:6" x14ac:dyDescent="0.3">
      <c r="A25">
        <v>24.521589279174801</v>
      </c>
      <c r="B25" t="s">
        <v>34</v>
      </c>
      <c r="C25">
        <v>0.96780529913325297</v>
      </c>
      <c r="D25">
        <v>0.98363928541053902</v>
      </c>
      <c r="E25">
        <v>0.98922301251462996</v>
      </c>
      <c r="F25">
        <v>0.99737815011317199</v>
      </c>
    </row>
    <row r="26" spans="1:6" x14ac:dyDescent="0.3">
      <c r="A26">
        <v>25.9675979614257</v>
      </c>
      <c r="B26" t="s">
        <v>35</v>
      </c>
      <c r="C26">
        <v>0.95734538298400795</v>
      </c>
      <c r="D26">
        <v>0.97820792518949096</v>
      </c>
      <c r="E26">
        <v>0.98787496426564603</v>
      </c>
      <c r="F26">
        <v>0.99658442900838595</v>
      </c>
    </row>
    <row r="27" spans="1:6" x14ac:dyDescent="0.3">
      <c r="A27">
        <v>25.6450176239013</v>
      </c>
      <c r="B27" t="s">
        <v>36</v>
      </c>
      <c r="C27">
        <v>0.94307168679332298</v>
      </c>
      <c r="D27">
        <v>0.970701897622405</v>
      </c>
      <c r="E27">
        <v>0.98701912917475798</v>
      </c>
      <c r="F27">
        <v>0.99512114951659203</v>
      </c>
    </row>
    <row r="28" spans="1:6" x14ac:dyDescent="0.3">
      <c r="A28">
        <v>23.711442947387599</v>
      </c>
      <c r="B28" t="s">
        <v>37</v>
      </c>
      <c r="C28">
        <v>0.96196215975892896</v>
      </c>
      <c r="D28">
        <v>0.98061234766844596</v>
      </c>
      <c r="E28">
        <v>0.98081814594998395</v>
      </c>
      <c r="F28">
        <v>0.99748776968819297</v>
      </c>
    </row>
    <row r="29" spans="1:6" x14ac:dyDescent="0.3">
      <c r="A29">
        <v>24.605751037597599</v>
      </c>
      <c r="B29" t="s">
        <v>38</v>
      </c>
      <c r="C29">
        <v>0.95918674472151499</v>
      </c>
      <c r="D29">
        <v>0.979168266941145</v>
      </c>
      <c r="E29">
        <v>0.97616896145069099</v>
      </c>
      <c r="F29">
        <v>0.99748145404634003</v>
      </c>
    </row>
    <row r="30" spans="1:6" x14ac:dyDescent="0.3">
      <c r="A30">
        <v>23.675680160522401</v>
      </c>
      <c r="B30" t="s">
        <v>39</v>
      </c>
      <c r="C30">
        <v>0.96493865628042796</v>
      </c>
      <c r="D30">
        <v>0.98215651994655995</v>
      </c>
      <c r="E30">
        <v>0.980752939313566</v>
      </c>
      <c r="F30">
        <v>0.99775554039973002</v>
      </c>
    </row>
    <row r="31" spans="1:6" x14ac:dyDescent="0.3">
      <c r="A31">
        <v>24.7671604156494</v>
      </c>
      <c r="B31" t="s">
        <v>40</v>
      </c>
      <c r="C31">
        <v>0.94154992019861605</v>
      </c>
      <c r="D31">
        <v>0.96989514449599901</v>
      </c>
      <c r="E31">
        <v>0.955477972934062</v>
      </c>
      <c r="F31">
        <v>0.99959737145275396</v>
      </c>
    </row>
    <row r="32" spans="1:6" x14ac:dyDescent="0.3">
      <c r="A32">
        <v>23.6766338348388</v>
      </c>
      <c r="B32" t="s">
        <v>41</v>
      </c>
      <c r="C32">
        <v>0.95561285445255095</v>
      </c>
      <c r="D32">
        <v>0.97730269288914295</v>
      </c>
      <c r="E32">
        <v>0.98997958156187005</v>
      </c>
      <c r="F32">
        <v>0.99432069154387004</v>
      </c>
    </row>
    <row r="33" spans="1:6" x14ac:dyDescent="0.3">
      <c r="A33">
        <v>24.605512619018501</v>
      </c>
      <c r="B33" t="s">
        <v>42</v>
      </c>
      <c r="C33">
        <v>0.96485577803298805</v>
      </c>
      <c r="D33">
        <v>0.98211358698184203</v>
      </c>
      <c r="E33">
        <v>0.98349238664800398</v>
      </c>
      <c r="F33">
        <v>0.99755343073049996</v>
      </c>
    </row>
    <row r="34" spans="1:6" x14ac:dyDescent="0.3">
      <c r="A34">
        <v>23.883581161498999</v>
      </c>
      <c r="B34" t="s">
        <v>43</v>
      </c>
      <c r="C34">
        <v>0.960174318260269</v>
      </c>
      <c r="D34">
        <v>0.97968258161086497</v>
      </c>
      <c r="E34">
        <v>0.98142382090658098</v>
      </c>
      <c r="F34">
        <v>0.99731716575510099</v>
      </c>
    </row>
    <row r="35" spans="1:6" x14ac:dyDescent="0.3">
      <c r="A35">
        <v>26.057958602905199</v>
      </c>
      <c r="B35" t="s">
        <v>44</v>
      </c>
      <c r="C35">
        <v>0.94147602429882304</v>
      </c>
      <c r="D35">
        <v>0.96985593694245398</v>
      </c>
      <c r="E35">
        <v>0.97963849588466301</v>
      </c>
      <c r="F35">
        <v>0.99690624294307195</v>
      </c>
    </row>
    <row r="36" spans="1:6" x14ac:dyDescent="0.3">
      <c r="A36">
        <v>23.8842964172363</v>
      </c>
      <c r="B36" t="s">
        <v>45</v>
      </c>
      <c r="C36">
        <v>0.92689975026756999</v>
      </c>
      <c r="D36">
        <v>0.96206328340523195</v>
      </c>
      <c r="E36">
        <v>0.96832022660355499</v>
      </c>
      <c r="F36">
        <v>0.99882651737958095</v>
      </c>
    </row>
    <row r="37" spans="1:6" x14ac:dyDescent="0.3">
      <c r="A37">
        <v>24.471998214721602</v>
      </c>
      <c r="B37" t="s">
        <v>46</v>
      </c>
      <c r="C37">
        <v>0.95887023093160195</v>
      </c>
      <c r="D37">
        <v>0.97900332119048195</v>
      </c>
      <c r="E37">
        <v>0.98229731474309301</v>
      </c>
      <c r="F37">
        <v>0.99672521197439001</v>
      </c>
    </row>
    <row r="38" spans="1:6" x14ac:dyDescent="0.3">
      <c r="A38">
        <v>23.892164230346602</v>
      </c>
      <c r="B38" t="s">
        <v>47</v>
      </c>
      <c r="C38">
        <v>0.95494961470065198</v>
      </c>
      <c r="D38">
        <v>0.97695573074590603</v>
      </c>
      <c r="E38">
        <v>0.98643902966124497</v>
      </c>
      <c r="F38">
        <v>0.99815618363242897</v>
      </c>
    </row>
    <row r="39" spans="1:6" x14ac:dyDescent="0.3">
      <c r="A39">
        <v>25.557041168212798</v>
      </c>
      <c r="B39" t="s">
        <v>48</v>
      </c>
      <c r="C39">
        <v>0.96402031264868904</v>
      </c>
      <c r="D39">
        <v>0.981680593057213</v>
      </c>
      <c r="E39">
        <v>0.98714621074544895</v>
      </c>
      <c r="F39">
        <v>0.99710588217691498</v>
      </c>
    </row>
    <row r="40" spans="1:6" x14ac:dyDescent="0.3">
      <c r="A40">
        <v>23.934125900268501</v>
      </c>
      <c r="B40" t="s">
        <v>49</v>
      </c>
      <c r="C40">
        <v>0.94951332164864299</v>
      </c>
      <c r="D40">
        <v>0.97410293236228696</v>
      </c>
      <c r="E40">
        <v>0.98847844298321097</v>
      </c>
      <c r="F40">
        <v>0.99628055978823304</v>
      </c>
    </row>
    <row r="41" spans="1:6" x14ac:dyDescent="0.3">
      <c r="A41">
        <v>25.1350402832031</v>
      </c>
      <c r="B41" t="s">
        <v>50</v>
      </c>
      <c r="C41">
        <v>0.88752189141856397</v>
      </c>
      <c r="D41">
        <v>0.94040964023103102</v>
      </c>
      <c r="E41">
        <v>0.98948087765113601</v>
      </c>
      <c r="F41">
        <v>0.99532851728309601</v>
      </c>
    </row>
    <row r="42" spans="1:6" x14ac:dyDescent="0.3">
      <c r="A42">
        <v>23.637771606445298</v>
      </c>
      <c r="B42" t="s">
        <v>51</v>
      </c>
      <c r="C42">
        <v>0.96221111415821003</v>
      </c>
      <c r="D42">
        <v>0.98074168188676203</v>
      </c>
      <c r="E42">
        <v>0.98630880887275996</v>
      </c>
      <c r="F42">
        <v>0.99560563733952701</v>
      </c>
    </row>
    <row r="43" spans="1:6" x14ac:dyDescent="0.3">
      <c r="A43">
        <v>24.615764617919901</v>
      </c>
      <c r="B43" t="s">
        <v>52</v>
      </c>
      <c r="C43">
        <v>0.95573828998448596</v>
      </c>
      <c r="D43">
        <v>0.97736828580685697</v>
      </c>
      <c r="E43">
        <v>0.98059289925794102</v>
      </c>
      <c r="F43">
        <v>0.99619571930967599</v>
      </c>
    </row>
    <row r="44" spans="1:6" x14ac:dyDescent="0.3">
      <c r="A44">
        <v>23.768901824951101</v>
      </c>
      <c r="B44" t="s">
        <v>53</v>
      </c>
      <c r="C44">
        <v>0.95858698448083601</v>
      </c>
      <c r="D44">
        <v>0.97885566694392101</v>
      </c>
      <c r="E44">
        <v>0.979155719040112</v>
      </c>
      <c r="F44">
        <v>0.997377985350964</v>
      </c>
    </row>
    <row r="45" spans="1:6" x14ac:dyDescent="0.3">
      <c r="A45">
        <v>25.068283081054599</v>
      </c>
      <c r="B45" t="s">
        <v>54</v>
      </c>
      <c r="C45">
        <v>0.95828256737657702</v>
      </c>
      <c r="D45">
        <v>0.97869692897317195</v>
      </c>
      <c r="E45">
        <v>0.98686059584035901</v>
      </c>
      <c r="F45">
        <v>0.99686917778770601</v>
      </c>
    </row>
    <row r="46" spans="1:6" x14ac:dyDescent="0.3">
      <c r="A46">
        <v>23.675203323364201</v>
      </c>
      <c r="B46" t="s">
        <v>55</v>
      </c>
      <c r="C46">
        <v>0.928321678321678</v>
      </c>
      <c r="D46">
        <v>0.96282864913871202</v>
      </c>
      <c r="E46">
        <v>0.979298769116001</v>
      </c>
      <c r="F46">
        <v>0.99735084243210603</v>
      </c>
    </row>
    <row r="47" spans="1:6" x14ac:dyDescent="0.3">
      <c r="A47">
        <v>24.404764175415</v>
      </c>
      <c r="B47" t="s">
        <v>56</v>
      </c>
      <c r="C47">
        <v>0.96133781789477302</v>
      </c>
      <c r="D47">
        <v>0.980287851612056</v>
      </c>
      <c r="E47">
        <v>0.99071552364446602</v>
      </c>
      <c r="F47">
        <v>0.99630565568197804</v>
      </c>
    </row>
    <row r="48" spans="1:6" x14ac:dyDescent="0.3">
      <c r="A48">
        <v>24.484157562255799</v>
      </c>
      <c r="B48" t="s">
        <v>57</v>
      </c>
      <c r="C48">
        <v>0.90702965041328498</v>
      </c>
      <c r="D48">
        <v>0.95124860823922297</v>
      </c>
      <c r="E48">
        <v>0.96180443872627797</v>
      </c>
      <c r="F48">
        <v>0.99927519447178903</v>
      </c>
    </row>
    <row r="49" spans="1:6" x14ac:dyDescent="0.3">
      <c r="A49">
        <v>24.396181106567301</v>
      </c>
      <c r="B49" t="s">
        <v>58</v>
      </c>
      <c r="C49">
        <v>0.96093218720152795</v>
      </c>
      <c r="D49">
        <v>0.98007691798142904</v>
      </c>
      <c r="E49">
        <v>0.97928703804644002</v>
      </c>
      <c r="F49">
        <v>0.997334141893639</v>
      </c>
    </row>
    <row r="50" spans="1:6" x14ac:dyDescent="0.3">
      <c r="A50">
        <v>24.035215377807599</v>
      </c>
      <c r="B50" t="s">
        <v>59</v>
      </c>
      <c r="C50">
        <v>0.95919363288622805</v>
      </c>
      <c r="D50">
        <v>0.97917185599789003</v>
      </c>
      <c r="E50">
        <v>0.98900407722304795</v>
      </c>
      <c r="F50">
        <v>0.995401971678335</v>
      </c>
    </row>
    <row r="51" spans="1:6" x14ac:dyDescent="0.3">
      <c r="A51">
        <v>24.428367614746001</v>
      </c>
      <c r="B51" t="s">
        <v>60</v>
      </c>
      <c r="C51">
        <v>0.920225131530649</v>
      </c>
      <c r="D51">
        <v>0.95845546068561205</v>
      </c>
      <c r="E51">
        <v>0.98246943254258501</v>
      </c>
      <c r="F51">
        <v>0.99743739483321703</v>
      </c>
    </row>
    <row r="52" spans="1:6" x14ac:dyDescent="0.3">
      <c r="A52">
        <v>23.842811584472599</v>
      </c>
      <c r="B52" t="s">
        <v>61</v>
      </c>
      <c r="C52">
        <v>0.96181335188640404</v>
      </c>
      <c r="D52">
        <v>0.98053502486519595</v>
      </c>
      <c r="E52">
        <v>0.98388949096614498</v>
      </c>
      <c r="F52">
        <v>0.99693165969316599</v>
      </c>
    </row>
    <row r="53" spans="1:6" x14ac:dyDescent="0.3">
      <c r="A53">
        <v>25.565385818481399</v>
      </c>
      <c r="B53" t="s">
        <v>62</v>
      </c>
      <c r="C53">
        <v>0.95863072488326895</v>
      </c>
      <c r="D53">
        <v>0.97887847127528504</v>
      </c>
      <c r="E53">
        <v>0.98758064516128996</v>
      </c>
      <c r="F53">
        <v>0.99662523219420296</v>
      </c>
    </row>
    <row r="54" spans="1:6" x14ac:dyDescent="0.3">
      <c r="A54">
        <v>23.822307586669901</v>
      </c>
      <c r="B54" t="s">
        <v>63</v>
      </c>
      <c r="C54">
        <v>0.96823815847720196</v>
      </c>
      <c r="D54">
        <v>0.98386280573517004</v>
      </c>
      <c r="E54">
        <v>0.98309682804674403</v>
      </c>
      <c r="F54">
        <v>0.99793070009870299</v>
      </c>
    </row>
    <row r="55" spans="1:6" x14ac:dyDescent="0.3">
      <c r="A55">
        <v>25.3126621246337</v>
      </c>
      <c r="B55" t="s">
        <v>64</v>
      </c>
      <c r="C55">
        <v>0.94764867337602898</v>
      </c>
      <c r="D55">
        <v>0.97312075461062197</v>
      </c>
      <c r="E55">
        <v>0.98659808544077698</v>
      </c>
      <c r="F55">
        <v>0.99542704413246796</v>
      </c>
    </row>
    <row r="56" spans="1:6" x14ac:dyDescent="0.3">
      <c r="A56">
        <v>23.782730102538999</v>
      </c>
      <c r="B56" t="s">
        <v>65</v>
      </c>
      <c r="C56">
        <v>0.94995873234818595</v>
      </c>
      <c r="D56">
        <v>0.97433726836282597</v>
      </c>
      <c r="E56">
        <v>0.98157667235215695</v>
      </c>
      <c r="F56">
        <v>0.99704146927551796</v>
      </c>
    </row>
    <row r="57" spans="1:6" x14ac:dyDescent="0.3">
      <c r="A57">
        <v>24.3382453918457</v>
      </c>
      <c r="B57" t="s">
        <v>66</v>
      </c>
      <c r="C57">
        <v>0.94250247580573998</v>
      </c>
      <c r="D57">
        <v>0.97040028267124301</v>
      </c>
      <c r="E57">
        <v>0.98272213304979905</v>
      </c>
      <c r="F57">
        <v>0.99560984177970702</v>
      </c>
    </row>
    <row r="58" spans="1:6" x14ac:dyDescent="0.3">
      <c r="A58">
        <v>25.242090225219702</v>
      </c>
      <c r="B58" t="s">
        <v>67</v>
      </c>
      <c r="C58">
        <v>0.95053551296505001</v>
      </c>
      <c r="D58">
        <v>0.97464056065313198</v>
      </c>
      <c r="E58">
        <v>0.97567443766725304</v>
      </c>
      <c r="F58">
        <v>0.99891073054531898</v>
      </c>
    </row>
    <row r="59" spans="1:6" x14ac:dyDescent="0.3">
      <c r="A59">
        <v>24.442434310913001</v>
      </c>
      <c r="B59" t="s">
        <v>68</v>
      </c>
      <c r="C59">
        <v>0.96582696385284605</v>
      </c>
      <c r="D59">
        <v>0.982616457717022</v>
      </c>
      <c r="E59">
        <v>0.98587142479877798</v>
      </c>
      <c r="F59">
        <v>0.99586568922334395</v>
      </c>
    </row>
    <row r="60" spans="1:6" x14ac:dyDescent="0.3">
      <c r="A60">
        <v>23.783683776855401</v>
      </c>
      <c r="B60" t="s">
        <v>69</v>
      </c>
      <c r="C60">
        <v>0.95940444941692804</v>
      </c>
      <c r="D60">
        <v>0.97928168908917601</v>
      </c>
      <c r="E60">
        <v>0.98202928169981796</v>
      </c>
      <c r="F60">
        <v>0.99713707598886903</v>
      </c>
    </row>
    <row r="61" spans="1:6" x14ac:dyDescent="0.3">
      <c r="A61">
        <v>24.673223495483398</v>
      </c>
      <c r="B61" t="s">
        <v>70</v>
      </c>
      <c r="C61">
        <v>0.94343841704169695</v>
      </c>
      <c r="D61">
        <v>0.97089612798516101</v>
      </c>
      <c r="E61">
        <v>0.98832879977814103</v>
      </c>
      <c r="F61">
        <v>0.990826971706258</v>
      </c>
    </row>
    <row r="62" spans="1:6" x14ac:dyDescent="0.3">
      <c r="A62">
        <v>23.8511562347412</v>
      </c>
      <c r="B62" t="s">
        <v>71</v>
      </c>
      <c r="C62">
        <v>0.95783440262517605</v>
      </c>
      <c r="D62">
        <v>0.97846314411561797</v>
      </c>
      <c r="E62">
        <v>0.99067772325106496</v>
      </c>
      <c r="F62">
        <v>0.995913152625444</v>
      </c>
    </row>
    <row r="63" spans="1:6" x14ac:dyDescent="0.3">
      <c r="A63">
        <v>25.286674499511701</v>
      </c>
      <c r="B63" t="s">
        <v>72</v>
      </c>
      <c r="C63">
        <v>0.95665767019261305</v>
      </c>
      <c r="D63">
        <v>0.97784879262854396</v>
      </c>
      <c r="E63">
        <v>0.98500932062965996</v>
      </c>
      <c r="F63">
        <v>0.99631823172196099</v>
      </c>
    </row>
    <row r="64" spans="1:6" x14ac:dyDescent="0.3">
      <c r="A64">
        <v>24.928808212280199</v>
      </c>
      <c r="B64" t="s">
        <v>73</v>
      </c>
      <c r="C64">
        <v>0.91406485487870004</v>
      </c>
      <c r="D64">
        <v>0.95510332635685602</v>
      </c>
      <c r="E64">
        <v>0.97084581224827005</v>
      </c>
      <c r="F64">
        <v>0.99368003648032099</v>
      </c>
    </row>
    <row r="65" spans="1:6" x14ac:dyDescent="0.3">
      <c r="A65">
        <v>23.923873901367099</v>
      </c>
      <c r="B65" t="s">
        <v>74</v>
      </c>
      <c r="C65">
        <v>0.95970292647646105</v>
      </c>
      <c r="D65">
        <v>0.97943715193812897</v>
      </c>
      <c r="E65">
        <v>0.98535882515932305</v>
      </c>
      <c r="F65">
        <v>0.99748317683187004</v>
      </c>
    </row>
    <row r="66" spans="1:6" x14ac:dyDescent="0.3">
      <c r="A66">
        <v>24.0979194641113</v>
      </c>
      <c r="B66" t="s">
        <v>75</v>
      </c>
      <c r="C66">
        <v>0.94812406158657303</v>
      </c>
      <c r="D66">
        <v>0.97337133736175996</v>
      </c>
      <c r="E66">
        <v>0.98441074459449396</v>
      </c>
      <c r="F66">
        <v>0.99558695892648896</v>
      </c>
    </row>
    <row r="67" spans="1:6" x14ac:dyDescent="0.3">
      <c r="A67">
        <v>24.1432189941406</v>
      </c>
      <c r="B67" t="s">
        <v>76</v>
      </c>
      <c r="C67">
        <v>0.93647890147338797</v>
      </c>
      <c r="D67">
        <v>0.967197629430261</v>
      </c>
      <c r="E67">
        <v>0.98695434019066697</v>
      </c>
      <c r="F67">
        <v>0.99798062548171595</v>
      </c>
    </row>
    <row r="68" spans="1:6" x14ac:dyDescent="0.3">
      <c r="A68">
        <v>23.7922668457031</v>
      </c>
      <c r="B68" t="s">
        <v>77</v>
      </c>
      <c r="C68">
        <v>0.96022995677169198</v>
      </c>
      <c r="D68">
        <v>0.97971154195918597</v>
      </c>
      <c r="E68">
        <v>0.98925649431145102</v>
      </c>
      <c r="F68">
        <v>0.99649665362312201</v>
      </c>
    </row>
    <row r="69" spans="1:6" x14ac:dyDescent="0.3">
      <c r="A69">
        <v>25.907278060913001</v>
      </c>
      <c r="B69" t="s">
        <v>78</v>
      </c>
      <c r="C69">
        <v>0.96870960257217598</v>
      </c>
      <c r="D69">
        <v>0.98410613866720498</v>
      </c>
      <c r="E69">
        <v>0.986384684964426</v>
      </c>
      <c r="F69">
        <v>0.99699811424268703</v>
      </c>
    </row>
    <row r="70" spans="1:6" x14ac:dyDescent="0.3">
      <c r="A70">
        <v>23.7371921539306</v>
      </c>
      <c r="B70" t="s">
        <v>79</v>
      </c>
      <c r="C70">
        <v>0.96134891761488195</v>
      </c>
      <c r="D70">
        <v>0.98029362239528495</v>
      </c>
      <c r="E70">
        <v>0.99065859559872704</v>
      </c>
      <c r="F70">
        <v>0.99632378479179695</v>
      </c>
    </row>
    <row r="71" spans="1:6" x14ac:dyDescent="0.3">
      <c r="A71">
        <v>24.2297649383544</v>
      </c>
      <c r="B71" t="s">
        <v>80</v>
      </c>
      <c r="C71">
        <v>0.95389019939918096</v>
      </c>
      <c r="D71">
        <v>0.97640102774710802</v>
      </c>
      <c r="E71">
        <v>0.98836407696003603</v>
      </c>
      <c r="F71">
        <v>0.994264996922546</v>
      </c>
    </row>
    <row r="72" spans="1:6" x14ac:dyDescent="0.3">
      <c r="A72">
        <v>24.342775344848601</v>
      </c>
      <c r="B72" t="s">
        <v>81</v>
      </c>
      <c r="C72">
        <v>0.93909694620682804</v>
      </c>
      <c r="D72">
        <v>0.96859205316562003</v>
      </c>
      <c r="E72">
        <v>0.98051345499536002</v>
      </c>
      <c r="F72">
        <v>0.99830557151062604</v>
      </c>
    </row>
    <row r="73" spans="1:6" x14ac:dyDescent="0.3">
      <c r="A73">
        <v>24.3988037109375</v>
      </c>
      <c r="B73" t="s">
        <v>82</v>
      </c>
      <c r="C73">
        <v>0.95320782136436</v>
      </c>
      <c r="D73">
        <v>0.97604342040625502</v>
      </c>
      <c r="E73">
        <v>0.98501169607531602</v>
      </c>
      <c r="F73">
        <v>0.99633109098703798</v>
      </c>
    </row>
    <row r="74" spans="1:6" x14ac:dyDescent="0.3">
      <c r="A74">
        <v>24.058341979980401</v>
      </c>
      <c r="B74" t="s">
        <v>83</v>
      </c>
      <c r="C74">
        <v>0.95667037061245797</v>
      </c>
      <c r="D74">
        <v>0.977855427240931</v>
      </c>
      <c r="E74">
        <v>0.98038046754638597</v>
      </c>
      <c r="F74">
        <v>0.99588562481791099</v>
      </c>
    </row>
    <row r="75" spans="1:6" x14ac:dyDescent="0.3">
      <c r="A75">
        <v>24.861812591552699</v>
      </c>
      <c r="B75" t="s">
        <v>84</v>
      </c>
      <c r="C75">
        <v>0.93311251341939205</v>
      </c>
      <c r="D75">
        <v>0.96539907216145704</v>
      </c>
      <c r="E75">
        <v>0.98056021792367098</v>
      </c>
      <c r="F75">
        <v>0.99621268790539896</v>
      </c>
    </row>
    <row r="76" spans="1:6" x14ac:dyDescent="0.3">
      <c r="A76">
        <v>23.743391036987301</v>
      </c>
      <c r="B76" t="s">
        <v>85</v>
      </c>
      <c r="C76">
        <v>0.97275946835548499</v>
      </c>
      <c r="D76">
        <v>0.98619166092903199</v>
      </c>
      <c r="E76">
        <v>0.98854253994868202</v>
      </c>
      <c r="F76">
        <v>0.997940863225386</v>
      </c>
    </row>
    <row r="77" spans="1:6" x14ac:dyDescent="0.3">
      <c r="A77">
        <v>24.295330047607401</v>
      </c>
      <c r="B77" t="s">
        <v>86</v>
      </c>
      <c r="C77">
        <v>0.969987938414965</v>
      </c>
      <c r="D77">
        <v>0.98476535769595497</v>
      </c>
      <c r="E77">
        <v>0.98051004978573597</v>
      </c>
      <c r="F77">
        <v>0.99794044656565195</v>
      </c>
    </row>
    <row r="78" spans="1:6" x14ac:dyDescent="0.3">
      <c r="A78" s="1">
        <f>AVERAGE(A4:A77)</f>
        <v>24.715388143384747</v>
      </c>
      <c r="B78" s="1"/>
      <c r="C78" s="1">
        <f>SUBTOTAL(101,CMTSam_test3[Column3])</f>
        <v>0.94961635855588855</v>
      </c>
      <c r="D78" s="1">
        <f>SUBTOTAL(101,CMTSam_test3[Column4])</f>
        <v>0.97406159911061652</v>
      </c>
      <c r="E78" s="1">
        <f>SUBTOTAL(101,CMTSam_test3[Column5])</f>
        <v>0.98187509344125545</v>
      </c>
      <c r="F78" s="1">
        <f>SUBTOTAL(101,CMTSam_test3[Column6])</f>
        <v>0.99658391688780212</v>
      </c>
    </row>
    <row r="79" spans="1:6" x14ac:dyDescent="0.3">
      <c r="A79" s="1">
        <f>STDEVA(A4:A77)</f>
        <v>2.0899332308369876</v>
      </c>
      <c r="B79" s="1"/>
      <c r="C79" s="1">
        <f>STDEVA(C3:C77)</f>
        <v>1.8793631450511061E-2</v>
      </c>
      <c r="D79" s="1">
        <f>STDEVA(D3:D77)</f>
        <v>1.0047188542416222E-2</v>
      </c>
      <c r="E79" s="1">
        <f>STDEVA(E3:E77)</f>
        <v>8.1820292250953698E-3</v>
      </c>
      <c r="F79" s="1">
        <f>STDEVA(F3:F77)</f>
        <v>1.7487237611187624E-3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9CA09-09C4-4CD0-8CE2-5002319B321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F12122-91D3-4CF5-BF78-E940B29DED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Sam_test3</vt:lpstr>
      <vt:lpstr>MobSam_test3</vt:lpstr>
      <vt:lpstr>FastSAM_test3</vt:lpstr>
      <vt:lpstr>Edgesam_test3</vt:lpstr>
      <vt:lpstr>CMTUnet_test3</vt:lpstr>
      <vt:lpstr>CMTSam_test3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2025-09-02T13:12:42Z</dcterms:created>
  <dcterms:modified xsi:type="dcterms:W3CDTF">2025-09-03T13:20:07Z</dcterms:modified>
</cp:coreProperties>
</file>