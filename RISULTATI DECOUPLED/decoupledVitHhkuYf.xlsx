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ISULTATI DECOUPLED\"/>
    </mc:Choice>
  </mc:AlternateContent>
  <xr:revisionPtr revIDLastSave="0" documentId="8_{C743606A-BF12-42F4-A67F-57D4AD7A4E86}" xr6:coauthVersionLast="47" xr6:coauthVersionMax="47" xr10:uidLastSave="{00000000-0000-0000-0000-000000000000}"/>
  <bookViews>
    <workbookView xWindow="9045" yWindow="-14925" windowWidth="17280" windowHeight="8880" xr2:uid="{00000000-000D-0000-FFFF-FFFF00000000}"/>
  </bookViews>
  <sheets>
    <sheet name="Workshee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1" l="1"/>
  <c r="F85" i="1"/>
  <c r="D85" i="1"/>
  <c r="J85" i="1"/>
  <c r="H85" i="1"/>
  <c r="S85" i="1"/>
  <c r="U85" i="1"/>
  <c r="J83" i="1"/>
  <c r="H83" i="1"/>
  <c r="P85" i="1"/>
  <c r="N85" i="1"/>
  <c r="U83" i="1"/>
  <c r="S83" i="1"/>
  <c r="F83" i="1" l="1"/>
</calcChain>
</file>

<file path=xl/sharedStrings.xml><?xml version="1.0" encoding="utf-8"?>
<sst xmlns="http://schemas.openxmlformats.org/spreadsheetml/2006/main" count="24" uniqueCount="11">
  <si>
    <t>time</t>
  </si>
  <si>
    <t>index</t>
  </si>
  <si>
    <t>iou</t>
  </si>
  <si>
    <t>SAM VITH</t>
  </si>
  <si>
    <t>sam_vit_h_4b8939.pth</t>
  </si>
  <si>
    <t>CPU</t>
  </si>
  <si>
    <t>GPU</t>
  </si>
  <si>
    <t>MEDIA</t>
  </si>
  <si>
    <t xml:space="preserve">STUDENT CON REFINING MASCHERE e input(bbox+centroids), in questo cso vengon usate piu di 3 bounding box per risolvere i casi in cui la bbox non comprendesse tutte le parti dello strumento  </t>
  </si>
  <si>
    <t>STUDENT VS TEACHER</t>
  </si>
  <si>
    <t>MODELLO CMT DISTILLATO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</si>
</sst>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1"/>
      <color rgb="FF000000"/>
      <name val="Calibri"/>
      <family val="2"/>
    </font>
    <font>
      <sz val="10"/>
      <color rgb="FF6A8759"/>
      <name val="JetBrains Mono"/>
      <family val="3"/>
    </font>
    <font>
      <sz val="11"/>
      <color theme="4" tint="-0.249977111117893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1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1" fillId="5" borderId="0" xfId="0" applyFont="1" applyFill="1"/>
    <xf numFmtId="0" fontId="0" fillId="5" borderId="0" xfId="0" applyFill="1"/>
    <xf numFmtId="0" fontId="0" fillId="6" borderId="0" xfId="0" applyFill="1"/>
  </cellXfs>
  <cellStyles count="1">
    <cellStyle name="Normale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scheme val="none"/>
      </font>
    </dxf>
    <dxf>
      <border outline="0">
        <bottom style="thin">
          <color theme="4"/>
        </bottom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243840</xdr:colOff>
      <xdr:row>0</xdr:row>
      <xdr:rowOff>0</xdr:rowOff>
    </xdr:from>
    <xdr:to>
      <xdr:col>10</xdr:col>
      <xdr:colOff>386715</xdr:colOff>
      <xdr:row>2</xdr:row>
      <xdr:rowOff>153953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0465700-EDC2-4665-8266-8C39C06A1D06}"/>
            </a:ext>
          </a:extLst>
        </xdr:cNvPr>
        <xdr:cNvSpPr>
          <a:spLocks noChangeArrowheads="1"/>
        </xdr:cNvSpPr>
      </xdr:nvSpPr>
      <xdr:spPr bwMode="auto">
        <a:xfrm>
          <a:off x="3291840" y="0"/>
          <a:ext cx="1971675" cy="519713"/>
        </a:xfrm>
        <a:prstGeom prst="rect">
          <a:avLst/>
        </a:prstGeom>
        <a:noFill/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noAutofit/>
        </a:bodyPr>
        <a:lstStyle>
          <a:defPPr>
            <a:defRPr lang="it-IT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</a:pPr>
          <a:r>
            <a:rPr kumimoji="0" lang="it-IT" altLang="it-IT" sz="1200" b="0" i="0" u="none" strike="noStrike" cap="none" normalizeH="0" baseline="0">
              <a:ln>
                <a:noFill/>
              </a:ln>
              <a:solidFill>
                <a:srgbClr val="6A8759"/>
              </a:solidFill>
              <a:effectLst/>
              <a:latin typeface="JetBrains Mono"/>
            </a:rPr>
            <a:t>decoupledVitHhkuYf</a:t>
          </a:r>
          <a:endParaRPr kumimoji="0" lang="it-IT" altLang="it-IT" sz="18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B612E5-3FDC-458C-B74D-81820DF2CEB8}" name="Tabella1" displayName="Tabella1" ref="D7:F82" totalsRowShown="0" tableBorderDxfId="8">
  <autoFilter ref="D7:F82" xr:uid="{DDB612E5-3FDC-458C-B74D-81820DF2CEB8}"/>
  <tableColumns count="3">
    <tableColumn id="1" xr3:uid="{4B7B7B44-0FCE-4F42-908D-0F2626FA2201}" name="time"/>
    <tableColumn id="2" xr3:uid="{6F6F1F31-9630-4CB0-BF9C-0F3ADB339DAE}" name="index"/>
    <tableColumn id="3" xr3:uid="{AEEE9FAB-EA28-4B52-ACE1-B5E990087B5A}" name="iou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C26B6D-8C05-4698-B1CD-6C036346AF14}" name="Tabella2" displayName="Tabella2" ref="S7:U83" totalsRowCount="1">
  <autoFilter ref="S7:U82" xr:uid="{64C26B6D-8C05-4698-B1CD-6C036346AF14}"/>
  <tableColumns count="3">
    <tableColumn id="1" xr3:uid="{3F4F8A01-9FBC-4F75-8915-2333BEFB51CF}" name="time" totalsRowFunction="custom" totalsRowDxfId="7">
      <totalsRowFormula>AVERAGE(S8:S82)</totalsRowFormula>
    </tableColumn>
    <tableColumn id="2" xr3:uid="{BD1B0DEB-A742-4959-9DF9-4391A071EE75}" name="index" totalsRowLabel="MEDIA" totalsRowDxfId="6"/>
    <tableColumn id="3" xr3:uid="{E8993ECE-8943-4DC6-8421-3339BC56588B}" name="iou" totalsRowFunction="custom" totalsRowDxfId="5">
      <totalsRowFormula>AVERAGE(U8:U82)</totalsRowFormula>
    </tableColumn>
  </tableColumns>
  <tableStyleInfo name="TableStyleLight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619A71-DAF3-4E3E-A918-E5C0848FFF86}" name="Tabella3" displayName="Tabella3" ref="N9:P85" totalsRowCount="1">
  <autoFilter ref="N9:P84" xr:uid="{5F619A71-DAF3-4E3E-A918-E5C0848FFF86}"/>
  <tableColumns count="3">
    <tableColumn id="1" xr3:uid="{EBD2971C-BE34-442C-ADE9-124578A2DEB0}" name="time" totalsRowFunction="custom" totalsRowDxfId="4">
      <totalsRowFormula>AVERAGE(N10:N84)</totalsRowFormula>
    </tableColumn>
    <tableColumn id="2" xr3:uid="{21D9E0A9-04A5-4159-8204-BB8CBB5CE1A8}" name="index" totalsRowLabel="MEDIA"/>
    <tableColumn id="3" xr3:uid="{70C8A322-DF3F-4F4A-BEF8-C8CADE4CAC5B}" name="iou" totalsRowFunction="custom" totalsRowDxfId="3">
      <totalsRowFormula>AVERAGE(P10:P84)</totalsRowFormula>
    </tableColumn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BDAA8F-FF2D-4785-B396-B9308FDBA53E}" name="Tabella4" displayName="Tabella4" ref="H7:J83" totalsRowCount="1">
  <autoFilter ref="H7:J82" xr:uid="{1EBDAA8F-FF2D-4785-B396-B9308FDBA53E}"/>
  <tableColumns count="3">
    <tableColumn id="1" xr3:uid="{E6FC8675-C431-417B-B272-E76A2B8842E1}" name="time" totalsRowFunction="custom" totalsRowDxfId="2">
      <totalsRowFormula>AVERAGE(H8:H82)</totalsRowFormula>
    </tableColumn>
    <tableColumn id="2" xr3:uid="{72850A44-D23D-44BA-92C2-7F0DFEF923BC}" name="index" totalsRowLabel="MEDIA" totalsRowDxfId="1"/>
    <tableColumn id="3" xr3:uid="{0510D6D2-42C3-4E37-A021-A85C5168876D}" name="iou" totalsRowFunction="custom" totalsRowDxfId="0">
      <totalsRowFormula>AVERAGE(J8:J82)</totalsRow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U85"/>
  <sheetViews>
    <sheetView tabSelected="1" zoomScale="115" zoomScaleNormal="115" workbookViewId="0">
      <selection activeCell="H3" sqref="H3"/>
    </sheetView>
  </sheetViews>
  <sheetFormatPr defaultRowHeight="14.4"/>
  <sheetData>
    <row r="1" spans="4:21">
      <c r="H1" s="7" t="s">
        <v>10</v>
      </c>
      <c r="I1" s="8"/>
      <c r="J1" s="8"/>
    </row>
    <row r="2" spans="4:21">
      <c r="T2" s="1" t="s">
        <v>3</v>
      </c>
    </row>
    <row r="3" spans="4:21">
      <c r="T3" s="2" t="s">
        <v>4</v>
      </c>
    </row>
    <row r="4" spans="4:21">
      <c r="J4" s="3" t="s">
        <v>8</v>
      </c>
    </row>
    <row r="5" spans="4:21">
      <c r="E5" s="4" t="s">
        <v>5</v>
      </c>
      <c r="I5" s="5" t="s">
        <v>6</v>
      </c>
    </row>
    <row r="6" spans="4:21">
      <c r="T6" s="5" t="s">
        <v>6</v>
      </c>
    </row>
    <row r="7" spans="4:21">
      <c r="D7" t="s">
        <v>0</v>
      </c>
      <c r="E7" t="s">
        <v>1</v>
      </c>
      <c r="F7" t="s">
        <v>2</v>
      </c>
      <c r="H7" t="s">
        <v>0</v>
      </c>
      <c r="I7" t="s">
        <v>1</v>
      </c>
      <c r="J7" t="s">
        <v>2</v>
      </c>
      <c r="O7" s="9" t="s">
        <v>9</v>
      </c>
      <c r="P7" s="9"/>
      <c r="S7" t="s">
        <v>0</v>
      </c>
      <c r="T7" t="s">
        <v>1</v>
      </c>
      <c r="U7" t="s">
        <v>2</v>
      </c>
    </row>
    <row r="8" spans="4:21">
      <c r="D8">
        <v>5157.1407318114998</v>
      </c>
      <c r="E8">
        <v>0</v>
      </c>
      <c r="F8">
        <v>0.87540139519433002</v>
      </c>
      <c r="H8">
        <v>520.90048789978005</v>
      </c>
      <c r="I8">
        <v>0</v>
      </c>
      <c r="J8">
        <v>0.83510754019160005</v>
      </c>
      <c r="S8">
        <v>1040.5108928679999</v>
      </c>
      <c r="T8">
        <v>0</v>
      </c>
      <c r="U8">
        <v>0.93054479899513998</v>
      </c>
    </row>
    <row r="9" spans="4:21">
      <c r="D9">
        <v>3608.0393791198999</v>
      </c>
      <c r="E9">
        <v>1</v>
      </c>
      <c r="F9">
        <v>0.84425511999376002</v>
      </c>
      <c r="H9">
        <v>115.98229408264</v>
      </c>
      <c r="I9">
        <v>1</v>
      </c>
      <c r="J9">
        <v>0.82241542816190005</v>
      </c>
      <c r="N9" t="s">
        <v>0</v>
      </c>
      <c r="O9" t="s">
        <v>1</v>
      </c>
      <c r="P9" t="s">
        <v>2</v>
      </c>
      <c r="S9">
        <v>671.68617248534997</v>
      </c>
      <c r="T9">
        <v>1</v>
      </c>
      <c r="U9">
        <v>0.92999765721743999</v>
      </c>
    </row>
    <row r="10" spans="4:21">
      <c r="D10">
        <v>2827.7304172516001</v>
      </c>
      <c r="E10">
        <v>2</v>
      </c>
      <c r="F10">
        <v>0.83369277219792004</v>
      </c>
      <c r="H10">
        <v>114.46714401245001</v>
      </c>
      <c r="I10">
        <v>2</v>
      </c>
      <c r="J10">
        <v>0.88436482084691004</v>
      </c>
      <c r="N10">
        <v>1105.5133342743</v>
      </c>
      <c r="O10">
        <v>0</v>
      </c>
      <c r="P10">
        <v>0.87651436411257999</v>
      </c>
      <c r="S10">
        <v>925.08506774902003</v>
      </c>
      <c r="T10">
        <v>2</v>
      </c>
      <c r="U10">
        <v>0.93259511077847002</v>
      </c>
    </row>
    <row r="11" spans="4:21">
      <c r="D11">
        <v>3091.0663604736001</v>
      </c>
      <c r="E11">
        <v>3</v>
      </c>
      <c r="F11">
        <v>0.86721306941281995</v>
      </c>
      <c r="H11">
        <v>111.84000968933</v>
      </c>
      <c r="I11">
        <v>3</v>
      </c>
      <c r="J11">
        <v>0.85469790684663005</v>
      </c>
      <c r="N11">
        <v>537.01186180114996</v>
      </c>
      <c r="O11">
        <v>1</v>
      </c>
      <c r="P11">
        <v>0.87915514864979005</v>
      </c>
      <c r="S11">
        <v>699.02896881104004</v>
      </c>
      <c r="T11">
        <v>3</v>
      </c>
      <c r="U11">
        <v>0.93481036904610004</v>
      </c>
    </row>
    <row r="12" spans="4:21">
      <c r="D12">
        <v>3344.0647125244</v>
      </c>
      <c r="E12">
        <v>4</v>
      </c>
      <c r="F12">
        <v>0.84557390999276005</v>
      </c>
      <c r="H12">
        <v>109.99894142151</v>
      </c>
      <c r="I12">
        <v>4</v>
      </c>
      <c r="J12">
        <v>0.86724872031155997</v>
      </c>
      <c r="N12">
        <v>536.85259819031</v>
      </c>
      <c r="O12">
        <v>2</v>
      </c>
      <c r="P12">
        <v>0.86237628035447</v>
      </c>
      <c r="S12">
        <v>666.57757759094</v>
      </c>
      <c r="T12">
        <v>4</v>
      </c>
      <c r="U12">
        <v>0.94088215833649003</v>
      </c>
    </row>
    <row r="13" spans="4:21">
      <c r="D13">
        <v>2881.1597824096998</v>
      </c>
      <c r="E13">
        <v>5</v>
      </c>
      <c r="F13">
        <v>0.52311079758011003</v>
      </c>
      <c r="H13">
        <v>107.91563987732</v>
      </c>
      <c r="I13">
        <v>5</v>
      </c>
      <c r="J13">
        <v>0.87180777060752002</v>
      </c>
      <c r="N13">
        <v>537.30583190918003</v>
      </c>
      <c r="O13">
        <v>3</v>
      </c>
      <c r="P13">
        <v>0.87790710613580003</v>
      </c>
      <c r="S13">
        <v>665.88354110718001</v>
      </c>
      <c r="T13">
        <v>5</v>
      </c>
      <c r="U13">
        <v>0.91230168980002002</v>
      </c>
    </row>
    <row r="14" spans="4:21">
      <c r="D14">
        <v>3067.3284530639999</v>
      </c>
      <c r="E14">
        <v>6</v>
      </c>
      <c r="F14">
        <v>0.80828130876269</v>
      </c>
      <c r="H14">
        <v>111.97423934937</v>
      </c>
      <c r="I14">
        <v>6</v>
      </c>
      <c r="J14">
        <v>0.80824194834303997</v>
      </c>
      <c r="N14">
        <v>687.92533874512003</v>
      </c>
      <c r="O14">
        <v>4</v>
      </c>
      <c r="P14">
        <v>0.85579776349866998</v>
      </c>
      <c r="S14">
        <v>662.44316101074003</v>
      </c>
      <c r="T14">
        <v>6</v>
      </c>
      <c r="U14">
        <v>0.93266715411487999</v>
      </c>
    </row>
    <row r="15" spans="4:21">
      <c r="D15">
        <v>3058.9122772217002</v>
      </c>
      <c r="E15">
        <v>7</v>
      </c>
      <c r="F15">
        <v>0.87220241446174995</v>
      </c>
      <c r="H15">
        <v>108.46972465515</v>
      </c>
      <c r="I15">
        <v>7</v>
      </c>
      <c r="J15">
        <v>0.87600319816558003</v>
      </c>
      <c r="N15">
        <v>537.65678405762003</v>
      </c>
      <c r="O15">
        <v>5</v>
      </c>
      <c r="P15">
        <v>0.86308417007561999</v>
      </c>
      <c r="S15">
        <v>669.53730583190998</v>
      </c>
      <c r="T15">
        <v>7</v>
      </c>
      <c r="U15">
        <v>0.92609263279341003</v>
      </c>
    </row>
    <row r="16" spans="4:21">
      <c r="D16">
        <v>3008.3155632019002</v>
      </c>
      <c r="E16">
        <v>8</v>
      </c>
      <c r="F16">
        <v>0.86780682355895</v>
      </c>
      <c r="H16">
        <v>108.9289188385</v>
      </c>
      <c r="I16">
        <v>8</v>
      </c>
      <c r="J16">
        <v>0.89271762547316003</v>
      </c>
      <c r="N16">
        <v>538.64431381225995</v>
      </c>
      <c r="O16">
        <v>6</v>
      </c>
      <c r="P16">
        <v>0.88285473704091</v>
      </c>
      <c r="S16">
        <v>667.66786575316996</v>
      </c>
      <c r="T16">
        <v>8</v>
      </c>
      <c r="U16">
        <v>0.93932692200293</v>
      </c>
    </row>
    <row r="17" spans="4:21">
      <c r="D17">
        <v>3063.0700588226</v>
      </c>
      <c r="E17">
        <v>9</v>
      </c>
      <c r="F17">
        <v>0.89145967286276995</v>
      </c>
      <c r="H17">
        <v>110.91160774231</v>
      </c>
      <c r="I17">
        <v>9</v>
      </c>
      <c r="J17">
        <v>0.87797456257819995</v>
      </c>
      <c r="N17">
        <v>537.29629516601995</v>
      </c>
      <c r="O17">
        <v>7</v>
      </c>
      <c r="P17">
        <v>0.74608590927338003</v>
      </c>
      <c r="S17">
        <v>657.55820274353005</v>
      </c>
      <c r="T17">
        <v>9</v>
      </c>
      <c r="U17">
        <v>0.93616167899941005</v>
      </c>
    </row>
    <row r="18" spans="4:21">
      <c r="D18">
        <v>3129.3795108794998</v>
      </c>
      <c r="E18">
        <v>10</v>
      </c>
      <c r="F18">
        <v>0.83178763704955005</v>
      </c>
      <c r="H18">
        <v>110.74805259705001</v>
      </c>
      <c r="I18">
        <v>10</v>
      </c>
      <c r="J18">
        <v>0.86930280458888998</v>
      </c>
      <c r="N18">
        <v>539.10374641418002</v>
      </c>
      <c r="O18">
        <v>8</v>
      </c>
      <c r="P18">
        <v>0.86982776571377995</v>
      </c>
      <c r="S18">
        <v>667.45829582214003</v>
      </c>
      <c r="T18">
        <v>10</v>
      </c>
      <c r="U18">
        <v>0.93789735623255999</v>
      </c>
    </row>
    <row r="19" spans="4:21">
      <c r="D19">
        <v>3831.9051265716998</v>
      </c>
      <c r="E19">
        <v>11</v>
      </c>
      <c r="F19">
        <v>0.83511635932600004</v>
      </c>
      <c r="H19">
        <v>98.861217498778998</v>
      </c>
      <c r="I19">
        <v>11</v>
      </c>
      <c r="J19">
        <v>0.83732781332329997</v>
      </c>
      <c r="N19">
        <v>539.57438468933003</v>
      </c>
      <c r="O19">
        <v>9</v>
      </c>
      <c r="P19">
        <v>0.86336552131320998</v>
      </c>
      <c r="S19">
        <v>669.68750953673998</v>
      </c>
      <c r="T19">
        <v>11</v>
      </c>
      <c r="U19">
        <v>0.91828727523078002</v>
      </c>
    </row>
    <row r="20" spans="4:21">
      <c r="D20">
        <v>3044.6779727936</v>
      </c>
      <c r="E20">
        <v>12</v>
      </c>
      <c r="F20">
        <v>0.87598811247887998</v>
      </c>
      <c r="H20">
        <v>108.9391708374</v>
      </c>
      <c r="I20">
        <v>12</v>
      </c>
      <c r="J20">
        <v>0.88257658408215001</v>
      </c>
      <c r="N20">
        <v>539.35098648071005</v>
      </c>
      <c r="O20">
        <v>10</v>
      </c>
      <c r="P20">
        <v>0.87957844806150998</v>
      </c>
      <c r="S20">
        <v>657.88078308105003</v>
      </c>
      <c r="T20">
        <v>12</v>
      </c>
      <c r="U20">
        <v>0.92812201519126003</v>
      </c>
    </row>
    <row r="21" spans="4:21">
      <c r="D21">
        <v>3156.005859375</v>
      </c>
      <c r="E21">
        <v>13</v>
      </c>
      <c r="F21">
        <v>0.84820654175626997</v>
      </c>
      <c r="H21">
        <v>108.21080207825</v>
      </c>
      <c r="I21">
        <v>13</v>
      </c>
      <c r="J21">
        <v>0.87133539537385996</v>
      </c>
      <c r="N21">
        <v>538.12408447266</v>
      </c>
      <c r="O21">
        <v>11</v>
      </c>
      <c r="P21">
        <v>0.88586860690654001</v>
      </c>
      <c r="S21">
        <v>662.35542297362997</v>
      </c>
      <c r="T21">
        <v>13</v>
      </c>
      <c r="U21">
        <v>0.92795149768141005</v>
      </c>
    </row>
    <row r="22" spans="4:21">
      <c r="D22">
        <v>3421.3364124298</v>
      </c>
      <c r="E22">
        <v>14</v>
      </c>
      <c r="F22">
        <v>0.83348379847630005</v>
      </c>
      <c r="H22">
        <v>110.04614830017</v>
      </c>
      <c r="I22">
        <v>14</v>
      </c>
      <c r="J22">
        <v>0.87947466861835999</v>
      </c>
      <c r="N22">
        <v>539.78991508484</v>
      </c>
      <c r="O22">
        <v>12</v>
      </c>
      <c r="P22">
        <v>0.87412288004566996</v>
      </c>
      <c r="S22">
        <v>676.30290985107001</v>
      </c>
      <c r="T22">
        <v>14</v>
      </c>
      <c r="U22">
        <v>0.93761455065080002</v>
      </c>
    </row>
    <row r="23" spans="4:21">
      <c r="D23">
        <v>3448.2400417327999</v>
      </c>
      <c r="E23">
        <v>15</v>
      </c>
      <c r="F23">
        <v>0.86284791554528995</v>
      </c>
      <c r="H23">
        <v>109.787940979</v>
      </c>
      <c r="I23">
        <v>15</v>
      </c>
      <c r="J23">
        <v>0.86778296010892997</v>
      </c>
      <c r="N23">
        <v>539.23869132996003</v>
      </c>
      <c r="O23">
        <v>13</v>
      </c>
      <c r="P23">
        <v>0.84224854505197</v>
      </c>
      <c r="S23">
        <v>961.69471740722997</v>
      </c>
      <c r="T23">
        <v>15</v>
      </c>
      <c r="U23">
        <v>0.93056787620213999</v>
      </c>
    </row>
    <row r="24" spans="4:21">
      <c r="D24">
        <v>3440.6261444092002</v>
      </c>
      <c r="E24">
        <v>16</v>
      </c>
      <c r="F24">
        <v>0.82247706754125005</v>
      </c>
      <c r="H24">
        <v>107.70344734192</v>
      </c>
      <c r="I24">
        <v>16</v>
      </c>
      <c r="J24">
        <v>0.87534687381058995</v>
      </c>
      <c r="N24">
        <v>537.98079490661996</v>
      </c>
      <c r="O24">
        <v>14</v>
      </c>
      <c r="P24">
        <v>0.87306830408235003</v>
      </c>
      <c r="S24">
        <v>664.83259201049998</v>
      </c>
      <c r="T24">
        <v>16</v>
      </c>
      <c r="U24">
        <v>0.93082491807664003</v>
      </c>
    </row>
    <row r="25" spans="4:21">
      <c r="D25">
        <v>3243.2541847228999</v>
      </c>
      <c r="E25">
        <v>17</v>
      </c>
      <c r="F25">
        <v>0.85956325955804003</v>
      </c>
      <c r="H25">
        <v>105.89814186096</v>
      </c>
      <c r="I25">
        <v>17</v>
      </c>
      <c r="J25">
        <v>0.83109146687586</v>
      </c>
      <c r="N25">
        <v>765.77377319335994</v>
      </c>
      <c r="O25">
        <v>15</v>
      </c>
      <c r="P25">
        <v>0.79617661129193995</v>
      </c>
      <c r="S25">
        <v>660.47596931457997</v>
      </c>
      <c r="T25">
        <v>17</v>
      </c>
      <c r="U25">
        <v>0.90821419420958005</v>
      </c>
    </row>
    <row r="26" spans="4:21">
      <c r="D26">
        <v>3628.7543773651</v>
      </c>
      <c r="E26">
        <v>18</v>
      </c>
      <c r="F26">
        <v>0.85945339255394004</v>
      </c>
      <c r="H26">
        <v>98.356962203978995</v>
      </c>
      <c r="I26">
        <v>18</v>
      </c>
      <c r="J26">
        <v>0.85955822909151003</v>
      </c>
      <c r="N26">
        <v>537.08291053771995</v>
      </c>
      <c r="O26">
        <v>16</v>
      </c>
      <c r="P26">
        <v>0.90745007044004</v>
      </c>
      <c r="S26">
        <v>671.30827903748002</v>
      </c>
      <c r="T26">
        <v>18</v>
      </c>
      <c r="U26">
        <v>0.92634264614994999</v>
      </c>
    </row>
    <row r="27" spans="4:21">
      <c r="D27">
        <v>3450.9367942809999</v>
      </c>
      <c r="E27">
        <v>19</v>
      </c>
      <c r="F27">
        <v>0.74302155187818997</v>
      </c>
      <c r="H27">
        <v>101.60398483276001</v>
      </c>
      <c r="I27">
        <v>19</v>
      </c>
      <c r="J27">
        <v>0.87779840559135003</v>
      </c>
      <c r="N27">
        <v>538.63453865050997</v>
      </c>
      <c r="O27">
        <v>17</v>
      </c>
      <c r="P27">
        <v>0.85617016024519998</v>
      </c>
      <c r="S27">
        <v>681.11634254455998</v>
      </c>
      <c r="T27">
        <v>19</v>
      </c>
      <c r="U27">
        <v>0.92030293291139997</v>
      </c>
    </row>
    <row r="28" spans="4:21">
      <c r="D28">
        <v>3625.0815391541</v>
      </c>
      <c r="E28">
        <v>20</v>
      </c>
      <c r="F28">
        <v>0.87478631459263001</v>
      </c>
      <c r="H28">
        <v>92.487812042236001</v>
      </c>
      <c r="I28">
        <v>20</v>
      </c>
      <c r="J28">
        <v>0.82859243778783997</v>
      </c>
      <c r="N28">
        <v>540.29774665832997</v>
      </c>
      <c r="O28">
        <v>18</v>
      </c>
      <c r="P28">
        <v>0.86129528892537999</v>
      </c>
      <c r="S28">
        <v>667.05942153931005</v>
      </c>
      <c r="T28">
        <v>20</v>
      </c>
      <c r="U28">
        <v>0.92365156090764999</v>
      </c>
    </row>
    <row r="29" spans="4:21">
      <c r="D29">
        <v>3594.9466228484998</v>
      </c>
      <c r="E29">
        <v>21</v>
      </c>
      <c r="F29">
        <v>0.82380523142826001</v>
      </c>
      <c r="H29">
        <v>99.919795989990007</v>
      </c>
      <c r="I29">
        <v>21</v>
      </c>
      <c r="J29">
        <v>0.82098883633648001</v>
      </c>
      <c r="N29">
        <v>540.12393951416004</v>
      </c>
      <c r="O29">
        <v>19</v>
      </c>
      <c r="P29">
        <v>0.86888901628066995</v>
      </c>
      <c r="S29">
        <v>663.44666481017998</v>
      </c>
      <c r="T29">
        <v>21</v>
      </c>
      <c r="U29">
        <v>0.93016868823154997</v>
      </c>
    </row>
    <row r="30" spans="4:21">
      <c r="D30">
        <v>3535.7379913330001</v>
      </c>
      <c r="E30">
        <v>22</v>
      </c>
      <c r="F30">
        <v>0.80849234701286998</v>
      </c>
      <c r="H30">
        <v>98.260879516602003</v>
      </c>
      <c r="I30">
        <v>22</v>
      </c>
      <c r="J30">
        <v>0.85529359031824004</v>
      </c>
      <c r="N30">
        <v>541.11719131469999</v>
      </c>
      <c r="O30">
        <v>20</v>
      </c>
      <c r="P30">
        <v>0.79727661812878003</v>
      </c>
      <c r="S30">
        <v>664.22319412231002</v>
      </c>
      <c r="T30">
        <v>22</v>
      </c>
      <c r="U30">
        <v>0.93270712607128003</v>
      </c>
    </row>
    <row r="31" spans="4:21">
      <c r="D31">
        <v>3594.0399169921998</v>
      </c>
      <c r="E31">
        <v>23</v>
      </c>
      <c r="F31">
        <v>0.83108931225164995</v>
      </c>
      <c r="H31">
        <v>100.25787353516</v>
      </c>
      <c r="I31">
        <v>23</v>
      </c>
      <c r="J31">
        <v>0.86511995669022002</v>
      </c>
      <c r="N31">
        <v>538.50150108337004</v>
      </c>
      <c r="O31">
        <v>21</v>
      </c>
      <c r="P31">
        <v>0.86460039016899004</v>
      </c>
      <c r="S31">
        <v>666.80884361266999</v>
      </c>
      <c r="T31">
        <v>23</v>
      </c>
      <c r="U31">
        <v>0.94010587170021997</v>
      </c>
    </row>
    <row r="32" spans="4:21">
      <c r="D32">
        <v>3550.1952171326002</v>
      </c>
      <c r="E32">
        <v>24</v>
      </c>
      <c r="F32">
        <v>0.87019805617714996</v>
      </c>
      <c r="H32">
        <v>99.587917327881001</v>
      </c>
      <c r="I32">
        <v>24</v>
      </c>
      <c r="J32">
        <v>0.80849766212645002</v>
      </c>
      <c r="N32">
        <v>539.48187828063999</v>
      </c>
      <c r="O32">
        <v>22</v>
      </c>
      <c r="P32">
        <v>0.77719617471355995</v>
      </c>
      <c r="S32">
        <v>669.87681388855003</v>
      </c>
      <c r="T32">
        <v>24</v>
      </c>
      <c r="U32">
        <v>0.90532046563174995</v>
      </c>
    </row>
    <row r="33" spans="4:21">
      <c r="D33">
        <v>3475.6104946136002</v>
      </c>
      <c r="E33">
        <v>25</v>
      </c>
      <c r="F33">
        <v>0.82465987940490004</v>
      </c>
      <c r="H33">
        <v>99.843502044678004</v>
      </c>
      <c r="I33">
        <v>25</v>
      </c>
      <c r="J33">
        <v>0.83331601709113001</v>
      </c>
      <c r="N33">
        <v>537.77790069579999</v>
      </c>
      <c r="O33">
        <v>23</v>
      </c>
      <c r="P33">
        <v>0.53947825929890003</v>
      </c>
      <c r="S33">
        <v>870.27025222778002</v>
      </c>
      <c r="T33">
        <v>25</v>
      </c>
      <c r="U33">
        <v>0.91350683711073</v>
      </c>
    </row>
    <row r="34" spans="4:21">
      <c r="D34">
        <v>3449.2294788361</v>
      </c>
      <c r="E34">
        <v>26</v>
      </c>
      <c r="F34">
        <v>0.87005754766973997</v>
      </c>
      <c r="H34">
        <v>102.96106338500999</v>
      </c>
      <c r="I34">
        <v>26</v>
      </c>
      <c r="J34">
        <v>0.86724382733122996</v>
      </c>
      <c r="N34">
        <v>541.59069061279001</v>
      </c>
      <c r="O34">
        <v>24</v>
      </c>
      <c r="P34">
        <v>0.79548097046740995</v>
      </c>
      <c r="S34">
        <v>672.10006713867006</v>
      </c>
      <c r="T34">
        <v>26</v>
      </c>
      <c r="U34">
        <v>0.92171545937872001</v>
      </c>
    </row>
    <row r="35" spans="4:21">
      <c r="D35">
        <v>3123.1181621552</v>
      </c>
      <c r="E35">
        <v>27</v>
      </c>
      <c r="F35">
        <v>0.88015287277932996</v>
      </c>
      <c r="H35">
        <v>100.52704811096</v>
      </c>
      <c r="I35">
        <v>27</v>
      </c>
      <c r="J35">
        <v>0.82381204412761999</v>
      </c>
      <c r="N35">
        <v>540.60387611389001</v>
      </c>
      <c r="O35">
        <v>25</v>
      </c>
      <c r="P35">
        <v>0.88617683447303996</v>
      </c>
      <c r="S35">
        <v>666.65339469909998</v>
      </c>
      <c r="T35">
        <v>27</v>
      </c>
      <c r="U35">
        <v>0.92435720627964002</v>
      </c>
    </row>
    <row r="36" spans="4:21">
      <c r="D36">
        <v>3132.1105957031</v>
      </c>
      <c r="E36">
        <v>28</v>
      </c>
      <c r="F36">
        <v>0.87636128805002</v>
      </c>
      <c r="H36">
        <v>92.804193496704002</v>
      </c>
      <c r="I36">
        <v>28</v>
      </c>
      <c r="J36">
        <v>0.78772694533443</v>
      </c>
      <c r="N36">
        <v>539.32094573974996</v>
      </c>
      <c r="O36">
        <v>26</v>
      </c>
      <c r="P36">
        <v>0.88722546802130997</v>
      </c>
      <c r="S36">
        <v>667.28401184081997</v>
      </c>
      <c r="T36">
        <v>28</v>
      </c>
      <c r="U36">
        <v>0.94299502739597996</v>
      </c>
    </row>
    <row r="37" spans="4:21">
      <c r="D37">
        <v>3022.705078125</v>
      </c>
      <c r="E37">
        <v>29</v>
      </c>
      <c r="F37">
        <v>0.87942391516492002</v>
      </c>
      <c r="H37">
        <v>92.817783355713004</v>
      </c>
      <c r="I37">
        <v>29</v>
      </c>
      <c r="J37">
        <v>0.82717148499465998</v>
      </c>
      <c r="N37">
        <v>540.42506217956998</v>
      </c>
      <c r="O37">
        <v>27</v>
      </c>
      <c r="P37">
        <v>0.89968369032412998</v>
      </c>
      <c r="S37">
        <v>666.53251647949003</v>
      </c>
      <c r="T37">
        <v>29</v>
      </c>
      <c r="U37">
        <v>0.92897621995860002</v>
      </c>
    </row>
    <row r="38" spans="4:21">
      <c r="D38">
        <v>2927.3643493651998</v>
      </c>
      <c r="E38">
        <v>30</v>
      </c>
      <c r="F38">
        <v>0.87889220760467002</v>
      </c>
      <c r="H38">
        <v>99.832773208617994</v>
      </c>
      <c r="I38">
        <v>30</v>
      </c>
      <c r="J38">
        <v>0.79271390735636005</v>
      </c>
      <c r="N38">
        <v>982.81931877136003</v>
      </c>
      <c r="O38">
        <v>28</v>
      </c>
      <c r="P38">
        <v>0.85233442693874995</v>
      </c>
      <c r="S38">
        <v>669.15774345397995</v>
      </c>
      <c r="T38">
        <v>30</v>
      </c>
      <c r="U38">
        <v>0.93414555077239003</v>
      </c>
    </row>
    <row r="39" spans="4:21">
      <c r="D39">
        <v>3391.1588191986002</v>
      </c>
      <c r="E39">
        <v>31</v>
      </c>
      <c r="F39">
        <v>0.78779410942827</v>
      </c>
      <c r="H39">
        <v>97.736120223998995</v>
      </c>
      <c r="I39">
        <v>31</v>
      </c>
      <c r="J39">
        <v>0.81118441721645995</v>
      </c>
      <c r="N39">
        <v>540.79198837280001</v>
      </c>
      <c r="O39">
        <v>29</v>
      </c>
      <c r="P39">
        <v>0.85427466521781004</v>
      </c>
      <c r="S39">
        <v>653.64694595337005</v>
      </c>
      <c r="T39">
        <v>31</v>
      </c>
      <c r="U39">
        <v>0.93015058104243997</v>
      </c>
    </row>
    <row r="40" spans="4:21">
      <c r="D40">
        <v>3153.5668373108001</v>
      </c>
      <c r="E40">
        <v>32</v>
      </c>
      <c r="F40">
        <v>0.86939407730325002</v>
      </c>
      <c r="H40">
        <v>94.894170761108001</v>
      </c>
      <c r="I40">
        <v>32</v>
      </c>
      <c r="J40">
        <v>0.87850525399489998</v>
      </c>
      <c r="N40">
        <v>540.48109054564998</v>
      </c>
      <c r="O40">
        <v>30</v>
      </c>
      <c r="P40">
        <v>0.87741353240605002</v>
      </c>
      <c r="S40">
        <v>664.60371017455998</v>
      </c>
      <c r="T40">
        <v>32</v>
      </c>
      <c r="U40">
        <v>0.93137308421928999</v>
      </c>
    </row>
    <row r="41" spans="4:21">
      <c r="D41">
        <v>3050.7180690764999</v>
      </c>
      <c r="E41">
        <v>33</v>
      </c>
      <c r="F41">
        <v>0.87385465043304</v>
      </c>
      <c r="H41">
        <v>97.998142242431996</v>
      </c>
      <c r="I41">
        <v>33</v>
      </c>
      <c r="J41">
        <v>0.87020646997133999</v>
      </c>
      <c r="N41">
        <v>542.78874397278003</v>
      </c>
      <c r="O41">
        <v>31</v>
      </c>
      <c r="P41">
        <v>0.84795241093447005</v>
      </c>
      <c r="S41">
        <v>667.78111457825003</v>
      </c>
      <c r="T41">
        <v>33</v>
      </c>
      <c r="U41">
        <v>0.92665956546082995</v>
      </c>
    </row>
    <row r="42" spans="4:21">
      <c r="D42">
        <v>3080.9583663940002</v>
      </c>
      <c r="E42">
        <v>34</v>
      </c>
      <c r="F42">
        <v>0.80144507949184995</v>
      </c>
      <c r="H42">
        <v>99.954843521117994</v>
      </c>
      <c r="I42">
        <v>34</v>
      </c>
      <c r="J42">
        <v>0.88062278975686004</v>
      </c>
      <c r="N42">
        <v>540.44532775878997</v>
      </c>
      <c r="O42">
        <v>32</v>
      </c>
      <c r="P42">
        <v>0.64893824379785003</v>
      </c>
      <c r="S42">
        <v>663.17057609558003</v>
      </c>
      <c r="T42">
        <v>34</v>
      </c>
      <c r="U42">
        <v>0.93419858083914997</v>
      </c>
    </row>
    <row r="43" spans="4:21">
      <c r="D43">
        <v>2911.5889072417999</v>
      </c>
      <c r="E43">
        <v>35</v>
      </c>
      <c r="F43">
        <v>0.83444061334902997</v>
      </c>
      <c r="H43">
        <v>97.615957260132006</v>
      </c>
      <c r="I43">
        <v>35</v>
      </c>
      <c r="J43">
        <v>0.89136559970250995</v>
      </c>
      <c r="N43">
        <v>542.34313964844</v>
      </c>
      <c r="O43">
        <v>33</v>
      </c>
      <c r="P43">
        <v>0.88996105408263004</v>
      </c>
      <c r="S43">
        <v>657.20319747924998</v>
      </c>
      <c r="T43">
        <v>35</v>
      </c>
      <c r="U43">
        <v>0.92857957486380005</v>
      </c>
    </row>
    <row r="44" spans="4:21">
      <c r="D44">
        <v>3341.4087295531999</v>
      </c>
      <c r="E44">
        <v>36</v>
      </c>
      <c r="F44">
        <v>0.83733062330622998</v>
      </c>
      <c r="H44">
        <v>97.895860671996999</v>
      </c>
      <c r="I44">
        <v>36</v>
      </c>
      <c r="J44">
        <v>0.88100200454008004</v>
      </c>
      <c r="N44">
        <v>540.85397720337005</v>
      </c>
      <c r="O44">
        <v>34</v>
      </c>
      <c r="P44">
        <v>0.86384650501854998</v>
      </c>
      <c r="S44">
        <v>862.14351654052996</v>
      </c>
      <c r="T44">
        <v>36</v>
      </c>
      <c r="U44">
        <v>0.90318476565705996</v>
      </c>
    </row>
    <row r="45" spans="4:21">
      <c r="D45">
        <v>4054.0409088135002</v>
      </c>
      <c r="E45">
        <v>37</v>
      </c>
      <c r="F45">
        <v>0.87675159005754</v>
      </c>
      <c r="H45">
        <v>94.940900802612006</v>
      </c>
      <c r="I45">
        <v>37</v>
      </c>
      <c r="J45">
        <v>0.82472539959094004</v>
      </c>
      <c r="N45">
        <v>543.37954521178995</v>
      </c>
      <c r="O45">
        <v>35</v>
      </c>
      <c r="P45">
        <v>0.84412501958327002</v>
      </c>
      <c r="S45">
        <v>761.11292839049997</v>
      </c>
      <c r="T45">
        <v>37</v>
      </c>
      <c r="U45">
        <v>0.93602300296523</v>
      </c>
    </row>
    <row r="46" spans="4:21">
      <c r="D46">
        <v>4174.31640625</v>
      </c>
      <c r="E46">
        <v>38</v>
      </c>
      <c r="F46">
        <v>0.89062918906715005</v>
      </c>
      <c r="H46">
        <v>100.44026374817</v>
      </c>
      <c r="I46">
        <v>38</v>
      </c>
      <c r="J46">
        <v>0.74669421487603005</v>
      </c>
      <c r="N46">
        <v>540.18664360046</v>
      </c>
      <c r="O46">
        <v>36</v>
      </c>
      <c r="P46">
        <v>0.88448649534668</v>
      </c>
      <c r="S46">
        <v>665.22431373595998</v>
      </c>
      <c r="T46">
        <v>38</v>
      </c>
      <c r="U46">
        <v>0.93456393238618996</v>
      </c>
    </row>
    <row r="47" spans="4:21">
      <c r="D47">
        <v>3350.1091003418001</v>
      </c>
      <c r="E47">
        <v>39</v>
      </c>
      <c r="F47">
        <v>0.88166090413478004</v>
      </c>
      <c r="H47">
        <v>97.648382186890004</v>
      </c>
      <c r="I47">
        <v>39</v>
      </c>
      <c r="J47">
        <v>0.86907756439947004</v>
      </c>
      <c r="N47">
        <v>541.44358634949003</v>
      </c>
      <c r="O47">
        <v>37</v>
      </c>
      <c r="P47">
        <v>0.86951251690358999</v>
      </c>
      <c r="S47">
        <v>665.10796546936001</v>
      </c>
      <c r="T47">
        <v>39</v>
      </c>
      <c r="U47">
        <v>0.94205077661311998</v>
      </c>
    </row>
    <row r="48" spans="4:21">
      <c r="D48">
        <v>3505.4273605346998</v>
      </c>
      <c r="E48">
        <v>40</v>
      </c>
      <c r="F48">
        <v>0.85529229307300003</v>
      </c>
      <c r="H48">
        <v>95.082998275757006</v>
      </c>
      <c r="I48">
        <v>40</v>
      </c>
      <c r="J48">
        <v>0.74301276644411995</v>
      </c>
      <c r="N48">
        <v>576.24053955078</v>
      </c>
      <c r="O48">
        <v>38</v>
      </c>
      <c r="P48">
        <v>0.84316805594263999</v>
      </c>
      <c r="S48">
        <v>670.34983634949003</v>
      </c>
      <c r="T48">
        <v>40</v>
      </c>
      <c r="U48">
        <v>0.93069784601412997</v>
      </c>
    </row>
    <row r="49" spans="4:21">
      <c r="D49">
        <v>3525.2912044525001</v>
      </c>
      <c r="E49">
        <v>41</v>
      </c>
      <c r="F49">
        <v>0.87288657352593002</v>
      </c>
      <c r="H49">
        <v>163.081407547</v>
      </c>
      <c r="I49">
        <v>41</v>
      </c>
      <c r="J49">
        <v>0.87385535564584005</v>
      </c>
      <c r="N49">
        <v>729.17485237122003</v>
      </c>
      <c r="O49">
        <v>39</v>
      </c>
      <c r="P49">
        <v>0.81102916338249997</v>
      </c>
      <c r="S49">
        <v>662.83559799193995</v>
      </c>
      <c r="T49">
        <v>41</v>
      </c>
      <c r="U49">
        <v>0.92904424479815995</v>
      </c>
    </row>
    <row r="50" spans="4:21">
      <c r="D50">
        <v>3278.7895202637001</v>
      </c>
      <c r="E50">
        <v>42</v>
      </c>
      <c r="F50">
        <v>0.87385332194044996</v>
      </c>
      <c r="H50">
        <v>204.17070388793999</v>
      </c>
      <c r="I50">
        <v>42</v>
      </c>
      <c r="J50">
        <v>0.89675660710863003</v>
      </c>
      <c r="N50">
        <v>541.72062873840002</v>
      </c>
      <c r="O50">
        <v>40</v>
      </c>
      <c r="P50">
        <v>0.88181570556472</v>
      </c>
      <c r="S50">
        <v>663.90562057495004</v>
      </c>
      <c r="T50">
        <v>42</v>
      </c>
      <c r="U50">
        <v>0.94203407236965997</v>
      </c>
    </row>
    <row r="51" spans="4:21">
      <c r="D51">
        <v>3348.6230373383</v>
      </c>
      <c r="E51">
        <v>43</v>
      </c>
      <c r="F51">
        <v>0.88435624892850995</v>
      </c>
      <c r="H51">
        <v>99.802732467650998</v>
      </c>
      <c r="I51">
        <v>43</v>
      </c>
      <c r="J51">
        <v>0.89061893709036999</v>
      </c>
      <c r="N51">
        <v>543.65754127501998</v>
      </c>
      <c r="O51">
        <v>41</v>
      </c>
      <c r="P51">
        <v>0.85261121471096002</v>
      </c>
      <c r="S51">
        <v>669.49200630188</v>
      </c>
      <c r="T51">
        <v>43</v>
      </c>
      <c r="U51">
        <v>0.92516082797239996</v>
      </c>
    </row>
    <row r="52" spans="4:21">
      <c r="D52">
        <v>3364.5958900452001</v>
      </c>
      <c r="E52">
        <v>44</v>
      </c>
      <c r="F52">
        <v>0.88102460621428003</v>
      </c>
      <c r="H52">
        <v>99.874258041382006</v>
      </c>
      <c r="I52">
        <v>44</v>
      </c>
      <c r="J52">
        <v>0.87478731016935996</v>
      </c>
      <c r="N52">
        <v>543.60866546630996</v>
      </c>
      <c r="O52">
        <v>42</v>
      </c>
      <c r="P52">
        <v>0.80983708030124002</v>
      </c>
      <c r="S52">
        <v>667.14429855346998</v>
      </c>
      <c r="T52">
        <v>44</v>
      </c>
      <c r="U52">
        <v>0.91151124500806002</v>
      </c>
    </row>
    <row r="53" spans="4:21">
      <c r="D53">
        <v>3131.4847469330002</v>
      </c>
      <c r="E53">
        <v>45</v>
      </c>
      <c r="F53">
        <v>0.83720529384432996</v>
      </c>
      <c r="H53">
        <v>92.859506607056005</v>
      </c>
      <c r="I53">
        <v>45</v>
      </c>
      <c r="J53">
        <v>0.84423316924356995</v>
      </c>
      <c r="N53">
        <v>542.37937927246003</v>
      </c>
      <c r="O53">
        <v>43</v>
      </c>
      <c r="P53">
        <v>0.87789671609296005</v>
      </c>
      <c r="S53">
        <v>672.52850532532</v>
      </c>
      <c r="T53">
        <v>45</v>
      </c>
      <c r="U53">
        <v>0.89948500297611</v>
      </c>
    </row>
    <row r="54" spans="4:21">
      <c r="D54">
        <v>3424.7658252716001</v>
      </c>
      <c r="E54">
        <v>46</v>
      </c>
      <c r="F54">
        <v>0.82097069158664004</v>
      </c>
      <c r="H54">
        <v>100.26597976684999</v>
      </c>
      <c r="I54">
        <v>46</v>
      </c>
      <c r="J54">
        <v>0.86465751966723003</v>
      </c>
      <c r="N54">
        <v>540.89999198913995</v>
      </c>
      <c r="O54">
        <v>44</v>
      </c>
      <c r="P54">
        <v>0.79002623081908996</v>
      </c>
      <c r="S54">
        <v>676.40256881714004</v>
      </c>
      <c r="T54">
        <v>46</v>
      </c>
      <c r="U54">
        <v>0.92358479689481998</v>
      </c>
    </row>
    <row r="55" spans="4:21">
      <c r="D55">
        <v>3164.9818420410002</v>
      </c>
      <c r="E55">
        <v>47</v>
      </c>
      <c r="F55">
        <v>0.86514980979926004</v>
      </c>
      <c r="H55">
        <v>97.855091094971002</v>
      </c>
      <c r="I55">
        <v>47</v>
      </c>
      <c r="J55">
        <v>0.85946702991002</v>
      </c>
      <c r="N55">
        <v>542.41919517516999</v>
      </c>
      <c r="O55">
        <v>45</v>
      </c>
      <c r="P55">
        <v>0.85603240999967001</v>
      </c>
      <c r="S55">
        <v>662.99557685852005</v>
      </c>
      <c r="T55">
        <v>47</v>
      </c>
      <c r="U55">
        <v>0.93435448577681002</v>
      </c>
    </row>
    <row r="56" spans="4:21">
      <c r="D56">
        <v>3175.1794815062999</v>
      </c>
      <c r="E56">
        <v>48</v>
      </c>
      <c r="F56">
        <v>0.62554228563916003</v>
      </c>
      <c r="H56">
        <v>99.745988845824996</v>
      </c>
      <c r="I56">
        <v>48</v>
      </c>
      <c r="J56">
        <v>0.87636310266383</v>
      </c>
      <c r="N56">
        <v>542.38748550415005</v>
      </c>
      <c r="O56">
        <v>46</v>
      </c>
      <c r="P56">
        <v>0.83194770023733</v>
      </c>
      <c r="S56">
        <v>664.57915306091002</v>
      </c>
      <c r="T56">
        <v>48</v>
      </c>
      <c r="U56">
        <v>0.92427537382139002</v>
      </c>
    </row>
    <row r="57" spans="4:21">
      <c r="D57">
        <v>3290.9986972809002</v>
      </c>
      <c r="E57">
        <v>49</v>
      </c>
      <c r="F57">
        <v>0.82863722568410003</v>
      </c>
      <c r="H57">
        <v>89.493989944457994</v>
      </c>
      <c r="I57">
        <v>49</v>
      </c>
      <c r="J57">
        <v>0.52307929084139004</v>
      </c>
      <c r="N57">
        <v>541.61119461060002</v>
      </c>
      <c r="O57">
        <v>47</v>
      </c>
      <c r="P57">
        <v>0.78078449757775004</v>
      </c>
      <c r="S57">
        <v>931.66017532348997</v>
      </c>
      <c r="T57">
        <v>49</v>
      </c>
      <c r="U57">
        <v>0.87858821554473998</v>
      </c>
    </row>
    <row r="58" spans="4:21">
      <c r="D58">
        <v>3080.8007717133</v>
      </c>
      <c r="E58">
        <v>50</v>
      </c>
      <c r="F58">
        <v>0.86723526760791003</v>
      </c>
      <c r="H58">
        <v>100.79526901245001</v>
      </c>
      <c r="I58">
        <v>50</v>
      </c>
      <c r="J58">
        <v>0.80143875017157995</v>
      </c>
      <c r="N58">
        <v>542.99163818359</v>
      </c>
      <c r="O58">
        <v>48</v>
      </c>
      <c r="P58">
        <v>0.88042209183748998</v>
      </c>
      <c r="S58">
        <v>657.96041488646995</v>
      </c>
      <c r="T58">
        <v>50</v>
      </c>
      <c r="U58">
        <v>0.92994689745144998</v>
      </c>
    </row>
    <row r="59" spans="4:21">
      <c r="D59">
        <v>3051.4407157897999</v>
      </c>
      <c r="E59">
        <v>51</v>
      </c>
      <c r="F59">
        <v>0.87779683555280996</v>
      </c>
      <c r="H59">
        <v>92.692375183105</v>
      </c>
      <c r="I59">
        <v>51</v>
      </c>
      <c r="J59">
        <v>0.83180728573113005</v>
      </c>
      <c r="N59">
        <v>542.45996475219999</v>
      </c>
      <c r="O59">
        <v>49</v>
      </c>
      <c r="P59">
        <v>0.86023008874060003</v>
      </c>
      <c r="S59">
        <v>670.59445381165006</v>
      </c>
      <c r="T59">
        <v>51</v>
      </c>
      <c r="U59">
        <v>0.94861146150710995</v>
      </c>
    </row>
    <row r="60" spans="4:21">
      <c r="D60">
        <v>3225.8200645447</v>
      </c>
      <c r="E60">
        <v>52</v>
      </c>
      <c r="F60">
        <v>0.89271585211306004</v>
      </c>
      <c r="H60">
        <v>92.973709106445</v>
      </c>
      <c r="I60">
        <v>52</v>
      </c>
      <c r="J60">
        <v>0.87029367606420005</v>
      </c>
      <c r="N60">
        <v>897.85408973693995</v>
      </c>
      <c r="O60">
        <v>50</v>
      </c>
      <c r="P60">
        <v>0.78863945793623003</v>
      </c>
      <c r="S60">
        <v>666.14556312561001</v>
      </c>
      <c r="T60">
        <v>52</v>
      </c>
      <c r="U60">
        <v>0.93402029727789004</v>
      </c>
    </row>
    <row r="61" spans="4:21">
      <c r="D61">
        <v>2996.9134330749998</v>
      </c>
      <c r="E61">
        <v>53</v>
      </c>
      <c r="F61">
        <v>0.88639030687085996</v>
      </c>
      <c r="H61">
        <v>97.862958908080998</v>
      </c>
      <c r="I61">
        <v>53</v>
      </c>
      <c r="J61">
        <v>0.88440133095204998</v>
      </c>
      <c r="N61">
        <v>542.86098480224996</v>
      </c>
      <c r="O61">
        <v>51</v>
      </c>
      <c r="P61">
        <v>0.88338525051604</v>
      </c>
      <c r="S61">
        <v>666.21303558349996</v>
      </c>
      <c r="T61">
        <v>53</v>
      </c>
      <c r="U61">
        <v>0.92482843909890999</v>
      </c>
    </row>
    <row r="62" spans="4:21">
      <c r="D62">
        <v>3027.9629230498999</v>
      </c>
      <c r="E62">
        <v>54</v>
      </c>
      <c r="F62">
        <v>0.82723703913554003</v>
      </c>
      <c r="H62">
        <v>87.722301483153998</v>
      </c>
      <c r="I62">
        <v>54</v>
      </c>
      <c r="J62">
        <v>0.62568210667920998</v>
      </c>
      <c r="N62">
        <v>539.86310958861998</v>
      </c>
      <c r="O62">
        <v>52</v>
      </c>
      <c r="P62">
        <v>0.91394874998140996</v>
      </c>
      <c r="S62">
        <v>671.70119285582996</v>
      </c>
      <c r="T62">
        <v>54</v>
      </c>
      <c r="U62">
        <v>0.93979533497357004</v>
      </c>
    </row>
    <row r="63" spans="4:21">
      <c r="D63">
        <v>3293.0264472960998</v>
      </c>
      <c r="E63">
        <v>55</v>
      </c>
      <c r="F63">
        <v>0.87179371080572998</v>
      </c>
      <c r="H63">
        <v>99.945783615112006</v>
      </c>
      <c r="I63">
        <v>55</v>
      </c>
      <c r="J63">
        <v>0.88163730422340003</v>
      </c>
      <c r="N63">
        <v>541.44978523253997</v>
      </c>
      <c r="O63">
        <v>53</v>
      </c>
      <c r="P63">
        <v>0.87570776506315995</v>
      </c>
      <c r="S63">
        <v>656.58140182495004</v>
      </c>
      <c r="T63">
        <v>55</v>
      </c>
      <c r="U63">
        <v>0.92174435028249002</v>
      </c>
    </row>
    <row r="64" spans="4:21">
      <c r="D64">
        <v>3024.5027542113999</v>
      </c>
      <c r="E64">
        <v>56</v>
      </c>
      <c r="F64">
        <v>0.82507751998378998</v>
      </c>
      <c r="H64">
        <v>97.892045974731005</v>
      </c>
      <c r="I64">
        <v>56</v>
      </c>
      <c r="J64">
        <v>0.86833466912918</v>
      </c>
      <c r="N64">
        <v>543.07198524474995</v>
      </c>
      <c r="O64">
        <v>54</v>
      </c>
      <c r="P64">
        <v>0.88453320037750005</v>
      </c>
      <c r="S64">
        <v>669.61455345154002</v>
      </c>
      <c r="T64">
        <v>56</v>
      </c>
      <c r="U64">
        <v>0.92841400516521999</v>
      </c>
    </row>
    <row r="65" spans="4:21">
      <c r="D65">
        <v>3394.4776058196999</v>
      </c>
      <c r="E65">
        <v>57</v>
      </c>
      <c r="F65">
        <v>0.88063080109262004</v>
      </c>
      <c r="H65">
        <v>100.34346580505</v>
      </c>
      <c r="I65">
        <v>57</v>
      </c>
      <c r="J65">
        <v>0.86995482347691999</v>
      </c>
      <c r="N65">
        <v>544.41928863525004</v>
      </c>
      <c r="O65">
        <v>55</v>
      </c>
      <c r="P65">
        <v>0.85680779796443995</v>
      </c>
      <c r="S65">
        <v>670.88723182677995</v>
      </c>
      <c r="T65">
        <v>57</v>
      </c>
      <c r="U65">
        <v>0.93529169947254998</v>
      </c>
    </row>
    <row r="66" spans="4:21">
      <c r="D66">
        <v>3888.854265213</v>
      </c>
      <c r="E66">
        <v>58</v>
      </c>
      <c r="F66">
        <v>0.85472299721003997</v>
      </c>
      <c r="H66">
        <v>97.643613815308001</v>
      </c>
      <c r="I66">
        <v>58</v>
      </c>
      <c r="J66">
        <v>0.87177416920709005</v>
      </c>
      <c r="N66">
        <v>539.81804847717001</v>
      </c>
      <c r="O66">
        <v>56</v>
      </c>
      <c r="P66">
        <v>0.87309625628329002</v>
      </c>
      <c r="S66">
        <v>663.19251060485999</v>
      </c>
      <c r="T66">
        <v>58</v>
      </c>
      <c r="U66">
        <v>0.93251631767742005</v>
      </c>
    </row>
    <row r="67" spans="4:21">
      <c r="D67">
        <v>4273.6024856567001</v>
      </c>
      <c r="E67">
        <v>59</v>
      </c>
      <c r="F67">
        <v>0.87800216281468002</v>
      </c>
      <c r="H67">
        <v>97.615242004395</v>
      </c>
      <c r="I67">
        <v>59</v>
      </c>
      <c r="J67">
        <v>0.87293874728875998</v>
      </c>
      <c r="N67">
        <v>542.08612442016999</v>
      </c>
      <c r="O67">
        <v>57</v>
      </c>
      <c r="P67">
        <v>0.88667943107221003</v>
      </c>
      <c r="S67">
        <v>658.01692008971997</v>
      </c>
      <c r="T67">
        <v>59</v>
      </c>
      <c r="U67">
        <v>0.93114333787356995</v>
      </c>
    </row>
    <row r="68" spans="4:21">
      <c r="D68">
        <v>3569.8003768920998</v>
      </c>
      <c r="E68">
        <v>60</v>
      </c>
      <c r="F68">
        <v>0.88272172366132995</v>
      </c>
      <c r="H68">
        <v>100.42190551758</v>
      </c>
      <c r="I68">
        <v>60</v>
      </c>
      <c r="J68">
        <v>0.84555612781871003</v>
      </c>
      <c r="N68">
        <v>542.78993606566996</v>
      </c>
      <c r="O68">
        <v>58</v>
      </c>
      <c r="P68">
        <v>0.88010927734739997</v>
      </c>
      <c r="S68">
        <v>672.32155799865996</v>
      </c>
      <c r="T68">
        <v>60</v>
      </c>
      <c r="U68">
        <v>0.92364230592028995</v>
      </c>
    </row>
    <row r="69" spans="4:21">
      <c r="D69">
        <v>3289.8039817809999</v>
      </c>
      <c r="E69">
        <v>61</v>
      </c>
      <c r="F69">
        <v>0.85764030173088002</v>
      </c>
      <c r="H69">
        <v>97.908496856688998</v>
      </c>
      <c r="I69">
        <v>61</v>
      </c>
      <c r="J69">
        <v>0.88646365076570999</v>
      </c>
      <c r="N69">
        <v>542.83380508422999</v>
      </c>
      <c r="O69">
        <v>59</v>
      </c>
      <c r="P69">
        <v>0.86895728673606998</v>
      </c>
      <c r="S69">
        <v>667.50431060791004</v>
      </c>
      <c r="T69">
        <v>61</v>
      </c>
      <c r="U69">
        <v>0.93254295729190995</v>
      </c>
    </row>
    <row r="70" spans="4:21">
      <c r="D70">
        <v>3246.6745376587</v>
      </c>
      <c r="E70">
        <v>62</v>
      </c>
      <c r="F70">
        <v>0.88448654097000001</v>
      </c>
      <c r="H70">
        <v>97.719430923461999</v>
      </c>
      <c r="I70">
        <v>62</v>
      </c>
      <c r="J70">
        <v>0.87219390148553999</v>
      </c>
      <c r="N70">
        <v>819.29683685302996</v>
      </c>
      <c r="O70">
        <v>60</v>
      </c>
      <c r="P70">
        <v>0.87003360416942999</v>
      </c>
      <c r="S70">
        <v>710.00504493713004</v>
      </c>
      <c r="T70">
        <v>62</v>
      </c>
      <c r="U70">
        <v>0.93387497349850002</v>
      </c>
    </row>
    <row r="71" spans="4:21">
      <c r="D71">
        <v>3481.2021255493</v>
      </c>
      <c r="E71">
        <v>63</v>
      </c>
      <c r="F71">
        <v>0.74675383228132997</v>
      </c>
      <c r="H71">
        <v>95.030307769775007</v>
      </c>
      <c r="I71">
        <v>63</v>
      </c>
      <c r="J71">
        <v>0.86282544340170997</v>
      </c>
      <c r="N71">
        <v>542.23656654358001</v>
      </c>
      <c r="O71">
        <v>61</v>
      </c>
      <c r="P71">
        <v>0.86634108004940003</v>
      </c>
      <c r="S71">
        <v>910.76159477234</v>
      </c>
      <c r="T71">
        <v>63</v>
      </c>
      <c r="U71">
        <v>0.93960805414742998</v>
      </c>
    </row>
    <row r="72" spans="4:21">
      <c r="D72">
        <v>3277.7037620544002</v>
      </c>
      <c r="E72">
        <v>64</v>
      </c>
      <c r="F72">
        <v>0.86916953513066997</v>
      </c>
      <c r="H72">
        <v>89.243650436400998</v>
      </c>
      <c r="I72">
        <v>64</v>
      </c>
      <c r="J72">
        <v>0.83366708771065001</v>
      </c>
      <c r="N72">
        <v>545.40348052979004</v>
      </c>
      <c r="O72">
        <v>62</v>
      </c>
      <c r="P72">
        <v>0.85926217760177004</v>
      </c>
      <c r="S72">
        <v>667.86837577819995</v>
      </c>
      <c r="T72">
        <v>64</v>
      </c>
      <c r="U72">
        <v>0.93017033858390996</v>
      </c>
    </row>
    <row r="73" spans="4:21">
      <c r="D73">
        <v>3110.9869480133002</v>
      </c>
      <c r="E73">
        <v>65</v>
      </c>
      <c r="F73">
        <v>0.79273719865950998</v>
      </c>
      <c r="H73">
        <v>94.491958618164006</v>
      </c>
      <c r="I73">
        <v>65</v>
      </c>
      <c r="J73">
        <v>0.87888160994664999</v>
      </c>
      <c r="N73">
        <v>543.18737983704</v>
      </c>
      <c r="O73">
        <v>63</v>
      </c>
      <c r="P73">
        <v>0.90169775180267997</v>
      </c>
      <c r="S73">
        <v>668.27678680420001</v>
      </c>
      <c r="T73">
        <v>65</v>
      </c>
      <c r="U73">
        <v>0.94048181698832001</v>
      </c>
    </row>
    <row r="74" spans="4:21">
      <c r="D74">
        <v>3065.7901763916002</v>
      </c>
      <c r="E74">
        <v>66</v>
      </c>
      <c r="F74">
        <v>0.87139398829936998</v>
      </c>
      <c r="H74">
        <v>97.698450088501005</v>
      </c>
      <c r="I74">
        <v>66</v>
      </c>
      <c r="J74">
        <v>0.87386546381643004</v>
      </c>
      <c r="N74">
        <v>542.33741760253997</v>
      </c>
      <c r="O74">
        <v>64</v>
      </c>
      <c r="P74">
        <v>0.90239216877256001</v>
      </c>
      <c r="S74">
        <v>664.63446617125999</v>
      </c>
      <c r="T74">
        <v>66</v>
      </c>
      <c r="U74">
        <v>0.93292346100593004</v>
      </c>
    </row>
    <row r="75" spans="4:21">
      <c r="D75">
        <v>3192.3699378966999</v>
      </c>
      <c r="E75">
        <v>67</v>
      </c>
      <c r="F75">
        <v>0.86473061434475995</v>
      </c>
      <c r="H75">
        <v>100.10004043579001</v>
      </c>
      <c r="I75">
        <v>67</v>
      </c>
      <c r="J75">
        <v>0.84814682822523002</v>
      </c>
      <c r="N75">
        <v>543.83754730224996</v>
      </c>
      <c r="O75">
        <v>65</v>
      </c>
      <c r="P75">
        <v>0.85609482436203999</v>
      </c>
      <c r="S75">
        <v>673.00820350646995</v>
      </c>
      <c r="T75">
        <v>67</v>
      </c>
      <c r="U75">
        <v>0.86717501132663</v>
      </c>
    </row>
    <row r="76" spans="4:21">
      <c r="D76">
        <v>3941.5462017058999</v>
      </c>
      <c r="E76">
        <v>68</v>
      </c>
      <c r="F76">
        <v>0.81119273782227996</v>
      </c>
      <c r="H76">
        <v>97.827434539794993</v>
      </c>
      <c r="I76">
        <v>68</v>
      </c>
      <c r="J76">
        <v>0.88010371160611001</v>
      </c>
      <c r="N76">
        <v>541.71037673950002</v>
      </c>
      <c r="O76">
        <v>66</v>
      </c>
      <c r="P76">
        <v>0.87493412522480996</v>
      </c>
      <c r="S76">
        <v>671.62466049193995</v>
      </c>
      <c r="T76">
        <v>68</v>
      </c>
      <c r="U76">
        <v>0.93190389926646999</v>
      </c>
    </row>
    <row r="77" spans="4:21">
      <c r="D77">
        <v>3089.4765853882</v>
      </c>
      <c r="E77">
        <v>69</v>
      </c>
      <c r="F77">
        <v>0.79856400370894998</v>
      </c>
      <c r="H77">
        <v>92.527389526367003</v>
      </c>
      <c r="I77">
        <v>69</v>
      </c>
      <c r="J77">
        <v>0.83444525424678995</v>
      </c>
      <c r="N77">
        <v>543.21789741516</v>
      </c>
      <c r="O77">
        <v>67</v>
      </c>
      <c r="P77">
        <v>0.87043180133431997</v>
      </c>
      <c r="S77">
        <v>672.44291305542004</v>
      </c>
      <c r="T77">
        <v>69</v>
      </c>
      <c r="U77">
        <v>0.91866366480959005</v>
      </c>
    </row>
    <row r="78" spans="4:21">
      <c r="D78">
        <v>3226.0813713073999</v>
      </c>
      <c r="E78">
        <v>70</v>
      </c>
      <c r="F78">
        <v>0.87184707167729003</v>
      </c>
      <c r="H78">
        <v>100.55470466614</v>
      </c>
      <c r="I78">
        <v>70</v>
      </c>
      <c r="J78">
        <v>0.82503758988461995</v>
      </c>
      <c r="N78">
        <v>542.15979576110999</v>
      </c>
      <c r="O78">
        <v>68</v>
      </c>
      <c r="P78">
        <v>0.88398489753595999</v>
      </c>
      <c r="S78">
        <v>661.94677352905001</v>
      </c>
      <c r="T78">
        <v>70</v>
      </c>
      <c r="U78">
        <v>0.91008285490605001</v>
      </c>
    </row>
    <row r="79" spans="4:21">
      <c r="D79">
        <v>3137.8042697905998</v>
      </c>
      <c r="E79">
        <v>71</v>
      </c>
      <c r="F79">
        <v>0.89677423934803002</v>
      </c>
      <c r="H79">
        <v>87.435960769652993</v>
      </c>
      <c r="I79">
        <v>71</v>
      </c>
      <c r="J79">
        <v>0.83719396587256001</v>
      </c>
      <c r="N79">
        <v>542.25802421569995</v>
      </c>
      <c r="O79">
        <v>69</v>
      </c>
      <c r="P79">
        <v>0.87814130898775999</v>
      </c>
      <c r="S79">
        <v>656.63456916809002</v>
      </c>
      <c r="T79">
        <v>71</v>
      </c>
      <c r="U79">
        <v>0.90980320164488004</v>
      </c>
    </row>
    <row r="80" spans="4:21">
      <c r="D80">
        <v>3065.8965110779</v>
      </c>
      <c r="E80">
        <v>72</v>
      </c>
      <c r="F80">
        <v>0.87852088592639999</v>
      </c>
      <c r="H80">
        <v>99.454164505004996</v>
      </c>
      <c r="I80">
        <v>72</v>
      </c>
      <c r="J80">
        <v>0.79851283427678998</v>
      </c>
      <c r="N80">
        <v>543.82252693175997</v>
      </c>
      <c r="O80">
        <v>70</v>
      </c>
      <c r="P80">
        <v>0.89756951682161001</v>
      </c>
      <c r="S80">
        <v>669.48175430297999</v>
      </c>
      <c r="T80">
        <v>72</v>
      </c>
      <c r="U80">
        <v>0.9272468437418</v>
      </c>
    </row>
    <row r="81" spans="4:21">
      <c r="D81">
        <v>3223.2494354248001</v>
      </c>
      <c r="E81">
        <v>73</v>
      </c>
      <c r="F81">
        <v>0.86827983217875004</v>
      </c>
      <c r="H81">
        <v>99.795341491699006</v>
      </c>
      <c r="I81">
        <v>73</v>
      </c>
      <c r="J81">
        <v>0.85758884559409998</v>
      </c>
      <c r="N81">
        <v>543.02239418030001</v>
      </c>
      <c r="O81">
        <v>71</v>
      </c>
      <c r="P81">
        <v>0.88139860620591004</v>
      </c>
      <c r="S81">
        <v>653.69105339049997</v>
      </c>
      <c r="T81">
        <v>73</v>
      </c>
      <c r="U81">
        <v>0.92743547689571004</v>
      </c>
    </row>
    <row r="82" spans="4:21">
      <c r="D82">
        <v>3120.7485198975</v>
      </c>
      <c r="E82">
        <v>74</v>
      </c>
      <c r="F82">
        <v>0.87026399767913998</v>
      </c>
      <c r="H82">
        <v>100.02827644348</v>
      </c>
      <c r="I82">
        <v>74</v>
      </c>
      <c r="J82">
        <v>0.87673527139897001</v>
      </c>
      <c r="N82">
        <v>988.26074600219999</v>
      </c>
      <c r="O82">
        <v>72</v>
      </c>
      <c r="P82">
        <v>0.91035747736496997</v>
      </c>
      <c r="S82">
        <v>664.55459594726995</v>
      </c>
      <c r="T82">
        <v>74</v>
      </c>
      <c r="U82">
        <v>0.91413769034908998</v>
      </c>
    </row>
    <row r="83" spans="4:21">
      <c r="D83" s="6">
        <f>AVERAGE(D8:D82)</f>
        <v>3332.6216475168872</v>
      </c>
      <c r="E83" s="6" t="s">
        <v>7</v>
      </c>
      <c r="F83" s="6">
        <f>AVERAGE(F8:F82)</f>
        <v>0.84591680100973643</v>
      </c>
      <c r="H83" s="6">
        <f>AVERAGE(H8:H82)</f>
        <v>107.97236124674484</v>
      </c>
      <c r="I83" s="6" t="s">
        <v>7</v>
      </c>
      <c r="J83" s="6">
        <f>AVERAGE(J8:J82)</f>
        <v>0.84589795579056815</v>
      </c>
      <c r="N83">
        <v>543.17903518676997</v>
      </c>
      <c r="O83">
        <v>73</v>
      </c>
      <c r="P83">
        <v>0.84953792177500997</v>
      </c>
      <c r="S83" s="6">
        <f>AVERAGE(S8:S82)</f>
        <v>693.06741396586051</v>
      </c>
      <c r="T83" s="6" t="s">
        <v>7</v>
      </c>
      <c r="U83" s="6">
        <f>AVERAGE(U8:U82)</f>
        <v>0.92680906819252484</v>
      </c>
    </row>
    <row r="84" spans="4:21">
      <c r="N84">
        <v>545.41444778441996</v>
      </c>
      <c r="O84">
        <v>74</v>
      </c>
      <c r="P84">
        <v>0.83493774000345999</v>
      </c>
    </row>
    <row r="85" spans="4:21">
      <c r="D85">
        <f>STDEVA(D6:D80)</f>
        <v>532.00219491260566</v>
      </c>
      <c r="F85">
        <f>STDEVA(Tabella4[iou])</f>
        <v>5.6089887881244506E-2</v>
      </c>
      <c r="H85">
        <f>STDEVA(Tabella4[time])</f>
        <v>50.682019810204459</v>
      </c>
      <c r="J85">
        <f>STDEVA(Tabella4[iou])</f>
        <v>5.6089887881244506E-2</v>
      </c>
      <c r="N85" s="6">
        <f>AVERAGE(N10:N84)</f>
        <v>576.84769312540732</v>
      </c>
      <c r="O85" t="s">
        <v>7</v>
      </c>
      <c r="P85" s="6">
        <f>AVERAGE(P10:P84)</f>
        <v>0.85368773871762182</v>
      </c>
      <c r="S85">
        <f>STDEVA(Tabella2[time])</f>
        <v>79.230908298134267</v>
      </c>
      <c r="U85">
        <f>STDEVA(Tabella2[iou])</f>
        <v>1.333496424414842E-2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Marco De Zen</cp:lastModifiedBy>
  <dcterms:created xsi:type="dcterms:W3CDTF">2025-06-11T09:10:40Z</dcterms:created>
  <dcterms:modified xsi:type="dcterms:W3CDTF">2025-06-20T12:14:08Z</dcterms:modified>
  <cp:category/>
</cp:coreProperties>
</file>