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 - Politecnico di Milano\Documenti\POLIMI\Tesi\distillation\RISULTATI DECOUPLED\"/>
    </mc:Choice>
  </mc:AlternateContent>
  <xr:revisionPtr revIDLastSave="0" documentId="13_ncr:1_{773644FE-DFE0-4D43-95B8-FEAD44EF3D89}" xr6:coauthVersionLast="47" xr6:coauthVersionMax="47" xr10:uidLastSave="{00000000-0000-0000-0000-000000000000}"/>
  <bookViews>
    <workbookView minimized="1" xWindow="9480" yWindow="-14490" windowWidth="17280" windowHeight="8880" firstSheet="2" activeTab="2" xr2:uid="{00000000-000D-0000-FFFF-FFFF00000000}"/>
  </bookViews>
  <sheets>
    <sheet name="TimeDfBBoxStudent" sheetId="2" r:id="rId1"/>
    <sheet name="TimeDfBBoxStudent (2)" sheetId="3" r:id="rId2"/>
    <sheet name="Worksheet" sheetId="1" r:id="rId3"/>
  </sheets>
  <definedNames>
    <definedName name="DatiEsterni_1" localSheetId="0" hidden="1">TimeDfBBoxStudent!$A$1:$F$77</definedName>
    <definedName name="DatiEsterni_1" localSheetId="1" hidden="1">'TimeDfBBoxStudent (2)'!$A$1:$F$77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1" l="1"/>
  <c r="F87" i="1"/>
  <c r="G87" i="1"/>
  <c r="G85" i="1"/>
  <c r="F85" i="1"/>
  <c r="E85" i="1"/>
  <c r="D85" i="1"/>
  <c r="M85" i="1" l="1"/>
  <c r="L85" i="1"/>
  <c r="K85" i="1"/>
  <c r="M83" i="1"/>
  <c r="L83" i="1"/>
  <c r="K83" i="1"/>
  <c r="B85" i="1"/>
  <c r="D87" i="1"/>
  <c r="B87" i="1"/>
  <c r="J85" i="1"/>
  <c r="H85" i="1"/>
  <c r="S85" i="1"/>
  <c r="U85" i="1"/>
  <c r="J83" i="1"/>
  <c r="H83" i="1"/>
  <c r="P85" i="1"/>
  <c r="N85" i="1"/>
  <c r="U83" i="1"/>
  <c r="S8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67C557-005E-46DD-8464-AD5DC816D617}" keepAlive="1" name="Query - TimeDfBBoxStudent" description="Connessione alla query 'TimeDfBBoxStudent' nella cartella di lavoro." type="5" refreshedVersion="8" background="1" saveData="1">
    <dbPr connection="Provider=Microsoft.Mashup.OleDb.1;Data Source=$Workbook$;Location=TimeDfBBoxStudent;Extended Properties=&quot;&quot;" command="SELECT * FROM [TimeDfBBoxStudent]"/>
  </connection>
  <connection id="2" xr16:uid="{4E02894D-1FA5-4A8F-AD80-898AF7B5750A}" keepAlive="1" name="Query - TimeDfBBoxStudent (2)" description="Connessione alla query 'TimeDfBBoxStudent (2)' nella cartella di lavoro." type="5" refreshedVersion="8" background="1" saveData="1">
    <dbPr connection="Provider=Microsoft.Mashup.OleDb.1;Data Source=$Workbook$;Location=&quot;TimeDfBBoxStudent (2)&quot;;Extended Properties=&quot;&quot;" command="SELECT * FROM [TimeDfBBoxStudent (2)]"/>
  </connection>
</connections>
</file>

<file path=xl/sharedStrings.xml><?xml version="1.0" encoding="utf-8"?>
<sst xmlns="http://schemas.openxmlformats.org/spreadsheetml/2006/main" count="650" uniqueCount="544">
  <si>
    <t>time</t>
  </si>
  <si>
    <t>index</t>
  </si>
  <si>
    <t>iou</t>
  </si>
  <si>
    <t>SAM VITH</t>
  </si>
  <si>
    <t>sam_vit_h_4b8939.pth</t>
  </si>
  <si>
    <t>CPU</t>
  </si>
  <si>
    <t>GPU</t>
  </si>
  <si>
    <t>MEDIA</t>
  </si>
  <si>
    <t xml:space="preserve">STUDENT CON REFINING MASCHERE e input(bbox+centroids), in questo cso vengon usate piu di 3 bounding box per risolvere i casi in cui la bbox non comprendesse tutte le parti dello strumento  </t>
  </si>
  <si>
    <t>STUDENT VS TEACHER</t>
  </si>
  <si>
    <t>MODELLO CMT DISTILLATO</t>
  </si>
  <si>
    <t>Column1</t>
  </si>
  <si>
    <t>Column2</t>
  </si>
  <si>
    <t>Column3</t>
  </si>
  <si>
    <t>Column4</t>
  </si>
  <si>
    <t>Column5</t>
  </si>
  <si>
    <t>Column6</t>
  </si>
  <si>
    <t>dice</t>
  </si>
  <si>
    <t>sensitivity</t>
  </si>
  <si>
    <t>specificity</t>
  </si>
  <si>
    <t>547.3673343658447</t>
  </si>
  <si>
    <t>0.0</t>
  </si>
  <si>
    <t>0.8767352713989734</t>
  </si>
  <si>
    <t>0.93431959718584</t>
  </si>
  <si>
    <t>0.9613551808754849</t>
  </si>
  <si>
    <t>0.9867790155771887</t>
  </si>
  <si>
    <t>121.23703956604004</t>
  </si>
  <si>
    <t>1.0</t>
  </si>
  <si>
    <t>0.8371939658725579</t>
  </si>
  <si>
    <t>0.9113833176291112</t>
  </si>
  <si>
    <t>0.9453037739042139</t>
  </si>
  <si>
    <t>0.9835973069531684</t>
  </si>
  <si>
    <t>121.39773368835449</t>
  </si>
  <si>
    <t>2.0</t>
  </si>
  <si>
    <t>0.8690775643994727</t>
  </si>
  <si>
    <t>0.929953449715399</t>
  </si>
  <si>
    <t>0.9535581929915091</t>
  </si>
  <si>
    <t>0.9864957628867547</t>
  </si>
  <si>
    <t>100.71611404418945</t>
  </si>
  <si>
    <t>3.0</t>
  </si>
  <si>
    <t>0.837327813323297</t>
  </si>
  <si>
    <t>0.9114626222402484</t>
  </si>
  <si>
    <t>0.9484665296760827</t>
  </si>
  <si>
    <t>0.9832845302176652</t>
  </si>
  <si>
    <t>112.47992515563965</t>
  </si>
  <si>
    <t>4.0</t>
  </si>
  <si>
    <t>0.8794746686183622</t>
  </si>
  <si>
    <t>0.9358728620321133</t>
  </si>
  <si>
    <t>0.9586317543610835</t>
  </si>
  <si>
    <t>0.9891489270753184</t>
  </si>
  <si>
    <t>110.04185676574707</t>
  </si>
  <si>
    <t>5.0</t>
  </si>
  <si>
    <t>0.8779745625781953</t>
  </si>
  <si>
    <t>0.9350228486299191</t>
  </si>
  <si>
    <t>0.9574702950271167</t>
  </si>
  <si>
    <t>0.9853709601484395</t>
  </si>
  <si>
    <t>109.85827445983887</t>
  </si>
  <si>
    <t>6.0</t>
  </si>
  <si>
    <t>0.8683346691291772</t>
  </si>
  <si>
    <t>0.9295279732018293</t>
  </si>
  <si>
    <t>0.9448097003890166</t>
  </si>
  <si>
    <t>0.9873307116247866</t>
  </si>
  <si>
    <t>107.02133178710938</t>
  </si>
  <si>
    <t>7.0</t>
  </si>
  <si>
    <t>0.8913655997025086</t>
  </si>
  <si>
    <t>0.9425629818399053</t>
  </si>
  <si>
    <t>0.9615295606023204</t>
  </si>
  <si>
    <t>0.988895950134067</t>
  </si>
  <si>
    <t>109.4355583190918</t>
  </si>
  <si>
    <t>8.0</t>
  </si>
  <si>
    <t>0.8843648208469055</t>
  </si>
  <si>
    <t>0.9386343993085566</t>
  </si>
  <si>
    <t>0.9465919204337973</t>
  </si>
  <si>
    <t>0.991837885875147</t>
  </si>
  <si>
    <t>109.1470718383789</t>
  </si>
  <si>
    <t>9.0</t>
  </si>
  <si>
    <t>0.8250375898846205</t>
  </si>
  <si>
    <t>0.9041321608469223</t>
  </si>
  <si>
    <t>0.9497336466199128</t>
  </si>
  <si>
    <t>0.9820152176464939</t>
  </si>
  <si>
    <t>102.33235359191895</t>
  </si>
  <si>
    <t>10.0</t>
  </si>
  <si>
    <t>0.8318072857311274</t>
  </si>
  <si>
    <t>0.9081820912172309</t>
  </si>
  <si>
    <t>0.9457364341085271</t>
  </si>
  <si>
    <t>0.9872144309472916</t>
  </si>
  <si>
    <t>105.88836669921875</t>
  </si>
  <si>
    <t>11.0</t>
  </si>
  <si>
    <t>0.871335395373857</t>
  </si>
  <si>
    <t>0.9312444979429043</t>
  </si>
  <si>
    <t>0.9313147719595809</t>
  </si>
  <si>
    <t>0.9894681747108641</t>
  </si>
  <si>
    <t>90.98052978515625</t>
  </si>
  <si>
    <t>12.0</t>
  </si>
  <si>
    <t>0.5230792908413884</t>
  </si>
  <si>
    <t>0.6868707282500386</t>
  </si>
  <si>
    <t>0.9689487230251436</t>
  </si>
  <si>
    <t>0.8832962340927745</t>
  </si>
  <si>
    <t>97.1534252166748</t>
  </si>
  <si>
    <t>13.0</t>
  </si>
  <si>
    <t>0.870293676064204</t>
  </si>
  <si>
    <t>0.930649220710222</t>
  </si>
  <si>
    <t>0.9570717544587308</t>
  </si>
  <si>
    <t>0.9864591141286216</t>
  </si>
  <si>
    <t>98.05464744567871</t>
  </si>
  <si>
    <t>14.0</t>
  </si>
  <si>
    <t>0.845556127818707</t>
  </si>
  <si>
    <t>0.9163158086317144</t>
  </si>
  <si>
    <t>0.964889865590024</t>
  </si>
  <si>
    <t>0.9822063330806058</t>
  </si>
  <si>
    <t>98.53148460388184</t>
  </si>
  <si>
    <t>15.0</t>
  </si>
  <si>
    <t>0.8763631026638291</t>
  </si>
  <si>
    <t>0.9341082239569483</t>
  </si>
  <si>
    <t>0.9579970800109099</t>
  </si>
  <si>
    <t>0.9874317850718354</t>
  </si>
  <si>
    <t>98.96612167358398</t>
  </si>
  <si>
    <t>16.0</t>
  </si>
  <si>
    <t>0.880622789756856</t>
  </si>
  <si>
    <t>0.9365225121734391</t>
  </si>
  <si>
    <t>0.9387927240721725</t>
  </si>
  <si>
    <t>0.9901275547117193</t>
  </si>
  <si>
    <t>97.43547439575195</t>
  </si>
  <si>
    <t>17.0</t>
  </si>
  <si>
    <t>0.870206469971344</t>
  </si>
  <si>
    <t>0.9305993578181533</t>
  </si>
  <si>
    <t>0.957341583321698</t>
  </si>
  <si>
    <t>0.9850673154373448</t>
  </si>
  <si>
    <t>99.00474548339844</t>
  </si>
  <si>
    <t>18.0</t>
  </si>
  <si>
    <t>0.8864636507657102</t>
  </si>
  <si>
    <t>0.939815246804143</t>
  </si>
  <si>
    <t>0.9387713888478955</t>
  </si>
  <si>
    <t>0.9917408561808772</t>
  </si>
  <si>
    <t>97.32747077941895</t>
  </si>
  <si>
    <t>19.0</t>
  </si>
  <si>
    <t>0.8788816099466492</t>
  </si>
  <si>
    <t>0.9355369761393375</t>
  </si>
  <si>
    <t>0.9541430492644571</t>
  </si>
  <si>
    <t>0.988808171037975</t>
  </si>
  <si>
    <t>97.81146049499512</t>
  </si>
  <si>
    <t>20.0</t>
  </si>
  <si>
    <t>0.8825765840821481</t>
  </si>
  <si>
    <t>0.9376262209406467</t>
  </si>
  <si>
    <t>0.9495152123035774</t>
  </si>
  <si>
    <t>0.9882576963190488</t>
  </si>
  <si>
    <t>97.37610816955566</t>
  </si>
  <si>
    <t>21.0</t>
  </si>
  <si>
    <t>0.8816373042234006</t>
  </si>
  <si>
    <t>0.9370959028549604</t>
  </si>
  <si>
    <t>0.9541855282889297</t>
  </si>
  <si>
    <t>0.9870367712806474</t>
  </si>
  <si>
    <t>97.22185134887695</t>
  </si>
  <si>
    <t>22.0</t>
  </si>
  <si>
    <t>0.8753468738105948</t>
  </si>
  <si>
    <t>0.9335306294903634</t>
  </si>
  <si>
    <t>0.9559913841968031</t>
  </si>
  <si>
    <t>0.9866959305263456</t>
  </si>
  <si>
    <t>99.365234375</t>
  </si>
  <si>
    <t>23.0</t>
  </si>
  <si>
    <t>0.8844013309520458</t>
  </si>
  <si>
    <t>0.9386549631709552</t>
  </si>
  <si>
    <t>0.953256545840855</t>
  </si>
  <si>
    <t>0.9894442386791166</t>
  </si>
  <si>
    <t>97.3672866821289</t>
  </si>
  <si>
    <t>24.0</t>
  </si>
  <si>
    <t>0.8747873101693567</t>
  </si>
  <si>
    <t>0.9332123227251137</t>
  </si>
  <si>
    <t>0.9507933215804211</t>
  </si>
  <si>
    <t>0.9892223913556161</t>
  </si>
  <si>
    <t>97.35918045043945</t>
  </si>
  <si>
    <t>25.0</t>
  </si>
  <si>
    <t>0.8594670299100206</t>
  </si>
  <si>
    <t>0.9244229836671103</t>
  </si>
  <si>
    <t>0.9488689316275524</t>
  </si>
  <si>
    <t>0.9897060426431009</t>
  </si>
  <si>
    <t>93.58620643615723</t>
  </si>
  <si>
    <t>26.0</t>
  </si>
  <si>
    <t>0.8595582290915097</t>
  </si>
  <si>
    <t>0.9244757336923494</t>
  </si>
  <si>
    <t>0.9496192149970709</t>
  </si>
  <si>
    <t>0.9884482910141257</t>
  </si>
  <si>
    <t>94.451904296875</t>
  </si>
  <si>
    <t>27.0</t>
  </si>
  <si>
    <t>0.8628254434017137</t>
  </si>
  <si>
    <t>0.926362098454168</t>
  </si>
  <si>
    <t>0.9559020130226117</t>
  </si>
  <si>
    <t>0.9881262286907834</t>
  </si>
  <si>
    <t>94.52557563781738</t>
  </si>
  <si>
    <t>28.0</t>
  </si>
  <si>
    <t>0.8285924377878401</t>
  </si>
  <si>
    <t>0.9062625664035218</t>
  </si>
  <si>
    <t>0.9629612971417005</t>
  </si>
  <si>
    <t>0.9763618979976507</t>
  </si>
  <si>
    <t>99.45249557495117</t>
  </si>
  <si>
    <t>29.0</t>
  </si>
  <si>
    <t>0.8717741692070871</t>
  </si>
  <si>
    <t>0.9314950313438551</t>
  </si>
  <si>
    <t>0.9472160958932188</t>
  </si>
  <si>
    <t>0.9886089787795689</t>
  </si>
  <si>
    <t>94.44355964660645</t>
  </si>
  <si>
    <t>30.0</t>
  </si>
  <si>
    <t>0.8785052539949014</t>
  </si>
  <si>
    <t>0.9353237124321462</t>
  </si>
  <si>
    <t>0.962380715604204</t>
  </si>
  <si>
    <t>0.9844560045155989</t>
  </si>
  <si>
    <t>97.18608856201172</t>
  </si>
  <si>
    <t>31.0</t>
  </si>
  <si>
    <t>0.8552935903182429</t>
  </si>
  <si>
    <t>0.9220034982943399</t>
  </si>
  <si>
    <t>0.9560973654410807</t>
  </si>
  <si>
    <t>0.9876041724854999</t>
  </si>
  <si>
    <t>95.06964683532715</t>
  </si>
  <si>
    <t>32.0</t>
  </si>
  <si>
    <t>0.8718077706075159</t>
  </si>
  <si>
    <t>0.9315142124071438</t>
  </si>
  <si>
    <t>0.9401563056266635</t>
  </si>
  <si>
    <t>0.9900612721657593</t>
  </si>
  <si>
    <t>98.89554977416992</t>
  </si>
  <si>
    <t>33.0</t>
  </si>
  <si>
    <t>0.8111844172164625</t>
  </si>
  <si>
    <t>0.8957502168256721</t>
  </si>
  <si>
    <t>0.9560928722809173</t>
  </si>
  <si>
    <t>0.9753984434421347</t>
  </si>
  <si>
    <t>101.3650894165039</t>
  </si>
  <si>
    <t>34.0</t>
  </si>
  <si>
    <t>0.8693028045888919</t>
  </si>
  <si>
    <t>0.9300823841432946</t>
  </si>
  <si>
    <t>0.9535686137139855</t>
  </si>
  <si>
    <t>0.9881537180565634</t>
  </si>
  <si>
    <t>97.69511222839355</t>
  </si>
  <si>
    <t>35.0</t>
  </si>
  <si>
    <t>0.8927176254731587</t>
  </si>
  <si>
    <t>0.9433183412660291</t>
  </si>
  <si>
    <t>0.9514587052522785</t>
  </si>
  <si>
    <t>0.9872422257847084</t>
  </si>
  <si>
    <t>99.12562370300293</t>
  </si>
  <si>
    <t>36.0</t>
  </si>
  <si>
    <t>0.8760031981655805</t>
  </si>
  <si>
    <t>0.9339037364351682</t>
  </si>
  <si>
    <t>0.9308236086175943</t>
  </si>
  <si>
    <t>0.9915480272957151</t>
  </si>
  <si>
    <t>99.58148002624512</t>
  </si>
  <si>
    <t>37.0</t>
  </si>
  <si>
    <t>0.8209888363364801</t>
  </si>
  <si>
    <t>0.9016956281710876</t>
  </si>
  <si>
    <t>0.954697276715135</t>
  </si>
  <si>
    <t>0.9847427609469751</t>
  </si>
  <si>
    <t>97.20587730407715</t>
  </si>
  <si>
    <t>38.0</t>
  </si>
  <si>
    <t>0.8777984055913509</t>
  </si>
  <si>
    <t>0.9349229427159058</t>
  </si>
  <si>
    <t>0.9487065553966425</t>
  </si>
  <si>
    <t>0.9871371368051456</t>
  </si>
  <si>
    <t>97.31125831604004</t>
  </si>
  <si>
    <t>39.0</t>
  </si>
  <si>
    <t>0.8224154281618973</t>
  </si>
  <si>
    <t>0.9025553838637023</t>
  </si>
  <si>
    <t>0.9431171030566671</t>
  </si>
  <si>
    <t>0.9809517755285427</t>
  </si>
  <si>
    <t>97.70035743713379</t>
  </si>
  <si>
    <t>40.0</t>
  </si>
  <si>
    <t>0.8677829601089255</t>
  </si>
  <si>
    <t>0.9292117752892639</t>
  </si>
  <si>
    <t>0.9478130636094206</t>
  </si>
  <si>
    <t>0.9908321039922916</t>
  </si>
  <si>
    <t>94.2838191986084</t>
  </si>
  <si>
    <t>41.0</t>
  </si>
  <si>
    <t>0.8344452542467904</t>
  </si>
  <si>
    <t>0.9097521469392744</t>
  </si>
  <si>
    <t>0.950735376311461</t>
  </si>
  <si>
    <t>0.9810967645510725</t>
  </si>
  <si>
    <t>99.46918487548828</t>
  </si>
  <si>
    <t>42.0</t>
  </si>
  <si>
    <t>0.746694214876033</t>
  </si>
  <si>
    <t>0.8549798911757748</t>
  </si>
  <si>
    <t>0.939748669118829</t>
  </si>
  <si>
    <t>0.9709986752494382</t>
  </si>
  <si>
    <t>99.08914566040039</t>
  </si>
  <si>
    <t>43.0</t>
  </si>
  <si>
    <t>0.8084976621264485</t>
  </si>
  <si>
    <t>0.8941097122302158</t>
  </si>
  <si>
    <t>0.9618826488656702</t>
  </si>
  <si>
    <t>0.969625995032444</t>
  </si>
  <si>
    <t>44.0</t>
  </si>
  <si>
    <t>0.8575888455941035</t>
  </si>
  <si>
    <t>0.9233354815067542</t>
  </si>
  <si>
    <t>0.9461185874472364</t>
  </si>
  <si>
    <t>0.9871784837825349</t>
  </si>
  <si>
    <t>92.33808517456055</t>
  </si>
  <si>
    <t>45.0</t>
  </si>
  <si>
    <t>0.8271714849946583</t>
  </si>
  <si>
    <t>0.9054119898298177</t>
  </si>
  <si>
    <t>0.9592738945570249</t>
  </si>
  <si>
    <t>0.981938038395601</t>
  </si>
  <si>
    <t>89.3716812133789</t>
  </si>
  <si>
    <t>46.0</t>
  </si>
  <si>
    <t>0.6256821066792089</t>
  </si>
  <si>
    <t>0.7697471776413823</t>
  </si>
  <si>
    <t>0.9668339038151952</t>
  </si>
  <si>
    <t>0.9242125364159137</t>
  </si>
  <si>
    <t>97.41640090942383</t>
  </si>
  <si>
    <t>47.0</t>
  </si>
  <si>
    <t>0.833316017091131</t>
  </si>
  <si>
    <t>0.9090806051139282</t>
  </si>
  <si>
    <t>0.9077848123651541</t>
  </si>
  <si>
    <t>0.9860749042945908</t>
  </si>
  <si>
    <t>99.38549995422363</t>
  </si>
  <si>
    <t>48.0</t>
  </si>
  <si>
    <t>0.8014387501715768</t>
  </si>
  <si>
    <t>0.8897762969684585</t>
  </si>
  <si>
    <t>0.9334026072170791</t>
  </si>
  <si>
    <t>0.9751250880940724</t>
  </si>
  <si>
    <t>97.46289253234863</t>
  </si>
  <si>
    <t>49.0</t>
  </si>
  <si>
    <t>0.798512834276791</t>
  </si>
  <si>
    <t>0.887970126271448</t>
  </si>
  <si>
    <t>0.9374328640380402</t>
  </si>
  <si>
    <t>0.9732719867449122</t>
  </si>
  <si>
    <t>97.97406196594238</t>
  </si>
  <si>
    <t>50.0</t>
  </si>
  <si>
    <t>0.8699548234769191</t>
  </si>
  <si>
    <t>0.9304554447570663</t>
  </si>
  <si>
    <t>0.9506628066433034</t>
  </si>
  <si>
    <t>0.9903876412831494</t>
  </si>
  <si>
    <t>95.65925598144531</t>
  </si>
  <si>
    <t>51.0</t>
  </si>
  <si>
    <t>0.8738553556458374</t>
  </si>
  <si>
    <t>0.9326817601080603</t>
  </si>
  <si>
    <t>0.9440075933714743</t>
  </si>
  <si>
    <t>0.99012679131963</t>
  </si>
  <si>
    <t>99.55239295959473</t>
  </si>
  <si>
    <t>52.0</t>
  </si>
  <si>
    <t>0.8738654638164346</t>
  </si>
  <si>
    <t>0.9326875175303825</t>
  </si>
  <si>
    <t>0.932230906991146</t>
  </si>
  <si>
    <t>0.9914098002113915</t>
  </si>
  <si>
    <t>100.80242156982422</t>
  </si>
  <si>
    <t>53.0</t>
  </si>
  <si>
    <t>0.8721939014855355</t>
  </si>
  <si>
    <t>0.9317345823992623</t>
  </si>
  <si>
    <t>0.9454848727302315</t>
  </si>
  <si>
    <t>0.9862467178784899</t>
  </si>
  <si>
    <t>99.35116767883301</t>
  </si>
  <si>
    <t>54.0</t>
  </si>
  <si>
    <t>0.7927139073563592</t>
  </si>
  <si>
    <t>0.8843730213766696</t>
  </si>
  <si>
    <t>0.9563327319755689</t>
  </si>
  <si>
    <t>0.9801455629640317</t>
  </si>
  <si>
    <t>94.27428245544434</t>
  </si>
  <si>
    <t>55.0</t>
  </si>
  <si>
    <t>0.7430127664441236</t>
  </si>
  <si>
    <t>0.8525614737291055</t>
  </si>
  <si>
    <t>0.9590264515117126</t>
  </si>
  <si>
    <t>0.9664843983496936</t>
  </si>
  <si>
    <t>92.11897850036621</t>
  </si>
  <si>
    <t>56.0</t>
  </si>
  <si>
    <t>0.7877269453344261</t>
  </si>
  <si>
    <t>0.8812609189453905</t>
  </si>
  <si>
    <t>0.9574789243692405</t>
  </si>
  <si>
    <t>0.968831222702895</t>
  </si>
  <si>
    <t>99.39885139465332</t>
  </si>
  <si>
    <t>57.0</t>
  </si>
  <si>
    <t>0.8672487203115646</t>
  </si>
  <si>
    <t>0.9289054113442987</t>
  </si>
  <si>
    <t>0.9630921612859853</t>
  </si>
  <si>
    <t>0.9838253332779419</t>
  </si>
  <si>
    <t>99.16925430297852</t>
  </si>
  <si>
    <t>58.0</t>
  </si>
  <si>
    <t>0.8546979068466273</t>
  </si>
  <si>
    <t>0.9216572722614345</t>
  </si>
  <si>
    <t>0.9648295552863817</t>
  </si>
  <si>
    <t>0.9840374449622507</t>
  </si>
  <si>
    <t>97.21899032592773</t>
  </si>
  <si>
    <t>59.0</t>
  </si>
  <si>
    <t>0.8672438273312312</t>
  </si>
  <si>
    <t>0.928902604616714</t>
  </si>
  <si>
    <t>0.9480819239220272</t>
  </si>
  <si>
    <t>0.9902587211200785</t>
  </si>
  <si>
    <t>97.5027084350586</t>
  </si>
  <si>
    <t>60.0</t>
  </si>
  <si>
    <t>0.831091466875865</t>
  </si>
  <si>
    <t>0.9077552726449433</t>
  </si>
  <si>
    <t>0.9533167016614601</t>
  </si>
  <si>
    <t>0.9779556503039295</t>
  </si>
  <si>
    <t>99.17402267456055</t>
  </si>
  <si>
    <t>61.0</t>
  </si>
  <si>
    <t>0.8967566071086313</t>
  </si>
  <si>
    <t>0.945568454853704</t>
  </si>
  <si>
    <t>0.9539584969491935</t>
  </si>
  <si>
    <t>0.9907799142500371</t>
  </si>
  <si>
    <t>99.56932067871094</t>
  </si>
  <si>
    <t>62.0</t>
  </si>
  <si>
    <t>0.8651199566902211</t>
  </si>
  <si>
    <t>0.9276829123907223</t>
  </si>
  <si>
    <t>0.9624144161278052</t>
  </si>
  <si>
    <t>0.9846137834134157</t>
  </si>
  <si>
    <t>97.40614891052246</t>
  </si>
  <si>
    <t>63.0</t>
  </si>
  <si>
    <t>0.880103711606112</t>
  </si>
  <si>
    <t>0.9362288964945107</t>
  </si>
  <si>
    <t>0.951111305692979</t>
  </si>
  <si>
    <t>0.9878698452053142</t>
  </si>
  <si>
    <t>87.24474906921387</t>
  </si>
  <si>
    <t>64.0</t>
  </si>
  <si>
    <t>0.8336670877106503</t>
  </si>
  <si>
    <t>0.9092894705892236</t>
  </si>
  <si>
    <t>0.9400892841633518</t>
  </si>
  <si>
    <t>0.9842539086688136</t>
  </si>
  <si>
    <t>97.81336784362793</t>
  </si>
  <si>
    <t>65.0</t>
  </si>
  <si>
    <t>0.8906189370903678</t>
  </si>
  <si>
    <t>0.9421453679724757</t>
  </si>
  <si>
    <t>0.950136982177264</t>
  </si>
  <si>
    <t>0.9903037199468828</t>
  </si>
  <si>
    <t>101.65524482727051</t>
  </si>
  <si>
    <t>66.0</t>
  </si>
  <si>
    <t>0.8810020045400841</t>
  </si>
  <si>
    <t>0.9367369119369909</t>
  </si>
  <si>
    <t>0.9515445662381979</t>
  </si>
  <si>
    <t>0.9877140471704028</t>
  </si>
  <si>
    <t>97.08285331726074</t>
  </si>
  <si>
    <t>67.0</t>
  </si>
  <si>
    <t>0.808241948343036</t>
  </si>
  <si>
    <t>0.8939533219917393</t>
  </si>
  <si>
    <t>0.9404037840534178</t>
  </si>
  <si>
    <t>0.9800012201556876</t>
  </si>
  <si>
    <t>94.38347816467285</t>
  </si>
  <si>
    <t>68.0</t>
  </si>
  <si>
    <t>0.82472539959094</t>
  </si>
  <si>
    <t>0.9039446700044005</t>
  </si>
  <si>
    <t>0.9455701369648859</t>
  </si>
  <si>
    <t>0.9819259360835279</t>
  </si>
  <si>
    <t>99.49827194213867</t>
  </si>
  <si>
    <t>69.0</t>
  </si>
  <si>
    <t>0.8646575196672314</t>
  </si>
  <si>
    <t>0.9274169766269347</t>
  </si>
  <si>
    <t>0.9425157342150294</t>
  </si>
  <si>
    <t>0.9901453648616765</t>
  </si>
  <si>
    <t>99.92837905883789</t>
  </si>
  <si>
    <t>70.0</t>
  </si>
  <si>
    <t>0.8238120441276194</t>
  </si>
  <si>
    <t>0.9033957712694807</t>
  </si>
  <si>
    <t>0.895586661991711</t>
  </si>
  <si>
    <t>0.9896612239890329</t>
  </si>
  <si>
    <t>94.87724304199219</t>
  </si>
  <si>
    <t>71.0</t>
  </si>
  <si>
    <t>0.8442331692435693</t>
  </si>
  <si>
    <t>0.9155384290044409</t>
  </si>
  <si>
    <t>0.9561158987848688</t>
  </si>
  <si>
    <t>0.9857377357414329</t>
  </si>
  <si>
    <t>99.09510612487793</t>
  </si>
  <si>
    <t>72.0</t>
  </si>
  <si>
    <t>0.8729387472887601</t>
  </si>
  <si>
    <t>0.9321594190439105</t>
  </si>
  <si>
    <t>0.9384093755409162</t>
  </si>
  <si>
    <t>0.9922492773813796</t>
  </si>
  <si>
    <t>99.44581985473633</t>
  </si>
  <si>
    <t>73.0</t>
  </si>
  <si>
    <t>0.8481468282252317</t>
  </si>
  <si>
    <t>0.9178348984747102</t>
  </si>
  <si>
    <t>0.9708131921923759</t>
  </si>
  <si>
    <t>0.9764023742940846</t>
  </si>
  <si>
    <t>96.41432762145996</t>
  </si>
  <si>
    <t>74.0</t>
  </si>
  <si>
    <t>0.8351075401915994</t>
  </si>
  <si>
    <t>0.9101456147953135</t>
  </si>
  <si>
    <t>0.9447263901147396</t>
  </si>
  <si>
    <t>0.983382111515089</t>
  </si>
  <si>
    <t>10728.26600074768</t>
  </si>
  <si>
    <t>6655.298233032227</t>
  </si>
  <si>
    <t>5215.859174728394</t>
  </si>
  <si>
    <t>5773.657560348511</t>
  </si>
  <si>
    <t>9988.355875015259</t>
  </si>
  <si>
    <t>3656.0933589935303</t>
  </si>
  <si>
    <t>3382.141351699829</t>
  </si>
  <si>
    <t>3387.4521255493164</t>
  </si>
  <si>
    <t>3016.5750980377197</t>
  </si>
  <si>
    <t>2988.5733127593994</t>
  </si>
  <si>
    <t>2885.0207328796387</t>
  </si>
  <si>
    <t>3059.129238128662</t>
  </si>
  <si>
    <t>2926.915168762207</t>
  </si>
  <si>
    <t>3137.744188308716</t>
  </si>
  <si>
    <t>3423.7327575683594</t>
  </si>
  <si>
    <t>3120.4769611358643</t>
  </si>
  <si>
    <t>2878.0875205993652</t>
  </si>
  <si>
    <t>2957.660913467407</t>
  </si>
  <si>
    <t>3120.772361755371</t>
  </si>
  <si>
    <t>3434.985876083374</t>
  </si>
  <si>
    <t>3068.622589111328</t>
  </si>
  <si>
    <t>3289.177894592285</t>
  </si>
  <si>
    <t>3831.5563201904297</t>
  </si>
  <si>
    <t>3479.20823097229</t>
  </si>
  <si>
    <t>4572.11971282959</t>
  </si>
  <si>
    <t>3477.9131412506104</t>
  </si>
  <si>
    <t>3404.3831825256348</t>
  </si>
  <si>
    <t>3290.5852794647217</t>
  </si>
  <si>
    <t>3458.037853240967</t>
  </si>
  <si>
    <t>3402.4507999420166</t>
  </si>
  <si>
    <t>3017.8678035736084</t>
  </si>
  <si>
    <t>2965.481996536255</t>
  </si>
  <si>
    <t>2983.992576599121</t>
  </si>
  <si>
    <t>2958.6243629455566</t>
  </si>
  <si>
    <t>3067.60573387146</t>
  </si>
  <si>
    <t>3046.5641021728516</t>
  </si>
  <si>
    <t>2903.7768840789795</t>
  </si>
  <si>
    <t>2996.812343597412</t>
  </si>
  <si>
    <t>2931.633234024048</t>
  </si>
  <si>
    <t>2989.0899658203125</t>
  </si>
  <si>
    <t>2877.3322105407715</t>
  </si>
  <si>
    <t>2968.035936355591</t>
  </si>
  <si>
    <t>2950.1051902770996</t>
  </si>
  <si>
    <t>3614.8314476013184</t>
  </si>
  <si>
    <t>3267.5888538360596</t>
  </si>
  <si>
    <t>3289.497137069702</t>
  </si>
  <si>
    <t>3317.0347213745117</t>
  </si>
  <si>
    <t>3236.3412380218506</t>
  </si>
  <si>
    <t>3344.088077545166</t>
  </si>
  <si>
    <t>3257.110118865967</t>
  </si>
  <si>
    <t>3404.76655960083</t>
  </si>
  <si>
    <t>3254.5371055603027</t>
  </si>
  <si>
    <t>2962.661027908325</t>
  </si>
  <si>
    <t>2934.6365928649902</t>
  </si>
  <si>
    <t>2743.030071258545</t>
  </si>
  <si>
    <t>2924.0357875823975</t>
  </si>
  <si>
    <t>2996.8323707580566</t>
  </si>
  <si>
    <t>2997.058629989624</t>
  </si>
  <si>
    <t>2920.12095451355</t>
  </si>
  <si>
    <t>2802.382469177246</t>
  </si>
  <si>
    <t>2974.8570919036865</t>
  </si>
  <si>
    <t>2874.070405960083</t>
  </si>
  <si>
    <t>2891.57772064209</t>
  </si>
  <si>
    <t>2965.1854038238525</t>
  </si>
  <si>
    <t>2952.6660442352295</t>
  </si>
  <si>
    <t>3223.1204509735107</t>
  </si>
  <si>
    <t>3284.1224670410156</t>
  </si>
  <si>
    <t>3452.4033069610596</t>
  </si>
  <si>
    <t>3503.260850906372</t>
  </si>
  <si>
    <t>3288.219690322876</t>
  </si>
  <si>
    <t>3359.541177749634</t>
  </si>
  <si>
    <t>3305.7713508605957</t>
  </si>
  <si>
    <t>3655.660629272461</t>
  </si>
  <si>
    <t>3495.9678649902344</t>
  </si>
  <si>
    <t>2992.8343296051025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</si>
</sst>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sz val="11"/>
      <color rgb="FF000000"/>
      <name val="Calibri"/>
      <family val="2"/>
    </font>
    <font>
      <sz val="10"/>
      <color rgb="FF6A8759"/>
      <name val="JetBrains Mono"/>
      <family val="3"/>
    </font>
    <font>
      <sz val="11"/>
      <color theme="4" tint="-0.249977111117893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vertical="center"/>
    </xf>
    <xf numFmtId="0" fontId="1" fillId="0" borderId="0" xfId="0" applyFont="1"/>
    <xf numFmtId="0" fontId="0" fillId="3" borderId="0" xfId="0" applyFill="1"/>
    <xf numFmtId="0" fontId="0" fillId="4" borderId="0" xfId="0" applyFill="1"/>
    <xf numFmtId="0" fontId="3" fillId="0" borderId="0" xfId="0" applyFont="1"/>
    <xf numFmtId="0" fontId="1" fillId="5" borderId="0" xfId="0" applyFont="1" applyFill="1"/>
    <xf numFmtId="0" fontId="0" fillId="5" borderId="0" xfId="0" applyFill="1"/>
    <xf numFmtId="0" fontId="0" fillId="6" borderId="0" xfId="0" applyFill="1"/>
    <xf numFmtId="0" fontId="0" fillId="0" borderId="0" xfId="0" applyNumberFormat="1"/>
  </cellXfs>
  <cellStyles count="1">
    <cellStyle name="Normale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outline="0">
        <bottom style="thin">
          <color theme="4"/>
        </bottom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243840</xdr:colOff>
      <xdr:row>0</xdr:row>
      <xdr:rowOff>0</xdr:rowOff>
    </xdr:from>
    <xdr:to>
      <xdr:col>10</xdr:col>
      <xdr:colOff>386715</xdr:colOff>
      <xdr:row>2</xdr:row>
      <xdr:rowOff>153953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0465700-EDC2-4665-8266-8C39C06A1D06}"/>
            </a:ext>
          </a:extLst>
        </xdr:cNvPr>
        <xdr:cNvSpPr>
          <a:spLocks noChangeArrowheads="1"/>
        </xdr:cNvSpPr>
      </xdr:nvSpPr>
      <xdr:spPr bwMode="auto">
        <a:xfrm>
          <a:off x="3291840" y="0"/>
          <a:ext cx="1971675" cy="519713"/>
        </a:xfrm>
        <a:prstGeom prst="rect">
          <a:avLst/>
        </a:prstGeom>
        <a:noFill/>
        <a:ln>
          <a:noFill/>
        </a:ln>
        <a:effectLst/>
      </xdr:spPr>
      <xdr:txBody>
        <a:bodyPr vert="horz" wrap="square" lIns="91440" tIns="45720" rIns="91440" bIns="45720" numCol="1" anchor="ctr" anchorCtr="0" compatLnSpc="1">
          <a:prstTxWarp prst="textNoShape">
            <a:avLst/>
          </a:prstTxWarp>
          <a:noAutofit/>
        </a:bodyPr>
        <a:lstStyle>
          <a:defPPr>
            <a:defRPr lang="it-IT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kumimoji="0" lang="it-IT" altLang="it-IT" sz="1200" b="0" i="0" u="none" strike="noStrike" cap="none" normalizeH="0" baseline="0">
              <a:ln>
                <a:noFill/>
              </a:ln>
              <a:solidFill>
                <a:srgbClr val="6A8759"/>
              </a:solidFill>
              <a:effectLst/>
              <a:latin typeface="JetBrains Mono"/>
            </a:rPr>
            <a:t>decoupledVitHhkuYf</a:t>
          </a:r>
          <a:endParaRPr kumimoji="0" lang="it-IT" altLang="it-IT" sz="1800" b="0" i="0" u="none" strike="noStrike" cap="none" normalizeH="0" baseline="0">
            <a:ln>
              <a:noFill/>
            </a:ln>
            <a:solidFill>
              <a:schemeClr val="tx1"/>
            </a:solidFill>
            <a:effectLst/>
            <a:latin typeface="Arial" panose="020B0604020202020204" pitchFamily="34" charset="0"/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6A84E877-FEDD-4BAE-87E7-3BB2B7CF4AE8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BA81A4DA-62EA-4E6A-83EA-250E82E1761C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19E082-6E8D-496E-A865-80BF21050CC0}" name="TimeDfBBoxStudent" displayName="TimeDfBBoxStudent" ref="A1:F77" tableType="queryTable" totalsRowShown="0">
  <autoFilter ref="A1:F77" xr:uid="{6B19E082-6E8D-496E-A865-80BF21050CC0}"/>
  <tableColumns count="6">
    <tableColumn id="1" xr3:uid="{4D4DD97D-E9D9-4771-BE1B-B109AF35C18D}" uniqueName="1" name="Column1" queryTableFieldId="1" dataDxfId="25"/>
    <tableColumn id="2" xr3:uid="{E233E3A4-071F-490F-B2BF-7D96993AA8A5}" uniqueName="2" name="Column2" queryTableFieldId="2" dataDxfId="24"/>
    <tableColumn id="3" xr3:uid="{49D7CF51-6377-4EF8-95A8-84DF2CF8CA03}" uniqueName="3" name="Column3" queryTableFieldId="3" dataDxfId="23"/>
    <tableColumn id="4" xr3:uid="{0F788BFB-1465-4418-9C1B-A99982FCB531}" uniqueName="4" name="Column4" queryTableFieldId="4" dataDxfId="22"/>
    <tableColumn id="5" xr3:uid="{39796D42-AF54-4323-946F-F8FD2B5E503F}" uniqueName="5" name="Column5" queryTableFieldId="5" dataDxfId="21"/>
    <tableColumn id="6" xr3:uid="{B337F416-7F16-4F8A-973F-1498EC2766C5}" uniqueName="6" name="Column6" queryTableFieldId="6" dataDxf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0889AA-80F7-43D0-A1DC-FB4F13885C7F}" name="TimeDfBBoxStudent__2" displayName="TimeDfBBoxStudent__2" ref="A1:F77" tableType="queryTable" totalsRowShown="0">
  <autoFilter ref="A1:F77" xr:uid="{420889AA-80F7-43D0-A1DC-FB4F13885C7F}"/>
  <tableColumns count="6">
    <tableColumn id="1" xr3:uid="{F68C40D1-C77E-4213-B239-10FC27B352EA}" uniqueName="1" name="Column1" queryTableFieldId="1" dataDxfId="9"/>
    <tableColumn id="2" xr3:uid="{ED60A507-BD10-41B9-89D3-7982E7E7D123}" uniqueName="2" name="Column2" queryTableFieldId="2" dataDxfId="8"/>
    <tableColumn id="3" xr3:uid="{6D10554D-E8E1-4596-9FF6-60BAC3BE2AD7}" uniqueName="3" name="Column3" queryTableFieldId="3" dataDxfId="7"/>
    <tableColumn id="4" xr3:uid="{3F092F8C-DF62-42C0-91D7-77B76DE9AE78}" uniqueName="4" name="Column4" queryTableFieldId="4" dataDxfId="6"/>
    <tableColumn id="5" xr3:uid="{D38900F8-950C-4743-9246-AFF8A38E6F36}" uniqueName="5" name="Column5" queryTableFieldId="5" dataDxfId="5"/>
    <tableColumn id="6" xr3:uid="{D4C856B0-1CCB-4D29-95D9-B427B33364E2}" uniqueName="6" name="Column6" queryTableFieldId="6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B612E5-3FDC-458C-B74D-81820DF2CEB8}" name="Tabella1" displayName="Tabella1" ref="B9:G84" totalsRowShown="0" tableBorderDxfId="31">
  <autoFilter ref="B9:G84" xr:uid="{DDB612E5-3FDC-458C-B74D-81820DF2CEB8}"/>
  <tableColumns count="6">
    <tableColumn id="1" xr3:uid="{4B7B7B44-0FCE-4F42-908D-0F2626FA2201}" name="time"/>
    <tableColumn id="2" xr3:uid="{6F6F1F31-9630-4CB0-BF9C-0F3ADB339DAE}" name="index"/>
    <tableColumn id="3" xr3:uid="{AEEE9FAB-EA28-4B52-ACE1-B5E990087B5A}" name="iou" dataDxfId="3"/>
    <tableColumn id="4" xr3:uid="{3F8D5CDD-491F-49CD-AD8D-F6A5CA440DC8}" name="dice" dataDxfId="2"/>
    <tableColumn id="5" xr3:uid="{BAB29FEC-480C-40D3-AEB2-3B88031F8809}" name="sensitivity" dataDxfId="1"/>
    <tableColumn id="6" xr3:uid="{44CD539C-45C4-4D80-B348-7DF52719554C}" name="specificity" dataDxfId="0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26B6D-8C05-4698-B1CD-6C036346AF14}" name="Tabella2" displayName="Tabella2" ref="S7:U83" totalsRowCount="1">
  <autoFilter ref="S7:U82" xr:uid="{64C26B6D-8C05-4698-B1CD-6C036346AF14}"/>
  <tableColumns count="3">
    <tableColumn id="1" xr3:uid="{3F4F8A01-9FBC-4F75-8915-2333BEFB51CF}" name="time" totalsRowFunction="custom" totalsRowDxfId="30">
      <totalsRowFormula>AVERAGE(S8:S82)</totalsRowFormula>
    </tableColumn>
    <tableColumn id="2" xr3:uid="{BD1B0DEB-A742-4959-9DF9-4391A071EE75}" name="index" totalsRowLabel="MEDIA" totalsRowDxfId="29"/>
    <tableColumn id="3" xr3:uid="{E8993ECE-8943-4DC6-8421-3339BC56588B}" name="iou" totalsRowFunction="custom" totalsRowDxfId="28">
      <totalsRowFormula>AVERAGE(U8:U82)</totalsRowFormula>
    </tableColumn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619A71-DAF3-4E3E-A918-E5C0848FFF86}" name="Tabella3" displayName="Tabella3" ref="N9:P85" totalsRowCount="1">
  <autoFilter ref="N9:P84" xr:uid="{5F619A71-DAF3-4E3E-A918-E5C0848FFF86}"/>
  <tableColumns count="3">
    <tableColumn id="1" xr3:uid="{EBD2971C-BE34-442C-ADE9-124578A2DEB0}" name="time" totalsRowFunction="custom" totalsRowDxfId="27">
      <totalsRowFormula>AVERAGE(N10:N84)</totalsRowFormula>
    </tableColumn>
    <tableColumn id="2" xr3:uid="{21D9E0A9-04A5-4159-8204-BB8CBB5CE1A8}" name="index" totalsRowLabel="MEDIA"/>
    <tableColumn id="3" xr3:uid="{70C8A322-DF3F-4F4A-BEF8-C8CADE4CAC5B}" name="iou" totalsRowFunction="custom" totalsRowDxfId="26">
      <totalsRowFormula>AVERAGE(P10:P84)</totalsRowFormula>
    </tableColumn>
  </tableColumns>
  <tableStyleInfo name="TableStyleLight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BDAA8F-FF2D-4785-B396-B9308FDBA53E}" name="Tabella4" displayName="Tabella4" ref="H7:M83" totalsRowCount="1">
  <autoFilter ref="H7:M82" xr:uid="{1EBDAA8F-FF2D-4785-B396-B9308FDBA53E}"/>
  <tableColumns count="6">
    <tableColumn id="1" xr3:uid="{E6FC8675-C431-417B-B272-E76A2B8842E1}" name="time" totalsRowFunction="custom" totalsRowDxfId="15">
      <totalsRowFormula>AVERAGE(H8:H82)</totalsRowFormula>
    </tableColumn>
    <tableColumn id="2" xr3:uid="{72850A44-D23D-44BA-92C2-7F0DFEF923BC}" name="index" totalsRowLabel="MEDIA" totalsRowDxfId="14"/>
    <tableColumn id="3" xr3:uid="{0510D6D2-42C3-4E37-A021-A85C5168876D}" name="iou" totalsRowFunction="custom" dataDxfId="19" totalsRowDxfId="13">
      <totalsRowFormula>AVERAGE(J8:J82)</totalsRowFormula>
    </tableColumn>
    <tableColumn id="4" xr3:uid="{B0993193-7721-446F-9F16-19B33B2B7008}" name="dice" totalsRowFunction="average" dataDxfId="18" totalsRowDxfId="12"/>
    <tableColumn id="5" xr3:uid="{A7C0DCD7-9AF2-4274-BF54-48FAA5B358DA}" name="sensitivity" totalsRowFunction="average" dataDxfId="17" totalsRowDxfId="11"/>
    <tableColumn id="6" xr3:uid="{B65430C2-81AA-4DAA-8330-CE9224F7646A}" name="specificity" totalsRowFunction="average" dataDxfId="16" totalsRowDxfId="1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0BA93-535C-46AF-AC24-A8675E341318}">
  <dimension ref="A1:F77"/>
  <sheetViews>
    <sheetView topLeftCell="A41" workbookViewId="0">
      <selection activeCell="C2" sqref="C2:F77"/>
    </sheetView>
  </sheetViews>
  <sheetFormatPr defaultRowHeight="14.4"/>
  <cols>
    <col min="1" max="1" width="18.77734375" bestFit="1" customWidth="1"/>
    <col min="2" max="2" width="10.77734375" bestFit="1" customWidth="1"/>
    <col min="3" max="6" width="18.77734375" bestFit="1" customWidth="1"/>
  </cols>
  <sheetData>
    <row r="1" spans="1:6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 spans="1:6">
      <c r="A2" s="10" t="s">
        <v>0</v>
      </c>
      <c r="B2" s="10" t="s">
        <v>1</v>
      </c>
      <c r="C2" s="10" t="s">
        <v>2</v>
      </c>
      <c r="D2" s="10" t="s">
        <v>17</v>
      </c>
      <c r="E2" s="10" t="s">
        <v>18</v>
      </c>
      <c r="F2" s="10" t="s">
        <v>19</v>
      </c>
    </row>
    <row r="3" spans="1:6">
      <c r="A3" s="10" t="s">
        <v>20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</row>
    <row r="4" spans="1:6">
      <c r="A4" s="10" t="s">
        <v>26</v>
      </c>
      <c r="B4" s="10" t="s">
        <v>27</v>
      </c>
      <c r="C4" s="10" t="s">
        <v>28</v>
      </c>
      <c r="D4" s="10" t="s">
        <v>29</v>
      </c>
      <c r="E4" s="10" t="s">
        <v>30</v>
      </c>
      <c r="F4" s="10" t="s">
        <v>31</v>
      </c>
    </row>
    <row r="5" spans="1:6">
      <c r="A5" s="10" t="s">
        <v>32</v>
      </c>
      <c r="B5" s="10" t="s">
        <v>33</v>
      </c>
      <c r="C5" s="10" t="s">
        <v>34</v>
      </c>
      <c r="D5" s="10" t="s">
        <v>35</v>
      </c>
      <c r="E5" s="10" t="s">
        <v>36</v>
      </c>
      <c r="F5" s="10" t="s">
        <v>37</v>
      </c>
    </row>
    <row r="6" spans="1:6">
      <c r="A6" s="10" t="s">
        <v>38</v>
      </c>
      <c r="B6" s="10" t="s">
        <v>39</v>
      </c>
      <c r="C6" s="10" t="s">
        <v>40</v>
      </c>
      <c r="D6" s="10" t="s">
        <v>41</v>
      </c>
      <c r="E6" s="10" t="s">
        <v>42</v>
      </c>
      <c r="F6" s="10" t="s">
        <v>43</v>
      </c>
    </row>
    <row r="7" spans="1:6">
      <c r="A7" s="10" t="s">
        <v>44</v>
      </c>
      <c r="B7" s="10" t="s">
        <v>45</v>
      </c>
      <c r="C7" s="10" t="s">
        <v>46</v>
      </c>
      <c r="D7" s="10" t="s">
        <v>47</v>
      </c>
      <c r="E7" s="10" t="s">
        <v>48</v>
      </c>
      <c r="F7" s="10" t="s">
        <v>49</v>
      </c>
    </row>
    <row r="8" spans="1:6">
      <c r="A8" s="10" t="s">
        <v>50</v>
      </c>
      <c r="B8" s="10" t="s">
        <v>51</v>
      </c>
      <c r="C8" s="10" t="s">
        <v>52</v>
      </c>
      <c r="D8" s="10" t="s">
        <v>53</v>
      </c>
      <c r="E8" s="10" t="s">
        <v>54</v>
      </c>
      <c r="F8" s="10" t="s">
        <v>55</v>
      </c>
    </row>
    <row r="9" spans="1:6">
      <c r="A9" s="10" t="s">
        <v>56</v>
      </c>
      <c r="B9" s="10" t="s">
        <v>57</v>
      </c>
      <c r="C9" s="10" t="s">
        <v>58</v>
      </c>
      <c r="D9" s="10" t="s">
        <v>59</v>
      </c>
      <c r="E9" s="10" t="s">
        <v>60</v>
      </c>
      <c r="F9" s="10" t="s">
        <v>61</v>
      </c>
    </row>
    <row r="10" spans="1:6">
      <c r="A10" s="10" t="s">
        <v>62</v>
      </c>
      <c r="B10" s="10" t="s">
        <v>63</v>
      </c>
      <c r="C10" s="10" t="s">
        <v>64</v>
      </c>
      <c r="D10" s="10" t="s">
        <v>65</v>
      </c>
      <c r="E10" s="10" t="s">
        <v>66</v>
      </c>
      <c r="F10" s="10" t="s">
        <v>67</v>
      </c>
    </row>
    <row r="11" spans="1:6">
      <c r="A11" s="10" t="s">
        <v>68</v>
      </c>
      <c r="B11" s="10" t="s">
        <v>69</v>
      </c>
      <c r="C11" s="10" t="s">
        <v>70</v>
      </c>
      <c r="D11" s="10" t="s">
        <v>71</v>
      </c>
      <c r="E11" s="10" t="s">
        <v>72</v>
      </c>
      <c r="F11" s="10" t="s">
        <v>73</v>
      </c>
    </row>
    <row r="12" spans="1:6">
      <c r="A12" s="10" t="s">
        <v>74</v>
      </c>
      <c r="B12" s="10" t="s">
        <v>75</v>
      </c>
      <c r="C12" s="10" t="s">
        <v>76</v>
      </c>
      <c r="D12" s="10" t="s">
        <v>77</v>
      </c>
      <c r="E12" s="10" t="s">
        <v>78</v>
      </c>
      <c r="F12" s="10" t="s">
        <v>79</v>
      </c>
    </row>
    <row r="13" spans="1:6">
      <c r="A13" s="10" t="s">
        <v>80</v>
      </c>
      <c r="B13" s="10" t="s">
        <v>81</v>
      </c>
      <c r="C13" s="10" t="s">
        <v>82</v>
      </c>
      <c r="D13" s="10" t="s">
        <v>83</v>
      </c>
      <c r="E13" s="10" t="s">
        <v>84</v>
      </c>
      <c r="F13" s="10" t="s">
        <v>85</v>
      </c>
    </row>
    <row r="14" spans="1:6">
      <c r="A14" s="10" t="s">
        <v>86</v>
      </c>
      <c r="B14" s="10" t="s">
        <v>87</v>
      </c>
      <c r="C14" s="10" t="s">
        <v>88</v>
      </c>
      <c r="D14" s="10" t="s">
        <v>89</v>
      </c>
      <c r="E14" s="10" t="s">
        <v>90</v>
      </c>
      <c r="F14" s="10" t="s">
        <v>91</v>
      </c>
    </row>
    <row r="15" spans="1:6">
      <c r="A15" s="10" t="s">
        <v>92</v>
      </c>
      <c r="B15" s="10" t="s">
        <v>93</v>
      </c>
      <c r="C15" s="10" t="s">
        <v>94</v>
      </c>
      <c r="D15" s="10" t="s">
        <v>95</v>
      </c>
      <c r="E15" s="10" t="s">
        <v>96</v>
      </c>
      <c r="F15" s="10" t="s">
        <v>97</v>
      </c>
    </row>
    <row r="16" spans="1:6">
      <c r="A16" s="10" t="s">
        <v>98</v>
      </c>
      <c r="B16" s="10" t="s">
        <v>99</v>
      </c>
      <c r="C16" s="10" t="s">
        <v>100</v>
      </c>
      <c r="D16" s="10" t="s">
        <v>101</v>
      </c>
      <c r="E16" s="10" t="s">
        <v>102</v>
      </c>
      <c r="F16" s="10" t="s">
        <v>103</v>
      </c>
    </row>
    <row r="17" spans="1:6">
      <c r="A17" s="10" t="s">
        <v>104</v>
      </c>
      <c r="B17" s="10" t="s">
        <v>105</v>
      </c>
      <c r="C17" s="10" t="s">
        <v>106</v>
      </c>
      <c r="D17" s="10" t="s">
        <v>107</v>
      </c>
      <c r="E17" s="10" t="s">
        <v>108</v>
      </c>
      <c r="F17" s="10" t="s">
        <v>109</v>
      </c>
    </row>
    <row r="18" spans="1:6">
      <c r="A18" s="10" t="s">
        <v>110</v>
      </c>
      <c r="B18" s="10" t="s">
        <v>111</v>
      </c>
      <c r="C18" s="10" t="s">
        <v>112</v>
      </c>
      <c r="D18" s="10" t="s">
        <v>113</v>
      </c>
      <c r="E18" s="10" t="s">
        <v>114</v>
      </c>
      <c r="F18" s="10" t="s">
        <v>115</v>
      </c>
    </row>
    <row r="19" spans="1:6">
      <c r="A19" s="10" t="s">
        <v>116</v>
      </c>
      <c r="B19" s="10" t="s">
        <v>117</v>
      </c>
      <c r="C19" s="10" t="s">
        <v>118</v>
      </c>
      <c r="D19" s="10" t="s">
        <v>119</v>
      </c>
      <c r="E19" s="10" t="s">
        <v>120</v>
      </c>
      <c r="F19" s="10" t="s">
        <v>121</v>
      </c>
    </row>
    <row r="20" spans="1:6">
      <c r="A20" s="10" t="s">
        <v>122</v>
      </c>
      <c r="B20" s="10" t="s">
        <v>123</v>
      </c>
      <c r="C20" s="10" t="s">
        <v>124</v>
      </c>
      <c r="D20" s="10" t="s">
        <v>125</v>
      </c>
      <c r="E20" s="10" t="s">
        <v>126</v>
      </c>
      <c r="F20" s="10" t="s">
        <v>127</v>
      </c>
    </row>
    <row r="21" spans="1:6">
      <c r="A21" s="10" t="s">
        <v>128</v>
      </c>
      <c r="B21" s="10" t="s">
        <v>129</v>
      </c>
      <c r="C21" s="10" t="s">
        <v>130</v>
      </c>
      <c r="D21" s="10" t="s">
        <v>131</v>
      </c>
      <c r="E21" s="10" t="s">
        <v>132</v>
      </c>
      <c r="F21" s="10" t="s">
        <v>133</v>
      </c>
    </row>
    <row r="22" spans="1:6">
      <c r="A22" s="10" t="s">
        <v>134</v>
      </c>
      <c r="B22" s="10" t="s">
        <v>135</v>
      </c>
      <c r="C22" s="10" t="s">
        <v>136</v>
      </c>
      <c r="D22" s="10" t="s">
        <v>137</v>
      </c>
      <c r="E22" s="10" t="s">
        <v>138</v>
      </c>
      <c r="F22" s="10" t="s">
        <v>139</v>
      </c>
    </row>
    <row r="23" spans="1:6">
      <c r="A23" s="10" t="s">
        <v>140</v>
      </c>
      <c r="B23" s="10" t="s">
        <v>141</v>
      </c>
      <c r="C23" s="10" t="s">
        <v>142</v>
      </c>
      <c r="D23" s="10" t="s">
        <v>143</v>
      </c>
      <c r="E23" s="10" t="s">
        <v>144</v>
      </c>
      <c r="F23" s="10" t="s">
        <v>145</v>
      </c>
    </row>
    <row r="24" spans="1:6">
      <c r="A24" s="10" t="s">
        <v>146</v>
      </c>
      <c r="B24" s="10" t="s">
        <v>147</v>
      </c>
      <c r="C24" s="10" t="s">
        <v>148</v>
      </c>
      <c r="D24" s="10" t="s">
        <v>149</v>
      </c>
      <c r="E24" s="10" t="s">
        <v>150</v>
      </c>
      <c r="F24" s="10" t="s">
        <v>151</v>
      </c>
    </row>
    <row r="25" spans="1:6">
      <c r="A25" s="10" t="s">
        <v>152</v>
      </c>
      <c r="B25" s="10" t="s">
        <v>153</v>
      </c>
      <c r="C25" s="10" t="s">
        <v>154</v>
      </c>
      <c r="D25" s="10" t="s">
        <v>155</v>
      </c>
      <c r="E25" s="10" t="s">
        <v>156</v>
      </c>
      <c r="F25" s="10" t="s">
        <v>157</v>
      </c>
    </row>
    <row r="26" spans="1:6">
      <c r="A26" s="10" t="s">
        <v>158</v>
      </c>
      <c r="B26" s="10" t="s">
        <v>159</v>
      </c>
      <c r="C26" s="10" t="s">
        <v>160</v>
      </c>
      <c r="D26" s="10" t="s">
        <v>161</v>
      </c>
      <c r="E26" s="10" t="s">
        <v>162</v>
      </c>
      <c r="F26" s="10" t="s">
        <v>163</v>
      </c>
    </row>
    <row r="27" spans="1:6">
      <c r="A27" s="10" t="s">
        <v>164</v>
      </c>
      <c r="B27" s="10" t="s">
        <v>165</v>
      </c>
      <c r="C27" s="10" t="s">
        <v>166</v>
      </c>
      <c r="D27" s="10" t="s">
        <v>167</v>
      </c>
      <c r="E27" s="10" t="s">
        <v>168</v>
      </c>
      <c r="F27" s="10" t="s">
        <v>169</v>
      </c>
    </row>
    <row r="28" spans="1:6">
      <c r="A28" s="10" t="s">
        <v>170</v>
      </c>
      <c r="B28" s="10" t="s">
        <v>171</v>
      </c>
      <c r="C28" s="10" t="s">
        <v>172</v>
      </c>
      <c r="D28" s="10" t="s">
        <v>173</v>
      </c>
      <c r="E28" s="10" t="s">
        <v>174</v>
      </c>
      <c r="F28" s="10" t="s">
        <v>175</v>
      </c>
    </row>
    <row r="29" spans="1:6">
      <c r="A29" s="10" t="s">
        <v>176</v>
      </c>
      <c r="B29" s="10" t="s">
        <v>177</v>
      </c>
      <c r="C29" s="10" t="s">
        <v>178</v>
      </c>
      <c r="D29" s="10" t="s">
        <v>179</v>
      </c>
      <c r="E29" s="10" t="s">
        <v>180</v>
      </c>
      <c r="F29" s="10" t="s">
        <v>181</v>
      </c>
    </row>
    <row r="30" spans="1:6">
      <c r="A30" s="10" t="s">
        <v>182</v>
      </c>
      <c r="B30" s="10" t="s">
        <v>183</v>
      </c>
      <c r="C30" s="10" t="s">
        <v>184</v>
      </c>
      <c r="D30" s="10" t="s">
        <v>185</v>
      </c>
      <c r="E30" s="10" t="s">
        <v>186</v>
      </c>
      <c r="F30" s="10" t="s">
        <v>187</v>
      </c>
    </row>
    <row r="31" spans="1:6">
      <c r="A31" s="10" t="s">
        <v>188</v>
      </c>
      <c r="B31" s="10" t="s">
        <v>189</v>
      </c>
      <c r="C31" s="10" t="s">
        <v>190</v>
      </c>
      <c r="D31" s="10" t="s">
        <v>191</v>
      </c>
      <c r="E31" s="10" t="s">
        <v>192</v>
      </c>
      <c r="F31" s="10" t="s">
        <v>193</v>
      </c>
    </row>
    <row r="32" spans="1:6">
      <c r="A32" s="10" t="s">
        <v>194</v>
      </c>
      <c r="B32" s="10" t="s">
        <v>195</v>
      </c>
      <c r="C32" s="10" t="s">
        <v>196</v>
      </c>
      <c r="D32" s="10" t="s">
        <v>197</v>
      </c>
      <c r="E32" s="10" t="s">
        <v>198</v>
      </c>
      <c r="F32" s="10" t="s">
        <v>199</v>
      </c>
    </row>
    <row r="33" spans="1:6">
      <c r="A33" s="10" t="s">
        <v>200</v>
      </c>
      <c r="B33" s="10" t="s">
        <v>201</v>
      </c>
      <c r="C33" s="10" t="s">
        <v>202</v>
      </c>
      <c r="D33" s="10" t="s">
        <v>203</v>
      </c>
      <c r="E33" s="10" t="s">
        <v>204</v>
      </c>
      <c r="F33" s="10" t="s">
        <v>205</v>
      </c>
    </row>
    <row r="34" spans="1:6">
      <c r="A34" s="10" t="s">
        <v>206</v>
      </c>
      <c r="B34" s="10" t="s">
        <v>207</v>
      </c>
      <c r="C34" s="10" t="s">
        <v>208</v>
      </c>
      <c r="D34" s="10" t="s">
        <v>209</v>
      </c>
      <c r="E34" s="10" t="s">
        <v>210</v>
      </c>
      <c r="F34" s="10" t="s">
        <v>211</v>
      </c>
    </row>
    <row r="35" spans="1:6">
      <c r="A35" s="10" t="s">
        <v>212</v>
      </c>
      <c r="B35" s="10" t="s">
        <v>213</v>
      </c>
      <c r="C35" s="10" t="s">
        <v>214</v>
      </c>
      <c r="D35" s="10" t="s">
        <v>215</v>
      </c>
      <c r="E35" s="10" t="s">
        <v>216</v>
      </c>
      <c r="F35" s="10" t="s">
        <v>217</v>
      </c>
    </row>
    <row r="36" spans="1:6">
      <c r="A36" s="10" t="s">
        <v>218</v>
      </c>
      <c r="B36" s="10" t="s">
        <v>219</v>
      </c>
      <c r="C36" s="10" t="s">
        <v>220</v>
      </c>
      <c r="D36" s="10" t="s">
        <v>221</v>
      </c>
      <c r="E36" s="10" t="s">
        <v>222</v>
      </c>
      <c r="F36" s="10" t="s">
        <v>223</v>
      </c>
    </row>
    <row r="37" spans="1:6">
      <c r="A37" s="10" t="s">
        <v>224</v>
      </c>
      <c r="B37" s="10" t="s">
        <v>225</v>
      </c>
      <c r="C37" s="10" t="s">
        <v>226</v>
      </c>
      <c r="D37" s="10" t="s">
        <v>227</v>
      </c>
      <c r="E37" s="10" t="s">
        <v>228</v>
      </c>
      <c r="F37" s="10" t="s">
        <v>229</v>
      </c>
    </row>
    <row r="38" spans="1:6">
      <c r="A38" s="10" t="s">
        <v>230</v>
      </c>
      <c r="B38" s="10" t="s">
        <v>231</v>
      </c>
      <c r="C38" s="10" t="s">
        <v>232</v>
      </c>
      <c r="D38" s="10" t="s">
        <v>233</v>
      </c>
      <c r="E38" s="10" t="s">
        <v>234</v>
      </c>
      <c r="F38" s="10" t="s">
        <v>235</v>
      </c>
    </row>
    <row r="39" spans="1:6">
      <c r="A39" s="10" t="s">
        <v>236</v>
      </c>
      <c r="B39" s="10" t="s">
        <v>237</v>
      </c>
      <c r="C39" s="10" t="s">
        <v>238</v>
      </c>
      <c r="D39" s="10" t="s">
        <v>239</v>
      </c>
      <c r="E39" s="10" t="s">
        <v>240</v>
      </c>
      <c r="F39" s="10" t="s">
        <v>241</v>
      </c>
    </row>
    <row r="40" spans="1:6">
      <c r="A40" s="10" t="s">
        <v>242</v>
      </c>
      <c r="B40" s="10" t="s">
        <v>243</v>
      </c>
      <c r="C40" s="10" t="s">
        <v>244</v>
      </c>
      <c r="D40" s="10" t="s">
        <v>245</v>
      </c>
      <c r="E40" s="10" t="s">
        <v>246</v>
      </c>
      <c r="F40" s="10" t="s">
        <v>247</v>
      </c>
    </row>
    <row r="41" spans="1:6">
      <c r="A41" s="10" t="s">
        <v>248</v>
      </c>
      <c r="B41" s="10" t="s">
        <v>249</v>
      </c>
      <c r="C41" s="10" t="s">
        <v>250</v>
      </c>
      <c r="D41" s="10" t="s">
        <v>251</v>
      </c>
      <c r="E41" s="10" t="s">
        <v>252</v>
      </c>
      <c r="F41" s="10" t="s">
        <v>253</v>
      </c>
    </row>
    <row r="42" spans="1:6">
      <c r="A42" s="10" t="s">
        <v>254</v>
      </c>
      <c r="B42" s="10" t="s">
        <v>255</v>
      </c>
      <c r="C42" s="10" t="s">
        <v>256</v>
      </c>
      <c r="D42" s="10" t="s">
        <v>257</v>
      </c>
      <c r="E42" s="10" t="s">
        <v>258</v>
      </c>
      <c r="F42" s="10" t="s">
        <v>259</v>
      </c>
    </row>
    <row r="43" spans="1:6">
      <c r="A43" s="10" t="s">
        <v>260</v>
      </c>
      <c r="B43" s="10" t="s">
        <v>261</v>
      </c>
      <c r="C43" s="10" t="s">
        <v>262</v>
      </c>
      <c r="D43" s="10" t="s">
        <v>263</v>
      </c>
      <c r="E43" s="10" t="s">
        <v>264</v>
      </c>
      <c r="F43" s="10" t="s">
        <v>265</v>
      </c>
    </row>
    <row r="44" spans="1:6">
      <c r="A44" s="10" t="s">
        <v>266</v>
      </c>
      <c r="B44" s="10" t="s">
        <v>267</v>
      </c>
      <c r="C44" s="10" t="s">
        <v>268</v>
      </c>
      <c r="D44" s="10" t="s">
        <v>269</v>
      </c>
      <c r="E44" s="10" t="s">
        <v>270</v>
      </c>
      <c r="F44" s="10" t="s">
        <v>271</v>
      </c>
    </row>
    <row r="45" spans="1:6">
      <c r="A45" s="10" t="s">
        <v>272</v>
      </c>
      <c r="B45" s="10" t="s">
        <v>273</v>
      </c>
      <c r="C45" s="10" t="s">
        <v>274</v>
      </c>
      <c r="D45" s="10" t="s">
        <v>275</v>
      </c>
      <c r="E45" s="10" t="s">
        <v>276</v>
      </c>
      <c r="F45" s="10" t="s">
        <v>277</v>
      </c>
    </row>
    <row r="46" spans="1:6">
      <c r="A46" s="10" t="s">
        <v>278</v>
      </c>
      <c r="B46" s="10" t="s">
        <v>279</v>
      </c>
      <c r="C46" s="10" t="s">
        <v>280</v>
      </c>
      <c r="D46" s="10" t="s">
        <v>281</v>
      </c>
      <c r="E46" s="10" t="s">
        <v>282</v>
      </c>
      <c r="F46" s="10" t="s">
        <v>283</v>
      </c>
    </row>
    <row r="47" spans="1:6">
      <c r="A47" s="10" t="s">
        <v>140</v>
      </c>
      <c r="B47" s="10" t="s">
        <v>284</v>
      </c>
      <c r="C47" s="10" t="s">
        <v>285</v>
      </c>
      <c r="D47" s="10" t="s">
        <v>286</v>
      </c>
      <c r="E47" s="10" t="s">
        <v>287</v>
      </c>
      <c r="F47" s="10" t="s">
        <v>288</v>
      </c>
    </row>
    <row r="48" spans="1:6">
      <c r="A48" s="10" t="s">
        <v>289</v>
      </c>
      <c r="B48" s="10" t="s">
        <v>290</v>
      </c>
      <c r="C48" s="10" t="s">
        <v>291</v>
      </c>
      <c r="D48" s="10" t="s">
        <v>292</v>
      </c>
      <c r="E48" s="10" t="s">
        <v>293</v>
      </c>
      <c r="F48" s="10" t="s">
        <v>294</v>
      </c>
    </row>
    <row r="49" spans="1:6">
      <c r="A49" s="10" t="s">
        <v>295</v>
      </c>
      <c r="B49" s="10" t="s">
        <v>296</v>
      </c>
      <c r="C49" s="10" t="s">
        <v>297</v>
      </c>
      <c r="D49" s="10" t="s">
        <v>298</v>
      </c>
      <c r="E49" s="10" t="s">
        <v>299</v>
      </c>
      <c r="F49" s="10" t="s">
        <v>300</v>
      </c>
    </row>
    <row r="50" spans="1:6">
      <c r="A50" s="10" t="s">
        <v>301</v>
      </c>
      <c r="B50" s="10" t="s">
        <v>302</v>
      </c>
      <c r="C50" s="10" t="s">
        <v>303</v>
      </c>
      <c r="D50" s="10" t="s">
        <v>304</v>
      </c>
      <c r="E50" s="10" t="s">
        <v>305</v>
      </c>
      <c r="F50" s="10" t="s">
        <v>306</v>
      </c>
    </row>
    <row r="51" spans="1:6">
      <c r="A51" s="10" t="s">
        <v>307</v>
      </c>
      <c r="B51" s="10" t="s">
        <v>308</v>
      </c>
      <c r="C51" s="10" t="s">
        <v>309</v>
      </c>
      <c r="D51" s="10" t="s">
        <v>310</v>
      </c>
      <c r="E51" s="10" t="s">
        <v>311</v>
      </c>
      <c r="F51" s="10" t="s">
        <v>312</v>
      </c>
    </row>
    <row r="52" spans="1:6">
      <c r="A52" s="10" t="s">
        <v>313</v>
      </c>
      <c r="B52" s="10" t="s">
        <v>314</v>
      </c>
      <c r="C52" s="10" t="s">
        <v>315</v>
      </c>
      <c r="D52" s="10" t="s">
        <v>316</v>
      </c>
      <c r="E52" s="10" t="s">
        <v>317</v>
      </c>
      <c r="F52" s="10" t="s">
        <v>318</v>
      </c>
    </row>
    <row r="53" spans="1:6">
      <c r="A53" s="10" t="s">
        <v>319</v>
      </c>
      <c r="B53" s="10" t="s">
        <v>320</v>
      </c>
      <c r="C53" s="10" t="s">
        <v>321</v>
      </c>
      <c r="D53" s="10" t="s">
        <v>322</v>
      </c>
      <c r="E53" s="10" t="s">
        <v>323</v>
      </c>
      <c r="F53" s="10" t="s">
        <v>324</v>
      </c>
    </row>
    <row r="54" spans="1:6">
      <c r="A54" s="10" t="s">
        <v>325</v>
      </c>
      <c r="B54" s="10" t="s">
        <v>326</v>
      </c>
      <c r="C54" s="10" t="s">
        <v>327</v>
      </c>
      <c r="D54" s="10" t="s">
        <v>328</v>
      </c>
      <c r="E54" s="10" t="s">
        <v>329</v>
      </c>
      <c r="F54" s="10" t="s">
        <v>330</v>
      </c>
    </row>
    <row r="55" spans="1:6">
      <c r="A55" s="10" t="s">
        <v>331</v>
      </c>
      <c r="B55" s="10" t="s">
        <v>332</v>
      </c>
      <c r="C55" s="10" t="s">
        <v>333</v>
      </c>
      <c r="D55" s="10" t="s">
        <v>334</v>
      </c>
      <c r="E55" s="10" t="s">
        <v>335</v>
      </c>
      <c r="F55" s="10" t="s">
        <v>336</v>
      </c>
    </row>
    <row r="56" spans="1:6">
      <c r="A56" s="10" t="s">
        <v>337</v>
      </c>
      <c r="B56" s="10" t="s">
        <v>338</v>
      </c>
      <c r="C56" s="10" t="s">
        <v>339</v>
      </c>
      <c r="D56" s="10" t="s">
        <v>340</v>
      </c>
      <c r="E56" s="10" t="s">
        <v>341</v>
      </c>
      <c r="F56" s="10" t="s">
        <v>342</v>
      </c>
    </row>
    <row r="57" spans="1:6">
      <c r="A57" s="10" t="s">
        <v>343</v>
      </c>
      <c r="B57" s="10" t="s">
        <v>344</v>
      </c>
      <c r="C57" s="10" t="s">
        <v>345</v>
      </c>
      <c r="D57" s="10" t="s">
        <v>346</v>
      </c>
      <c r="E57" s="10" t="s">
        <v>347</v>
      </c>
      <c r="F57" s="10" t="s">
        <v>348</v>
      </c>
    </row>
    <row r="58" spans="1:6">
      <c r="A58" s="10" t="s">
        <v>349</v>
      </c>
      <c r="B58" s="10" t="s">
        <v>350</v>
      </c>
      <c r="C58" s="10" t="s">
        <v>351</v>
      </c>
      <c r="D58" s="10" t="s">
        <v>352</v>
      </c>
      <c r="E58" s="10" t="s">
        <v>353</v>
      </c>
      <c r="F58" s="10" t="s">
        <v>354</v>
      </c>
    </row>
    <row r="59" spans="1:6">
      <c r="A59" s="10" t="s">
        <v>355</v>
      </c>
      <c r="B59" s="10" t="s">
        <v>356</v>
      </c>
      <c r="C59" s="10" t="s">
        <v>357</v>
      </c>
      <c r="D59" s="10" t="s">
        <v>358</v>
      </c>
      <c r="E59" s="10" t="s">
        <v>359</v>
      </c>
      <c r="F59" s="10" t="s">
        <v>360</v>
      </c>
    </row>
    <row r="60" spans="1:6">
      <c r="A60" s="10" t="s">
        <v>361</v>
      </c>
      <c r="B60" s="10" t="s">
        <v>362</v>
      </c>
      <c r="C60" s="10" t="s">
        <v>363</v>
      </c>
      <c r="D60" s="10" t="s">
        <v>364</v>
      </c>
      <c r="E60" s="10" t="s">
        <v>365</v>
      </c>
      <c r="F60" s="10" t="s">
        <v>366</v>
      </c>
    </row>
    <row r="61" spans="1:6">
      <c r="A61" s="10" t="s">
        <v>367</v>
      </c>
      <c r="B61" s="10" t="s">
        <v>368</v>
      </c>
      <c r="C61" s="10" t="s">
        <v>369</v>
      </c>
      <c r="D61" s="10" t="s">
        <v>370</v>
      </c>
      <c r="E61" s="10" t="s">
        <v>371</v>
      </c>
      <c r="F61" s="10" t="s">
        <v>372</v>
      </c>
    </row>
    <row r="62" spans="1:6">
      <c r="A62" s="10" t="s">
        <v>373</v>
      </c>
      <c r="B62" s="10" t="s">
        <v>374</v>
      </c>
      <c r="C62" s="10" t="s">
        <v>375</v>
      </c>
      <c r="D62" s="10" t="s">
        <v>376</v>
      </c>
      <c r="E62" s="10" t="s">
        <v>377</v>
      </c>
      <c r="F62" s="10" t="s">
        <v>378</v>
      </c>
    </row>
    <row r="63" spans="1:6">
      <c r="A63" s="10" t="s">
        <v>379</v>
      </c>
      <c r="B63" s="10" t="s">
        <v>380</v>
      </c>
      <c r="C63" s="10" t="s">
        <v>381</v>
      </c>
      <c r="D63" s="10" t="s">
        <v>382</v>
      </c>
      <c r="E63" s="10" t="s">
        <v>383</v>
      </c>
      <c r="F63" s="10" t="s">
        <v>384</v>
      </c>
    </row>
    <row r="64" spans="1:6">
      <c r="A64" s="10" t="s">
        <v>385</v>
      </c>
      <c r="B64" s="10" t="s">
        <v>386</v>
      </c>
      <c r="C64" s="10" t="s">
        <v>387</v>
      </c>
      <c r="D64" s="10" t="s">
        <v>388</v>
      </c>
      <c r="E64" s="10" t="s">
        <v>389</v>
      </c>
      <c r="F64" s="10" t="s">
        <v>390</v>
      </c>
    </row>
    <row r="65" spans="1:6">
      <c r="A65" s="10" t="s">
        <v>391</v>
      </c>
      <c r="B65" s="10" t="s">
        <v>392</v>
      </c>
      <c r="C65" s="10" t="s">
        <v>393</v>
      </c>
      <c r="D65" s="10" t="s">
        <v>394</v>
      </c>
      <c r="E65" s="10" t="s">
        <v>395</v>
      </c>
      <c r="F65" s="10" t="s">
        <v>396</v>
      </c>
    </row>
    <row r="66" spans="1:6">
      <c r="A66" s="10" t="s">
        <v>397</v>
      </c>
      <c r="B66" s="10" t="s">
        <v>398</v>
      </c>
      <c r="C66" s="10" t="s">
        <v>399</v>
      </c>
      <c r="D66" s="10" t="s">
        <v>400</v>
      </c>
      <c r="E66" s="10" t="s">
        <v>401</v>
      </c>
      <c r="F66" s="10" t="s">
        <v>402</v>
      </c>
    </row>
    <row r="67" spans="1:6">
      <c r="A67" s="10" t="s">
        <v>403</v>
      </c>
      <c r="B67" s="10" t="s">
        <v>404</v>
      </c>
      <c r="C67" s="10" t="s">
        <v>405</v>
      </c>
      <c r="D67" s="10" t="s">
        <v>406</v>
      </c>
      <c r="E67" s="10" t="s">
        <v>407</v>
      </c>
      <c r="F67" s="10" t="s">
        <v>408</v>
      </c>
    </row>
    <row r="68" spans="1:6">
      <c r="A68" s="10" t="s">
        <v>409</v>
      </c>
      <c r="B68" s="10" t="s">
        <v>410</v>
      </c>
      <c r="C68" s="10" t="s">
        <v>411</v>
      </c>
      <c r="D68" s="10" t="s">
        <v>412</v>
      </c>
      <c r="E68" s="10" t="s">
        <v>413</v>
      </c>
      <c r="F68" s="10" t="s">
        <v>414</v>
      </c>
    </row>
    <row r="69" spans="1:6">
      <c r="A69" s="10" t="s">
        <v>415</v>
      </c>
      <c r="B69" s="10" t="s">
        <v>416</v>
      </c>
      <c r="C69" s="10" t="s">
        <v>417</v>
      </c>
      <c r="D69" s="10" t="s">
        <v>418</v>
      </c>
      <c r="E69" s="10" t="s">
        <v>419</v>
      </c>
      <c r="F69" s="10" t="s">
        <v>420</v>
      </c>
    </row>
    <row r="70" spans="1:6">
      <c r="A70" s="10" t="s">
        <v>421</v>
      </c>
      <c r="B70" s="10" t="s">
        <v>422</v>
      </c>
      <c r="C70" s="10" t="s">
        <v>423</v>
      </c>
      <c r="D70" s="10" t="s">
        <v>424</v>
      </c>
      <c r="E70" s="10" t="s">
        <v>425</v>
      </c>
      <c r="F70" s="10" t="s">
        <v>426</v>
      </c>
    </row>
    <row r="71" spans="1:6">
      <c r="A71" s="10" t="s">
        <v>427</v>
      </c>
      <c r="B71" s="10" t="s">
        <v>428</v>
      </c>
      <c r="C71" s="10" t="s">
        <v>429</v>
      </c>
      <c r="D71" s="10" t="s">
        <v>430</v>
      </c>
      <c r="E71" s="10" t="s">
        <v>431</v>
      </c>
      <c r="F71" s="10" t="s">
        <v>432</v>
      </c>
    </row>
    <row r="72" spans="1:6">
      <c r="A72" s="10" t="s">
        <v>433</v>
      </c>
      <c r="B72" s="10" t="s">
        <v>434</v>
      </c>
      <c r="C72" s="10" t="s">
        <v>435</v>
      </c>
      <c r="D72" s="10" t="s">
        <v>436</v>
      </c>
      <c r="E72" s="10" t="s">
        <v>437</v>
      </c>
      <c r="F72" s="10" t="s">
        <v>438</v>
      </c>
    </row>
    <row r="73" spans="1:6">
      <c r="A73" s="10" t="s">
        <v>439</v>
      </c>
      <c r="B73" s="10" t="s">
        <v>440</v>
      </c>
      <c r="C73" s="10" t="s">
        <v>441</v>
      </c>
      <c r="D73" s="10" t="s">
        <v>442</v>
      </c>
      <c r="E73" s="10" t="s">
        <v>443</v>
      </c>
      <c r="F73" s="10" t="s">
        <v>444</v>
      </c>
    </row>
    <row r="74" spans="1:6">
      <c r="A74" s="10" t="s">
        <v>445</v>
      </c>
      <c r="B74" s="10" t="s">
        <v>446</v>
      </c>
      <c r="C74" s="10" t="s">
        <v>447</v>
      </c>
      <c r="D74" s="10" t="s">
        <v>448</v>
      </c>
      <c r="E74" s="10" t="s">
        <v>449</v>
      </c>
      <c r="F74" s="10" t="s">
        <v>450</v>
      </c>
    </row>
    <row r="75" spans="1:6">
      <c r="A75" s="10" t="s">
        <v>451</v>
      </c>
      <c r="B75" s="10" t="s">
        <v>452</v>
      </c>
      <c r="C75" s="10" t="s">
        <v>453</v>
      </c>
      <c r="D75" s="10" t="s">
        <v>454</v>
      </c>
      <c r="E75" s="10" t="s">
        <v>455</v>
      </c>
      <c r="F75" s="10" t="s">
        <v>456</v>
      </c>
    </row>
    <row r="76" spans="1:6">
      <c r="A76" s="10" t="s">
        <v>457</v>
      </c>
      <c r="B76" s="10" t="s">
        <v>458</v>
      </c>
      <c r="C76" s="10" t="s">
        <v>459</v>
      </c>
      <c r="D76" s="10" t="s">
        <v>460</v>
      </c>
      <c r="E76" s="10" t="s">
        <v>461</v>
      </c>
      <c r="F76" s="10" t="s">
        <v>462</v>
      </c>
    </row>
    <row r="77" spans="1:6">
      <c r="A77" s="10" t="s">
        <v>463</v>
      </c>
      <c r="B77" s="10" t="s">
        <v>464</v>
      </c>
      <c r="C77" s="10" t="s">
        <v>465</v>
      </c>
      <c r="D77" s="10" t="s">
        <v>466</v>
      </c>
      <c r="E77" s="10" t="s">
        <v>467</v>
      </c>
      <c r="F77" s="10" t="s">
        <v>468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34DC9-25CF-42D0-87E3-534D4C528BDE}">
  <dimension ref="A1:F77"/>
  <sheetViews>
    <sheetView workbookViewId="0">
      <selection activeCell="C2" sqref="C2:F77"/>
    </sheetView>
  </sheetViews>
  <sheetFormatPr defaultRowHeight="14.4"/>
  <cols>
    <col min="1" max="1" width="18.77734375" bestFit="1" customWidth="1"/>
    <col min="2" max="2" width="10.77734375" bestFit="1" customWidth="1"/>
    <col min="3" max="6" width="18.77734375" bestFit="1" customWidth="1"/>
  </cols>
  <sheetData>
    <row r="1" spans="1:6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 spans="1:6">
      <c r="A2" s="10" t="s">
        <v>0</v>
      </c>
      <c r="B2" s="10" t="s">
        <v>1</v>
      </c>
    </row>
    <row r="3" spans="1:6">
      <c r="A3" s="10" t="s">
        <v>469</v>
      </c>
      <c r="B3" s="10" t="s">
        <v>21</v>
      </c>
    </row>
    <row r="4" spans="1:6">
      <c r="A4" s="10" t="s">
        <v>470</v>
      </c>
      <c r="B4" s="10" t="s">
        <v>27</v>
      </c>
    </row>
    <row r="5" spans="1:6">
      <c r="A5" s="10" t="s">
        <v>471</v>
      </c>
      <c r="B5" s="10" t="s">
        <v>33</v>
      </c>
    </row>
    <row r="6" spans="1:6">
      <c r="A6" s="10" t="s">
        <v>472</v>
      </c>
      <c r="B6" s="10" t="s">
        <v>39</v>
      </c>
    </row>
    <row r="7" spans="1:6">
      <c r="A7" s="10" t="s">
        <v>473</v>
      </c>
      <c r="B7" s="10" t="s">
        <v>45</v>
      </c>
    </row>
    <row r="8" spans="1:6">
      <c r="A8" s="10" t="s">
        <v>474</v>
      </c>
      <c r="B8" s="10" t="s">
        <v>51</v>
      </c>
    </row>
    <row r="9" spans="1:6">
      <c r="A9" s="10" t="s">
        <v>475</v>
      </c>
      <c r="B9" s="10" t="s">
        <v>57</v>
      </c>
    </row>
    <row r="10" spans="1:6">
      <c r="A10" s="10" t="s">
        <v>476</v>
      </c>
      <c r="B10" s="10" t="s">
        <v>63</v>
      </c>
    </row>
    <row r="11" spans="1:6">
      <c r="A11" s="10" t="s">
        <v>477</v>
      </c>
      <c r="B11" s="10" t="s">
        <v>69</v>
      </c>
    </row>
    <row r="12" spans="1:6">
      <c r="A12" s="10" t="s">
        <v>478</v>
      </c>
      <c r="B12" s="10" t="s">
        <v>75</v>
      </c>
    </row>
    <row r="13" spans="1:6">
      <c r="A13" s="10" t="s">
        <v>479</v>
      </c>
      <c r="B13" s="10" t="s">
        <v>81</v>
      </c>
    </row>
    <row r="14" spans="1:6">
      <c r="A14" s="10" t="s">
        <v>480</v>
      </c>
      <c r="B14" s="10" t="s">
        <v>87</v>
      </c>
    </row>
    <row r="15" spans="1:6">
      <c r="A15" s="10" t="s">
        <v>481</v>
      </c>
      <c r="B15" s="10" t="s">
        <v>93</v>
      </c>
    </row>
    <row r="16" spans="1:6">
      <c r="A16" s="10" t="s">
        <v>482</v>
      </c>
      <c r="B16" s="10" t="s">
        <v>99</v>
      </c>
    </row>
    <row r="17" spans="1:2">
      <c r="A17" s="10" t="s">
        <v>483</v>
      </c>
      <c r="B17" s="10" t="s">
        <v>105</v>
      </c>
    </row>
    <row r="18" spans="1:2">
      <c r="A18" s="10" t="s">
        <v>484</v>
      </c>
      <c r="B18" s="10" t="s">
        <v>111</v>
      </c>
    </row>
    <row r="19" spans="1:2">
      <c r="A19" s="10" t="s">
        <v>485</v>
      </c>
      <c r="B19" s="10" t="s">
        <v>117</v>
      </c>
    </row>
    <row r="20" spans="1:2">
      <c r="A20" s="10" t="s">
        <v>486</v>
      </c>
      <c r="B20" s="10" t="s">
        <v>123</v>
      </c>
    </row>
    <row r="21" spans="1:2">
      <c r="A21" s="10" t="s">
        <v>487</v>
      </c>
      <c r="B21" s="10" t="s">
        <v>129</v>
      </c>
    </row>
    <row r="22" spans="1:2">
      <c r="A22" s="10" t="s">
        <v>488</v>
      </c>
      <c r="B22" s="10" t="s">
        <v>135</v>
      </c>
    </row>
    <row r="23" spans="1:2">
      <c r="A23" s="10" t="s">
        <v>489</v>
      </c>
      <c r="B23" s="10" t="s">
        <v>141</v>
      </c>
    </row>
    <row r="24" spans="1:2">
      <c r="A24" s="10" t="s">
        <v>490</v>
      </c>
      <c r="B24" s="10" t="s">
        <v>147</v>
      </c>
    </row>
    <row r="25" spans="1:2">
      <c r="A25" s="10" t="s">
        <v>491</v>
      </c>
      <c r="B25" s="10" t="s">
        <v>153</v>
      </c>
    </row>
    <row r="26" spans="1:2">
      <c r="A26" s="10" t="s">
        <v>492</v>
      </c>
      <c r="B26" s="10" t="s">
        <v>159</v>
      </c>
    </row>
    <row r="27" spans="1:2">
      <c r="A27" s="10" t="s">
        <v>493</v>
      </c>
      <c r="B27" s="10" t="s">
        <v>165</v>
      </c>
    </row>
    <row r="28" spans="1:2">
      <c r="A28" s="10" t="s">
        <v>494</v>
      </c>
      <c r="B28" s="10" t="s">
        <v>171</v>
      </c>
    </row>
    <row r="29" spans="1:2">
      <c r="A29" s="10" t="s">
        <v>495</v>
      </c>
      <c r="B29" s="10" t="s">
        <v>177</v>
      </c>
    </row>
    <row r="30" spans="1:2">
      <c r="A30" s="10" t="s">
        <v>496</v>
      </c>
      <c r="B30" s="10" t="s">
        <v>183</v>
      </c>
    </row>
    <row r="31" spans="1:2">
      <c r="A31" s="10" t="s">
        <v>497</v>
      </c>
      <c r="B31" s="10" t="s">
        <v>189</v>
      </c>
    </row>
    <row r="32" spans="1:2">
      <c r="A32" s="10" t="s">
        <v>498</v>
      </c>
      <c r="B32" s="10" t="s">
        <v>195</v>
      </c>
    </row>
    <row r="33" spans="1:2">
      <c r="A33" s="10" t="s">
        <v>499</v>
      </c>
      <c r="B33" s="10" t="s">
        <v>201</v>
      </c>
    </row>
    <row r="34" spans="1:2">
      <c r="A34" s="10" t="s">
        <v>500</v>
      </c>
      <c r="B34" s="10" t="s">
        <v>207</v>
      </c>
    </row>
    <row r="35" spans="1:2">
      <c r="A35" s="10" t="s">
        <v>501</v>
      </c>
      <c r="B35" s="10" t="s">
        <v>213</v>
      </c>
    </row>
    <row r="36" spans="1:2">
      <c r="A36" s="10" t="s">
        <v>502</v>
      </c>
      <c r="B36" s="10" t="s">
        <v>219</v>
      </c>
    </row>
    <row r="37" spans="1:2">
      <c r="A37" s="10" t="s">
        <v>503</v>
      </c>
      <c r="B37" s="10" t="s">
        <v>225</v>
      </c>
    </row>
    <row r="38" spans="1:2">
      <c r="A38" s="10" t="s">
        <v>504</v>
      </c>
      <c r="B38" s="10" t="s">
        <v>231</v>
      </c>
    </row>
    <row r="39" spans="1:2">
      <c r="A39" s="10" t="s">
        <v>505</v>
      </c>
      <c r="B39" s="10" t="s">
        <v>237</v>
      </c>
    </row>
    <row r="40" spans="1:2">
      <c r="A40" s="10" t="s">
        <v>506</v>
      </c>
      <c r="B40" s="10" t="s">
        <v>243</v>
      </c>
    </row>
    <row r="41" spans="1:2">
      <c r="A41" s="10" t="s">
        <v>507</v>
      </c>
      <c r="B41" s="10" t="s">
        <v>249</v>
      </c>
    </row>
    <row r="42" spans="1:2">
      <c r="A42" s="10" t="s">
        <v>508</v>
      </c>
      <c r="B42" s="10" t="s">
        <v>255</v>
      </c>
    </row>
    <row r="43" spans="1:2">
      <c r="A43" s="10" t="s">
        <v>509</v>
      </c>
      <c r="B43" s="10" t="s">
        <v>261</v>
      </c>
    </row>
    <row r="44" spans="1:2">
      <c r="A44" s="10" t="s">
        <v>510</v>
      </c>
      <c r="B44" s="10" t="s">
        <v>267</v>
      </c>
    </row>
    <row r="45" spans="1:2">
      <c r="A45" s="10" t="s">
        <v>511</v>
      </c>
      <c r="B45" s="10" t="s">
        <v>273</v>
      </c>
    </row>
    <row r="46" spans="1:2">
      <c r="A46" s="10" t="s">
        <v>512</v>
      </c>
      <c r="B46" s="10" t="s">
        <v>279</v>
      </c>
    </row>
    <row r="47" spans="1:2">
      <c r="A47" s="10" t="s">
        <v>513</v>
      </c>
      <c r="B47" s="10" t="s">
        <v>284</v>
      </c>
    </row>
    <row r="48" spans="1:2">
      <c r="A48" s="10" t="s">
        <v>514</v>
      </c>
      <c r="B48" s="10" t="s">
        <v>290</v>
      </c>
    </row>
    <row r="49" spans="1:2">
      <c r="A49" s="10" t="s">
        <v>515</v>
      </c>
      <c r="B49" s="10" t="s">
        <v>296</v>
      </c>
    </row>
    <row r="50" spans="1:2">
      <c r="A50" s="10" t="s">
        <v>516</v>
      </c>
      <c r="B50" s="10" t="s">
        <v>302</v>
      </c>
    </row>
    <row r="51" spans="1:2">
      <c r="A51" s="10" t="s">
        <v>517</v>
      </c>
      <c r="B51" s="10" t="s">
        <v>308</v>
      </c>
    </row>
    <row r="52" spans="1:2">
      <c r="A52" s="10" t="s">
        <v>518</v>
      </c>
      <c r="B52" s="10" t="s">
        <v>314</v>
      </c>
    </row>
    <row r="53" spans="1:2">
      <c r="A53" s="10" t="s">
        <v>519</v>
      </c>
      <c r="B53" s="10" t="s">
        <v>320</v>
      </c>
    </row>
    <row r="54" spans="1:2">
      <c r="A54" s="10" t="s">
        <v>520</v>
      </c>
      <c r="B54" s="10" t="s">
        <v>326</v>
      </c>
    </row>
    <row r="55" spans="1:2">
      <c r="A55" s="10" t="s">
        <v>521</v>
      </c>
      <c r="B55" s="10" t="s">
        <v>332</v>
      </c>
    </row>
    <row r="56" spans="1:2">
      <c r="A56" s="10" t="s">
        <v>522</v>
      </c>
      <c r="B56" s="10" t="s">
        <v>338</v>
      </c>
    </row>
    <row r="57" spans="1:2">
      <c r="A57" s="10" t="s">
        <v>523</v>
      </c>
      <c r="B57" s="10" t="s">
        <v>344</v>
      </c>
    </row>
    <row r="58" spans="1:2">
      <c r="A58" s="10" t="s">
        <v>524</v>
      </c>
      <c r="B58" s="10" t="s">
        <v>350</v>
      </c>
    </row>
    <row r="59" spans="1:2">
      <c r="A59" s="10" t="s">
        <v>525</v>
      </c>
      <c r="B59" s="10" t="s">
        <v>356</v>
      </c>
    </row>
    <row r="60" spans="1:2">
      <c r="A60" s="10" t="s">
        <v>526</v>
      </c>
      <c r="B60" s="10" t="s">
        <v>362</v>
      </c>
    </row>
    <row r="61" spans="1:2">
      <c r="A61" s="10" t="s">
        <v>527</v>
      </c>
      <c r="B61" s="10" t="s">
        <v>368</v>
      </c>
    </row>
    <row r="62" spans="1:2">
      <c r="A62" s="10" t="s">
        <v>528</v>
      </c>
      <c r="B62" s="10" t="s">
        <v>374</v>
      </c>
    </row>
    <row r="63" spans="1:2">
      <c r="A63" s="10" t="s">
        <v>529</v>
      </c>
      <c r="B63" s="10" t="s">
        <v>380</v>
      </c>
    </row>
    <row r="64" spans="1:2">
      <c r="A64" s="10" t="s">
        <v>530</v>
      </c>
      <c r="B64" s="10" t="s">
        <v>386</v>
      </c>
    </row>
    <row r="65" spans="1:2">
      <c r="A65" s="10" t="s">
        <v>531</v>
      </c>
      <c r="B65" s="10" t="s">
        <v>392</v>
      </c>
    </row>
    <row r="66" spans="1:2">
      <c r="A66" s="10" t="s">
        <v>532</v>
      </c>
      <c r="B66" s="10" t="s">
        <v>398</v>
      </c>
    </row>
    <row r="67" spans="1:2">
      <c r="A67" s="10" t="s">
        <v>533</v>
      </c>
      <c r="B67" s="10" t="s">
        <v>404</v>
      </c>
    </row>
    <row r="68" spans="1:2">
      <c r="A68" s="10" t="s">
        <v>534</v>
      </c>
      <c r="B68" s="10" t="s">
        <v>410</v>
      </c>
    </row>
    <row r="69" spans="1:2">
      <c r="A69" s="10" t="s">
        <v>535</v>
      </c>
      <c r="B69" s="10" t="s">
        <v>416</v>
      </c>
    </row>
    <row r="70" spans="1:2">
      <c r="A70" s="10" t="s">
        <v>536</v>
      </c>
      <c r="B70" s="10" t="s">
        <v>422</v>
      </c>
    </row>
    <row r="71" spans="1:2">
      <c r="A71" s="10" t="s">
        <v>537</v>
      </c>
      <c r="B71" s="10" t="s">
        <v>428</v>
      </c>
    </row>
    <row r="72" spans="1:2">
      <c r="A72" s="10" t="s">
        <v>538</v>
      </c>
      <c r="B72" s="10" t="s">
        <v>434</v>
      </c>
    </row>
    <row r="73" spans="1:2">
      <c r="A73" s="10" t="s">
        <v>539</v>
      </c>
      <c r="B73" s="10" t="s">
        <v>440</v>
      </c>
    </row>
    <row r="74" spans="1:2">
      <c r="A74" s="10" t="s">
        <v>540</v>
      </c>
      <c r="B74" s="10" t="s">
        <v>446</v>
      </c>
    </row>
    <row r="75" spans="1:2">
      <c r="A75" s="10" t="s">
        <v>541</v>
      </c>
      <c r="B75" s="10" t="s">
        <v>452</v>
      </c>
    </row>
    <row r="76" spans="1:2">
      <c r="A76" s="10" t="s">
        <v>542</v>
      </c>
      <c r="B76" s="10" t="s">
        <v>458</v>
      </c>
    </row>
    <row r="77" spans="1:2">
      <c r="A77" s="10" t="s">
        <v>543</v>
      </c>
      <c r="B77" s="10" t="s">
        <v>464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U87"/>
  <sheetViews>
    <sheetView tabSelected="1" topLeftCell="A56" zoomScale="115" zoomScaleNormal="115" workbookViewId="0">
      <selection activeCell="E87" sqref="E87"/>
    </sheetView>
  </sheetViews>
  <sheetFormatPr defaultRowHeight="14.4"/>
  <sheetData>
    <row r="1" spans="2:21">
      <c r="H1" s="7" t="s">
        <v>10</v>
      </c>
      <c r="I1" s="8"/>
      <c r="J1" s="8"/>
    </row>
    <row r="2" spans="2:21">
      <c r="T2" s="1" t="s">
        <v>3</v>
      </c>
    </row>
    <row r="3" spans="2:21">
      <c r="T3" s="2" t="s">
        <v>4</v>
      </c>
    </row>
    <row r="4" spans="2:21">
      <c r="J4" s="3" t="s">
        <v>8</v>
      </c>
    </row>
    <row r="5" spans="2:21">
      <c r="I5" s="5" t="s">
        <v>6</v>
      </c>
    </row>
    <row r="6" spans="2:21">
      <c r="T6" s="5" t="s">
        <v>6</v>
      </c>
    </row>
    <row r="7" spans="2:21">
      <c r="C7" s="4" t="s">
        <v>5</v>
      </c>
      <c r="H7" t="s">
        <v>0</v>
      </c>
      <c r="I7" t="s">
        <v>1</v>
      </c>
      <c r="J7" s="10" t="s">
        <v>2</v>
      </c>
      <c r="K7" s="10" t="s">
        <v>17</v>
      </c>
      <c r="L7" s="10" t="s">
        <v>18</v>
      </c>
      <c r="M7" s="10" t="s">
        <v>19</v>
      </c>
      <c r="O7" s="9" t="s">
        <v>9</v>
      </c>
      <c r="P7" s="9"/>
      <c r="S7" t="s">
        <v>0</v>
      </c>
      <c r="T7" t="s">
        <v>1</v>
      </c>
      <c r="U7" t="s">
        <v>2</v>
      </c>
    </row>
    <row r="8" spans="2:21">
      <c r="H8">
        <v>520.90048789978005</v>
      </c>
      <c r="I8">
        <v>0</v>
      </c>
      <c r="J8" s="10">
        <v>0.876735271398973</v>
      </c>
      <c r="K8" s="10">
        <v>0.93431959718584001</v>
      </c>
      <c r="L8" s="10">
        <v>0.96135518087548399</v>
      </c>
      <c r="M8" s="10">
        <v>0.98677901557718795</v>
      </c>
      <c r="S8">
        <v>1040.5108928679999</v>
      </c>
      <c r="T8">
        <v>0</v>
      </c>
      <c r="U8">
        <v>0.93054479899513998</v>
      </c>
    </row>
    <row r="9" spans="2:21">
      <c r="B9" t="s">
        <v>0</v>
      </c>
      <c r="C9" t="s">
        <v>1</v>
      </c>
      <c r="D9" s="10" t="s">
        <v>2</v>
      </c>
      <c r="E9" s="10" t="s">
        <v>17</v>
      </c>
      <c r="F9" s="10" t="s">
        <v>18</v>
      </c>
      <c r="G9" s="10" t="s">
        <v>19</v>
      </c>
      <c r="H9">
        <v>115.98229408264</v>
      </c>
      <c r="I9">
        <v>1</v>
      </c>
      <c r="J9" s="10">
        <v>0.83719396587255701</v>
      </c>
      <c r="K9" s="10">
        <v>0.91138331762911096</v>
      </c>
      <c r="L9" s="10">
        <v>0.94530377390421305</v>
      </c>
      <c r="M9" s="10">
        <v>0.98359730695316805</v>
      </c>
      <c r="N9" t="s">
        <v>0</v>
      </c>
      <c r="O9" t="s">
        <v>1</v>
      </c>
      <c r="P9" t="s">
        <v>2</v>
      </c>
      <c r="S9">
        <v>671.68617248534997</v>
      </c>
      <c r="T9">
        <v>1</v>
      </c>
      <c r="U9">
        <v>0.92999765721743999</v>
      </c>
    </row>
    <row r="10" spans="2:21">
      <c r="B10">
        <v>5157.1407318114998</v>
      </c>
      <c r="C10">
        <v>0</v>
      </c>
      <c r="D10" s="10">
        <v>0.83720529384433195</v>
      </c>
      <c r="E10" s="10">
        <v>0.91139002989969498</v>
      </c>
      <c r="F10" s="10">
        <v>0.94529531223557195</v>
      </c>
      <c r="G10" s="10">
        <v>0.98360053138663495</v>
      </c>
      <c r="H10">
        <v>114.46714401245001</v>
      </c>
      <c r="I10">
        <v>2</v>
      </c>
      <c r="J10" s="10">
        <v>0.86907756439947204</v>
      </c>
      <c r="K10" s="10">
        <v>0.92995344971539895</v>
      </c>
      <c r="L10" s="10">
        <v>0.95355819299150901</v>
      </c>
      <c r="M10" s="10">
        <v>0.986495762886754</v>
      </c>
      <c r="N10">
        <v>1105.5133342743</v>
      </c>
      <c r="O10">
        <v>0</v>
      </c>
      <c r="P10">
        <v>0.87651436411257999</v>
      </c>
      <c r="S10">
        <v>925.08506774902003</v>
      </c>
      <c r="T10">
        <v>2</v>
      </c>
      <c r="U10">
        <v>0.93259511077847002</v>
      </c>
    </row>
    <row r="11" spans="2:21">
      <c r="B11">
        <v>3608.0393791198999</v>
      </c>
      <c r="C11">
        <v>1</v>
      </c>
      <c r="D11" s="10">
        <v>0.82247706754124905</v>
      </c>
      <c r="E11" s="10">
        <v>0.90259250137053704</v>
      </c>
      <c r="F11" s="10">
        <v>0.94309219811054401</v>
      </c>
      <c r="G11" s="10">
        <v>0.98096685981739395</v>
      </c>
      <c r="H11">
        <v>111.84000968933</v>
      </c>
      <c r="I11">
        <v>3</v>
      </c>
      <c r="J11" s="10">
        <v>0.83732781332329698</v>
      </c>
      <c r="K11" s="10">
        <v>0.91146262224024799</v>
      </c>
      <c r="L11" s="10">
        <v>0.94846652967608203</v>
      </c>
      <c r="M11" s="10">
        <v>0.98328453021766504</v>
      </c>
      <c r="N11">
        <v>537.01186180114996</v>
      </c>
      <c r="O11">
        <v>1</v>
      </c>
      <c r="P11">
        <v>0.87915514864979005</v>
      </c>
      <c r="S11">
        <v>699.02896881104004</v>
      </c>
      <c r="T11">
        <v>3</v>
      </c>
      <c r="U11">
        <v>0.93481036904610004</v>
      </c>
    </row>
    <row r="12" spans="2:21">
      <c r="B12">
        <v>2827.7304172516001</v>
      </c>
      <c r="C12">
        <v>2</v>
      </c>
      <c r="D12" s="10">
        <v>0.83511635932600103</v>
      </c>
      <c r="E12" s="10">
        <v>0.91015085237725302</v>
      </c>
      <c r="F12" s="10">
        <v>0.94470093013782297</v>
      </c>
      <c r="G12" s="10">
        <v>0.98338748356153705</v>
      </c>
      <c r="H12">
        <v>109.99894142151</v>
      </c>
      <c r="I12">
        <v>4</v>
      </c>
      <c r="J12" s="10">
        <v>0.87947466861836199</v>
      </c>
      <c r="K12" s="10">
        <v>0.93587286203211295</v>
      </c>
      <c r="L12" s="10">
        <v>0.95863175436108305</v>
      </c>
      <c r="M12" s="10">
        <v>0.98914892707531799</v>
      </c>
      <c r="N12">
        <v>536.85259819031</v>
      </c>
      <c r="O12">
        <v>2</v>
      </c>
      <c r="P12">
        <v>0.86237628035447</v>
      </c>
      <c r="S12">
        <v>666.57757759094</v>
      </c>
      <c r="T12">
        <v>4</v>
      </c>
      <c r="U12">
        <v>0.94088215833649003</v>
      </c>
    </row>
    <row r="13" spans="2:21">
      <c r="B13">
        <v>3091.0663604736001</v>
      </c>
      <c r="C13">
        <v>3</v>
      </c>
      <c r="D13" s="10">
        <v>0.87288657352592902</v>
      </c>
      <c r="E13" s="10">
        <v>0.93212967177464201</v>
      </c>
      <c r="F13" s="10">
        <v>0.93831773797766005</v>
      </c>
      <c r="G13" s="10">
        <v>0.99225348629944499</v>
      </c>
      <c r="H13">
        <v>107.91563987732</v>
      </c>
      <c r="I13">
        <v>5</v>
      </c>
      <c r="J13" s="10">
        <v>0.87797456257819495</v>
      </c>
      <c r="K13" s="10">
        <v>0.93502284862991902</v>
      </c>
      <c r="L13" s="10">
        <v>0.957470295027116</v>
      </c>
      <c r="M13" s="10">
        <v>0.98537096014843895</v>
      </c>
      <c r="N13">
        <v>537.30583190918003</v>
      </c>
      <c r="O13">
        <v>3</v>
      </c>
      <c r="P13">
        <v>0.87790710613580003</v>
      </c>
      <c r="S13">
        <v>665.88354110718001</v>
      </c>
      <c r="T13">
        <v>5</v>
      </c>
      <c r="U13">
        <v>0.91230168980002002</v>
      </c>
    </row>
    <row r="14" spans="2:21">
      <c r="B14">
        <v>3344.0647125244</v>
      </c>
      <c r="C14">
        <v>4</v>
      </c>
      <c r="D14" s="10">
        <v>0.86916953513066597</v>
      </c>
      <c r="E14" s="10">
        <v>0.93000610035077003</v>
      </c>
      <c r="F14" s="10">
        <v>0.95355037450547997</v>
      </c>
      <c r="G14" s="10">
        <v>0.98651314145940905</v>
      </c>
      <c r="H14">
        <v>111.97423934937</v>
      </c>
      <c r="I14">
        <v>6</v>
      </c>
      <c r="J14" s="10">
        <v>0.86833466912917701</v>
      </c>
      <c r="K14" s="10">
        <v>0.92952797320182901</v>
      </c>
      <c r="L14" s="10">
        <v>0.94480970038901602</v>
      </c>
      <c r="M14" s="10">
        <v>0.98733071162478603</v>
      </c>
      <c r="N14">
        <v>687.92533874512003</v>
      </c>
      <c r="O14">
        <v>4</v>
      </c>
      <c r="P14">
        <v>0.85579776349866998</v>
      </c>
      <c r="S14">
        <v>662.44316101074003</v>
      </c>
      <c r="T14">
        <v>6</v>
      </c>
      <c r="U14">
        <v>0.93266715411487999</v>
      </c>
    </row>
    <row r="15" spans="2:21">
      <c r="B15">
        <v>2881.1597824096998</v>
      </c>
      <c r="C15">
        <v>5</v>
      </c>
      <c r="D15" s="10">
        <v>0.80849234701286599</v>
      </c>
      <c r="E15" s="10">
        <v>0.89410646204643696</v>
      </c>
      <c r="F15" s="10">
        <v>0.96182045594322396</v>
      </c>
      <c r="G15" s="10">
        <v>0.96963705863154304</v>
      </c>
      <c r="H15">
        <v>108.46972465515</v>
      </c>
      <c r="I15">
        <v>7</v>
      </c>
      <c r="J15" s="10">
        <v>0.89136559970250795</v>
      </c>
      <c r="K15" s="10">
        <v>0.94256298183990495</v>
      </c>
      <c r="L15" s="10">
        <v>0.96152956060231998</v>
      </c>
      <c r="M15" s="10">
        <v>0.98889595013406695</v>
      </c>
      <c r="N15">
        <v>537.65678405762003</v>
      </c>
      <c r="O15">
        <v>5</v>
      </c>
      <c r="P15">
        <v>0.86308417007561999</v>
      </c>
      <c r="S15">
        <v>669.53730583190998</v>
      </c>
      <c r="T15">
        <v>7</v>
      </c>
      <c r="U15">
        <v>0.92609263279341003</v>
      </c>
    </row>
    <row r="16" spans="2:21">
      <c r="B16">
        <v>3067.3284530639999</v>
      </c>
      <c r="C16">
        <v>6</v>
      </c>
      <c r="D16" s="10">
        <v>0.79856400370894498</v>
      </c>
      <c r="E16" s="10">
        <v>0.88800176369833905</v>
      </c>
      <c r="F16" s="10">
        <v>0.93744718637659097</v>
      </c>
      <c r="G16" s="10">
        <v>0.97328078826405395</v>
      </c>
      <c r="H16">
        <v>108.9289188385</v>
      </c>
      <c r="I16">
        <v>8</v>
      </c>
      <c r="J16" s="10">
        <v>0.88436482084690504</v>
      </c>
      <c r="K16" s="10">
        <v>0.93863439930855597</v>
      </c>
      <c r="L16" s="10">
        <v>0.94659192043379703</v>
      </c>
      <c r="M16" s="10">
        <v>0.99183788587514699</v>
      </c>
      <c r="N16">
        <v>538.64431381225995</v>
      </c>
      <c r="O16">
        <v>6</v>
      </c>
      <c r="P16">
        <v>0.88285473704091</v>
      </c>
      <c r="S16">
        <v>667.66786575316996</v>
      </c>
      <c r="T16">
        <v>8</v>
      </c>
      <c r="U16">
        <v>0.93932692200293</v>
      </c>
    </row>
    <row r="17" spans="2:21">
      <c r="B17">
        <v>3058.9122772217002</v>
      </c>
      <c r="C17">
        <v>7</v>
      </c>
      <c r="D17" s="10">
        <v>0.82507751998379397</v>
      </c>
      <c r="E17" s="10">
        <v>0.90415613687589602</v>
      </c>
      <c r="F17" s="10">
        <v>0.94974261474718802</v>
      </c>
      <c r="G17" s="10">
        <v>0.98202055342717198</v>
      </c>
      <c r="H17">
        <v>110.91160774231</v>
      </c>
      <c r="I17">
        <v>9</v>
      </c>
      <c r="J17" s="10">
        <v>0.82503758988461995</v>
      </c>
      <c r="K17" s="10">
        <v>0.90413216084692205</v>
      </c>
      <c r="L17" s="10">
        <v>0.949733646619912</v>
      </c>
      <c r="M17" s="10">
        <v>0.98201521764649302</v>
      </c>
      <c r="N17">
        <v>537.29629516601995</v>
      </c>
      <c r="O17">
        <v>7</v>
      </c>
      <c r="P17">
        <v>0.74608590927338003</v>
      </c>
      <c r="S17">
        <v>657.55820274353005</v>
      </c>
      <c r="T17">
        <v>9</v>
      </c>
      <c r="U17">
        <v>0.93616167899941005</v>
      </c>
    </row>
    <row r="18" spans="2:21">
      <c r="B18">
        <v>3008.3155632019002</v>
      </c>
      <c r="C18">
        <v>8</v>
      </c>
      <c r="D18" s="10">
        <v>0.86721306941281595</v>
      </c>
      <c r="E18" s="10">
        <v>0.92888496082081196</v>
      </c>
      <c r="F18" s="10">
        <v>0.94809200314471698</v>
      </c>
      <c r="G18" s="10">
        <v>0.99025345442518198</v>
      </c>
      <c r="H18">
        <v>110.74805259705001</v>
      </c>
      <c r="I18">
        <v>10</v>
      </c>
      <c r="J18" s="10">
        <v>0.83180728573112706</v>
      </c>
      <c r="K18" s="10">
        <v>0.90818209121723004</v>
      </c>
      <c r="L18" s="10">
        <v>0.94573643410852704</v>
      </c>
      <c r="M18" s="10">
        <v>0.987214430947291</v>
      </c>
      <c r="N18">
        <v>539.10374641418002</v>
      </c>
      <c r="O18">
        <v>8</v>
      </c>
      <c r="P18">
        <v>0.86982776571377995</v>
      </c>
      <c r="S18">
        <v>667.45829582214003</v>
      </c>
      <c r="T18">
        <v>10</v>
      </c>
      <c r="U18">
        <v>0.93789735623255999</v>
      </c>
    </row>
    <row r="19" spans="2:21">
      <c r="B19">
        <v>3063.0700588226</v>
      </c>
      <c r="C19">
        <v>9</v>
      </c>
      <c r="D19" s="10">
        <v>0.86473061434476395</v>
      </c>
      <c r="E19" s="10">
        <v>0.92745902029244698</v>
      </c>
      <c r="F19" s="10">
        <v>0.94248673105368397</v>
      </c>
      <c r="G19" s="10">
        <v>0.99015911945227097</v>
      </c>
      <c r="H19">
        <v>98.861217498778998</v>
      </c>
      <c r="I19">
        <v>11</v>
      </c>
      <c r="J19" s="10">
        <v>0.87133539537385696</v>
      </c>
      <c r="K19" s="10">
        <v>0.93124449794290398</v>
      </c>
      <c r="L19" s="10">
        <v>0.93131477195958001</v>
      </c>
      <c r="M19" s="10">
        <v>0.98946817471086401</v>
      </c>
      <c r="N19">
        <v>539.57438468933003</v>
      </c>
      <c r="O19">
        <v>9</v>
      </c>
      <c r="P19">
        <v>0.86336552131320998</v>
      </c>
      <c r="S19">
        <v>669.68750953673998</v>
      </c>
      <c r="T19">
        <v>11</v>
      </c>
      <c r="U19">
        <v>0.91828727523078002</v>
      </c>
    </row>
    <row r="20" spans="2:21">
      <c r="B20">
        <v>3129.3795108794998</v>
      </c>
      <c r="C20">
        <v>10</v>
      </c>
      <c r="D20" s="10">
        <v>0.82723703913553703</v>
      </c>
      <c r="E20" s="10">
        <v>0.90545125938001103</v>
      </c>
      <c r="F20" s="10">
        <v>0.95926450849907496</v>
      </c>
      <c r="G20" s="10">
        <v>0.981949715244125</v>
      </c>
      <c r="H20">
        <v>108.9391708374</v>
      </c>
      <c r="I20">
        <v>12</v>
      </c>
      <c r="J20" s="10">
        <v>0.52307929084138804</v>
      </c>
      <c r="K20" s="10">
        <v>0.68687072825003803</v>
      </c>
      <c r="L20" s="10">
        <v>0.96894872302514301</v>
      </c>
      <c r="M20" s="10">
        <v>0.88329623409277402</v>
      </c>
      <c r="N20">
        <v>539.35098648071005</v>
      </c>
      <c r="O20">
        <v>10</v>
      </c>
      <c r="P20">
        <v>0.87957844806150998</v>
      </c>
      <c r="S20">
        <v>657.88078308105003</v>
      </c>
      <c r="T20">
        <v>12</v>
      </c>
      <c r="U20">
        <v>0.92812201519126003</v>
      </c>
    </row>
    <row r="21" spans="2:21">
      <c r="B21">
        <v>3831.9051265716998</v>
      </c>
      <c r="C21">
        <v>11</v>
      </c>
      <c r="D21" s="10">
        <v>0.86284791554529106</v>
      </c>
      <c r="E21" s="10">
        <v>0.92637505009926602</v>
      </c>
      <c r="F21" s="10">
        <v>0.95590201302261102</v>
      </c>
      <c r="G21" s="10">
        <v>0.98812940462818699</v>
      </c>
      <c r="H21">
        <v>108.21080207825</v>
      </c>
      <c r="I21">
        <v>13</v>
      </c>
      <c r="J21" s="10">
        <v>0.87029367606420405</v>
      </c>
      <c r="K21" s="10">
        <v>0.93064922071022205</v>
      </c>
      <c r="L21" s="10">
        <v>0.95707175445873005</v>
      </c>
      <c r="M21" s="10">
        <v>0.98645911412862097</v>
      </c>
      <c r="N21">
        <v>538.12408447266</v>
      </c>
      <c r="O21">
        <v>11</v>
      </c>
      <c r="P21">
        <v>0.88586860690654001</v>
      </c>
      <c r="S21">
        <v>662.35542297362997</v>
      </c>
      <c r="T21">
        <v>13</v>
      </c>
      <c r="U21">
        <v>0.92795149768141005</v>
      </c>
    </row>
    <row r="22" spans="2:21">
      <c r="B22">
        <v>3044.6779727936</v>
      </c>
      <c r="C22">
        <v>12</v>
      </c>
      <c r="D22" s="10">
        <v>0.787794109428268</v>
      </c>
      <c r="E22" s="10">
        <v>0.88130294788833596</v>
      </c>
      <c r="F22" s="10">
        <v>0.95747137714246899</v>
      </c>
      <c r="G22" s="10">
        <v>0.96884759687231503</v>
      </c>
      <c r="H22">
        <v>110.04614830017</v>
      </c>
      <c r="I22">
        <v>14</v>
      </c>
      <c r="J22" s="10">
        <v>0.84555612781870704</v>
      </c>
      <c r="K22" s="10">
        <v>0.91631580863171402</v>
      </c>
      <c r="L22" s="10">
        <v>0.96488986559002399</v>
      </c>
      <c r="M22" s="10">
        <v>0.98220633308060501</v>
      </c>
      <c r="N22">
        <v>539.78991508484</v>
      </c>
      <c r="O22">
        <v>12</v>
      </c>
      <c r="P22">
        <v>0.87412288004566996</v>
      </c>
      <c r="S22">
        <v>676.30290985107001</v>
      </c>
      <c r="T22">
        <v>14</v>
      </c>
      <c r="U22">
        <v>0.93761455065080002</v>
      </c>
    </row>
    <row r="23" spans="2:21">
      <c r="B23">
        <v>3156.005859375</v>
      </c>
      <c r="C23">
        <v>13</v>
      </c>
      <c r="D23" s="10">
        <v>0.86780682355895</v>
      </c>
      <c r="E23" s="10">
        <v>0.92922545588030003</v>
      </c>
      <c r="F23" s="10">
        <v>0.94780251653254299</v>
      </c>
      <c r="G23" s="10">
        <v>0.99083629790629302</v>
      </c>
      <c r="H23">
        <v>109.787940979</v>
      </c>
      <c r="I23">
        <v>15</v>
      </c>
      <c r="J23" s="10">
        <v>0.876363102663829</v>
      </c>
      <c r="K23" s="10">
        <v>0.93410822395694804</v>
      </c>
      <c r="L23" s="10">
        <v>0.957997080010909</v>
      </c>
      <c r="M23" s="10">
        <v>0.98743178507183504</v>
      </c>
      <c r="N23">
        <v>539.23869132996003</v>
      </c>
      <c r="O23">
        <v>13</v>
      </c>
      <c r="P23">
        <v>0.84224854505197</v>
      </c>
      <c r="S23">
        <v>961.69471740722997</v>
      </c>
      <c r="T23">
        <v>15</v>
      </c>
      <c r="U23">
        <v>0.93056787620213999</v>
      </c>
    </row>
    <row r="24" spans="2:21">
      <c r="B24">
        <v>3421.3364124298</v>
      </c>
      <c r="C24">
        <v>14</v>
      </c>
      <c r="D24" s="10">
        <v>0.87540139519433002</v>
      </c>
      <c r="E24" s="10">
        <v>0.93356163372547796</v>
      </c>
      <c r="F24" s="10">
        <v>0.95599138419680296</v>
      </c>
      <c r="G24" s="10">
        <v>0.98670575305507902</v>
      </c>
      <c r="H24">
        <v>107.70344734192</v>
      </c>
      <c r="I24">
        <v>16</v>
      </c>
      <c r="J24" s="10">
        <v>0.88062278975685604</v>
      </c>
      <c r="K24" s="10">
        <v>0.93652251217343896</v>
      </c>
      <c r="L24" s="10">
        <v>0.93879272407217196</v>
      </c>
      <c r="M24" s="10">
        <v>0.99012755471171898</v>
      </c>
      <c r="N24">
        <v>537.98079490661996</v>
      </c>
      <c r="O24">
        <v>14</v>
      </c>
      <c r="P24">
        <v>0.87306830408235003</v>
      </c>
      <c r="S24">
        <v>664.83259201049998</v>
      </c>
      <c r="T24">
        <v>16</v>
      </c>
      <c r="U24">
        <v>0.93082491807664003</v>
      </c>
    </row>
    <row r="25" spans="2:21">
      <c r="B25">
        <v>3448.2400417327999</v>
      </c>
      <c r="C25">
        <v>15</v>
      </c>
      <c r="D25" s="10">
        <v>0.84557390999275905</v>
      </c>
      <c r="E25" s="10">
        <v>0.91632624996966505</v>
      </c>
      <c r="F25" s="10">
        <v>0.96488134784756596</v>
      </c>
      <c r="G25" s="10">
        <v>0.98221062873318998</v>
      </c>
      <c r="H25">
        <v>105.89814186096</v>
      </c>
      <c r="I25">
        <v>17</v>
      </c>
      <c r="J25" s="10">
        <v>0.87020646997134399</v>
      </c>
      <c r="K25" s="10">
        <v>0.93059935781815295</v>
      </c>
      <c r="L25" s="10">
        <v>0.95734158332169805</v>
      </c>
      <c r="M25" s="10">
        <v>0.98506731543734405</v>
      </c>
      <c r="N25">
        <v>765.77377319335994</v>
      </c>
      <c r="O25">
        <v>15</v>
      </c>
      <c r="P25">
        <v>0.79617661129193995</v>
      </c>
      <c r="S25">
        <v>660.47596931457997</v>
      </c>
      <c r="T25">
        <v>17</v>
      </c>
      <c r="U25">
        <v>0.90821419420958005</v>
      </c>
    </row>
    <row r="26" spans="2:21">
      <c r="B26">
        <v>3440.6261444092002</v>
      </c>
      <c r="C26">
        <v>16</v>
      </c>
      <c r="D26" s="10">
        <v>0.83733062330623298</v>
      </c>
      <c r="E26" s="10">
        <v>0.91146428703123195</v>
      </c>
      <c r="F26" s="10">
        <v>0.94839831859689805</v>
      </c>
      <c r="G26" s="10">
        <v>0.98329526797688804</v>
      </c>
      <c r="H26">
        <v>98.356962203978995</v>
      </c>
      <c r="I26">
        <v>18</v>
      </c>
      <c r="J26" s="10">
        <v>0.88646365076570999</v>
      </c>
      <c r="K26" s="10">
        <v>0.93981524680414297</v>
      </c>
      <c r="L26" s="10">
        <v>0.93877138884789502</v>
      </c>
      <c r="M26" s="10">
        <v>0.99174085618087704</v>
      </c>
      <c r="N26">
        <v>537.08291053771995</v>
      </c>
      <c r="O26">
        <v>16</v>
      </c>
      <c r="P26">
        <v>0.90745007044004</v>
      </c>
      <c r="S26">
        <v>671.30827903748002</v>
      </c>
      <c r="T26">
        <v>18</v>
      </c>
      <c r="U26">
        <v>0.92634264614994999</v>
      </c>
    </row>
    <row r="27" spans="2:21">
      <c r="B27">
        <v>3243.2541847228999</v>
      </c>
      <c r="C27">
        <v>17</v>
      </c>
      <c r="D27" s="10">
        <v>0.82863722568409603</v>
      </c>
      <c r="E27" s="10">
        <v>0.906289354767019</v>
      </c>
      <c r="F27" s="10">
        <v>0.96293880855465797</v>
      </c>
      <c r="G27" s="10">
        <v>0.97637501024394202</v>
      </c>
      <c r="H27">
        <v>101.60398483276001</v>
      </c>
      <c r="I27">
        <v>19</v>
      </c>
      <c r="J27" s="10">
        <v>0.87888160994664899</v>
      </c>
      <c r="K27" s="10">
        <v>0.93553697613933695</v>
      </c>
      <c r="L27" s="10">
        <v>0.95414304926445703</v>
      </c>
      <c r="M27" s="10">
        <v>0.98880817103797503</v>
      </c>
      <c r="N27">
        <v>538.63453865050997</v>
      </c>
      <c r="O27">
        <v>17</v>
      </c>
      <c r="P27">
        <v>0.85617016024519998</v>
      </c>
      <c r="S27">
        <v>681.11634254455998</v>
      </c>
      <c r="T27">
        <v>19</v>
      </c>
      <c r="U27">
        <v>0.92030293291139997</v>
      </c>
    </row>
    <row r="28" spans="2:21">
      <c r="B28">
        <v>3628.7543773651</v>
      </c>
      <c r="C28">
        <v>18</v>
      </c>
      <c r="D28" s="10">
        <v>0.74302155187819396</v>
      </c>
      <c r="E28" s="10">
        <v>0.85256725721784699</v>
      </c>
      <c r="F28" s="10">
        <v>0.95901722531299805</v>
      </c>
      <c r="G28" s="10">
        <v>0.966487589197491</v>
      </c>
      <c r="H28">
        <v>92.487812042236001</v>
      </c>
      <c r="I28">
        <v>20</v>
      </c>
      <c r="J28" s="10">
        <v>0.88257658408214801</v>
      </c>
      <c r="K28" s="10">
        <v>0.93762622094064596</v>
      </c>
      <c r="L28" s="10">
        <v>0.94951521230357705</v>
      </c>
      <c r="M28" s="10">
        <v>0.98825769631904803</v>
      </c>
      <c r="N28">
        <v>540.29774665832997</v>
      </c>
      <c r="O28">
        <v>18</v>
      </c>
      <c r="P28">
        <v>0.86129528892537999</v>
      </c>
      <c r="S28">
        <v>667.05942153931005</v>
      </c>
      <c r="T28">
        <v>20</v>
      </c>
      <c r="U28">
        <v>0.92365156090764999</v>
      </c>
    </row>
    <row r="29" spans="2:21">
      <c r="B29">
        <v>3450.9367942809999</v>
      </c>
      <c r="C29">
        <v>19</v>
      </c>
      <c r="D29" s="10">
        <v>0.88435624892850995</v>
      </c>
      <c r="E29" s="10">
        <v>0.938629571166679</v>
      </c>
      <c r="F29" s="10">
        <v>0.94658274536429599</v>
      </c>
      <c r="G29" s="10">
        <v>0.99183788587514699</v>
      </c>
      <c r="H29">
        <v>99.919795989990007</v>
      </c>
      <c r="I29">
        <v>21</v>
      </c>
      <c r="J29" s="10">
        <v>0.88163730422340003</v>
      </c>
      <c r="K29" s="10">
        <v>0.93709590285496003</v>
      </c>
      <c r="L29" s="10">
        <v>0.954185528288929</v>
      </c>
      <c r="M29" s="10">
        <v>0.98703677128064704</v>
      </c>
      <c r="N29">
        <v>540.12393951416004</v>
      </c>
      <c r="O29">
        <v>19</v>
      </c>
      <c r="P29">
        <v>0.86888901628066995</v>
      </c>
      <c r="S29">
        <v>663.44666481017998</v>
      </c>
      <c r="T29">
        <v>21</v>
      </c>
      <c r="U29">
        <v>0.93016868823154997</v>
      </c>
    </row>
    <row r="30" spans="2:21">
      <c r="B30">
        <v>3625.0815391541</v>
      </c>
      <c r="C30">
        <v>20</v>
      </c>
      <c r="D30" s="10">
        <v>0.85945339255393605</v>
      </c>
      <c r="E30" s="10">
        <v>0.92441509531302402</v>
      </c>
      <c r="F30" s="10">
        <v>0.94882656951622402</v>
      </c>
      <c r="G30" s="10">
        <v>0.98970918679623299</v>
      </c>
      <c r="H30">
        <v>98.260879516602003</v>
      </c>
      <c r="I30">
        <v>22</v>
      </c>
      <c r="J30" s="10">
        <v>0.87534687381059395</v>
      </c>
      <c r="K30" s="10">
        <v>0.93353062949036303</v>
      </c>
      <c r="L30" s="10">
        <v>0.95599138419680296</v>
      </c>
      <c r="M30" s="10">
        <v>0.98669593052634497</v>
      </c>
      <c r="N30">
        <v>541.11719131469999</v>
      </c>
      <c r="O30">
        <v>20</v>
      </c>
      <c r="P30">
        <v>0.79727661812878003</v>
      </c>
      <c r="S30">
        <v>664.22319412231002</v>
      </c>
      <c r="T30">
        <v>22</v>
      </c>
      <c r="U30">
        <v>0.93270712607128003</v>
      </c>
    </row>
    <row r="31" spans="2:21">
      <c r="B31">
        <v>3594.9466228484998</v>
      </c>
      <c r="C31">
        <v>21</v>
      </c>
      <c r="D31" s="10">
        <v>0.84820654175626997</v>
      </c>
      <c r="E31" s="10">
        <v>0.91786986204502496</v>
      </c>
      <c r="F31" s="10">
        <v>0.97073160782394097</v>
      </c>
      <c r="G31" s="10">
        <v>0.97643121546685496</v>
      </c>
      <c r="H31">
        <v>100.25787353516</v>
      </c>
      <c r="I31">
        <v>23</v>
      </c>
      <c r="J31" s="10">
        <v>0.88440133095204498</v>
      </c>
      <c r="K31" s="10">
        <v>0.93865496317095498</v>
      </c>
      <c r="L31" s="10">
        <v>0.95325654584085495</v>
      </c>
      <c r="M31" s="10">
        <v>0.98944423867911602</v>
      </c>
      <c r="N31">
        <v>538.50150108337004</v>
      </c>
      <c r="O31">
        <v>21</v>
      </c>
      <c r="P31">
        <v>0.86460039016899004</v>
      </c>
      <c r="S31">
        <v>666.80884361266999</v>
      </c>
      <c r="T31">
        <v>23</v>
      </c>
      <c r="U31">
        <v>0.94010587170021997</v>
      </c>
    </row>
    <row r="32" spans="2:21">
      <c r="B32">
        <v>3535.7379913330001</v>
      </c>
      <c r="C32">
        <v>22</v>
      </c>
      <c r="D32" s="10">
        <v>0.87598811247887998</v>
      </c>
      <c r="E32" s="10">
        <v>0.93389516346281398</v>
      </c>
      <c r="F32" s="10">
        <v>0.930807578866376</v>
      </c>
      <c r="G32" s="10">
        <v>0.99154802729571501</v>
      </c>
      <c r="H32">
        <v>99.587917327881001</v>
      </c>
      <c r="I32">
        <v>24</v>
      </c>
      <c r="J32" s="10">
        <v>0.87478731016935596</v>
      </c>
      <c r="K32" s="10">
        <v>0.93321232272511301</v>
      </c>
      <c r="L32" s="10">
        <v>0.95079332158042096</v>
      </c>
      <c r="M32" s="10">
        <v>0.98922239135561596</v>
      </c>
      <c r="N32">
        <v>539.48187828063999</v>
      </c>
      <c r="O32">
        <v>22</v>
      </c>
      <c r="P32">
        <v>0.77719617471355995</v>
      </c>
      <c r="S32">
        <v>669.87681388855003</v>
      </c>
      <c r="T32">
        <v>24</v>
      </c>
      <c r="U32">
        <v>0.90532046563174995</v>
      </c>
    </row>
    <row r="33" spans="2:21">
      <c r="B33">
        <v>3594.0399169921998</v>
      </c>
      <c r="C33">
        <v>23</v>
      </c>
      <c r="D33" s="10">
        <v>0.88015287277932697</v>
      </c>
      <c r="E33" s="10">
        <v>0.93625671137926703</v>
      </c>
      <c r="F33" s="10">
        <v>0.95112589933307001</v>
      </c>
      <c r="G33" s="10">
        <v>0.98787642754489702</v>
      </c>
      <c r="H33">
        <v>99.843502044678004</v>
      </c>
      <c r="I33">
        <v>25</v>
      </c>
      <c r="J33" s="10">
        <v>0.85946702991002</v>
      </c>
      <c r="K33" s="10">
        <v>0.92442298366710995</v>
      </c>
      <c r="L33" s="10">
        <v>0.94886893162755204</v>
      </c>
      <c r="M33" s="10">
        <v>0.98970604264310003</v>
      </c>
      <c r="N33">
        <v>537.77790069579999</v>
      </c>
      <c r="O33">
        <v>23</v>
      </c>
      <c r="P33">
        <v>0.53947825929890003</v>
      </c>
      <c r="S33">
        <v>870.27025222778002</v>
      </c>
      <c r="T33">
        <v>25</v>
      </c>
      <c r="U33">
        <v>0.91350683711073</v>
      </c>
    </row>
    <row r="34" spans="2:21">
      <c r="B34">
        <v>3550.1952171326002</v>
      </c>
      <c r="C34">
        <v>24</v>
      </c>
      <c r="D34" s="10">
        <v>0.87179371080573198</v>
      </c>
      <c r="E34" s="10">
        <v>0.93150618657700202</v>
      </c>
      <c r="F34" s="10">
        <v>0.94715870426091797</v>
      </c>
      <c r="G34" s="10">
        <v>0.98862085004753897</v>
      </c>
      <c r="H34">
        <v>102.96106338500999</v>
      </c>
      <c r="I34">
        <v>26</v>
      </c>
      <c r="J34" s="10">
        <v>0.85955822909150903</v>
      </c>
      <c r="K34" s="10">
        <v>0.92447573369234903</v>
      </c>
      <c r="L34" s="10">
        <v>0.94961921499707003</v>
      </c>
      <c r="M34" s="10">
        <v>0.98844829101412501</v>
      </c>
      <c r="N34">
        <v>541.59069061279001</v>
      </c>
      <c r="O34">
        <v>24</v>
      </c>
      <c r="P34">
        <v>0.79548097046740995</v>
      </c>
      <c r="S34">
        <v>672.10006713867006</v>
      </c>
      <c r="T34">
        <v>26</v>
      </c>
      <c r="U34">
        <v>0.92171545937872001</v>
      </c>
    </row>
    <row r="35" spans="2:21">
      <c r="B35">
        <v>3475.6104946136002</v>
      </c>
      <c r="C35">
        <v>25</v>
      </c>
      <c r="D35" s="10">
        <v>0.87019805617714796</v>
      </c>
      <c r="E35" s="10">
        <v>0.93059454671438402</v>
      </c>
      <c r="F35" s="10">
        <v>0.957319537628324</v>
      </c>
      <c r="G35" s="10">
        <v>0.98506950723017594</v>
      </c>
      <c r="H35">
        <v>100.52704811096</v>
      </c>
      <c r="I35">
        <v>27</v>
      </c>
      <c r="J35" s="10">
        <v>0.86282544340171297</v>
      </c>
      <c r="K35" s="10">
        <v>0.92636209845416795</v>
      </c>
      <c r="L35" s="10">
        <v>0.95590201302261102</v>
      </c>
      <c r="M35" s="10">
        <v>0.98812622869078304</v>
      </c>
      <c r="N35">
        <v>540.60387611389001</v>
      </c>
      <c r="O35">
        <v>25</v>
      </c>
      <c r="P35">
        <v>0.88617683447303996</v>
      </c>
      <c r="S35">
        <v>666.65339469909998</v>
      </c>
      <c r="T35">
        <v>27</v>
      </c>
      <c r="U35">
        <v>0.92435720627964002</v>
      </c>
    </row>
    <row r="36" spans="2:21">
      <c r="B36">
        <v>3449.2294788361</v>
      </c>
      <c r="C36">
        <v>26</v>
      </c>
      <c r="D36" s="10">
        <v>0.85472299721004297</v>
      </c>
      <c r="E36" s="10">
        <v>0.92167185989040501</v>
      </c>
      <c r="F36" s="10">
        <v>0.96482090327046199</v>
      </c>
      <c r="G36" s="10">
        <v>0.98404280404203204</v>
      </c>
      <c r="H36">
        <v>92.804193496704002</v>
      </c>
      <c r="I36">
        <v>28</v>
      </c>
      <c r="J36" s="10">
        <v>0.82859243778783997</v>
      </c>
      <c r="K36" s="10">
        <v>0.90626256640352099</v>
      </c>
      <c r="L36" s="10">
        <v>0.96296129714169998</v>
      </c>
      <c r="M36" s="10">
        <v>0.97636189799765005</v>
      </c>
      <c r="N36">
        <v>539.32094573974996</v>
      </c>
      <c r="O36">
        <v>26</v>
      </c>
      <c r="P36">
        <v>0.88722546802130997</v>
      </c>
      <c r="S36">
        <v>667.28401184081997</v>
      </c>
      <c r="T36">
        <v>28</v>
      </c>
      <c r="U36">
        <v>0.94299502739597996</v>
      </c>
    </row>
    <row r="37" spans="2:21">
      <c r="B37">
        <v>3123.1181621552</v>
      </c>
      <c r="C37">
        <v>27</v>
      </c>
      <c r="D37" s="10">
        <v>0.86939407730324803</v>
      </c>
      <c r="E37" s="10">
        <v>0.93013462261249802</v>
      </c>
      <c r="F37" s="10">
        <v>0.95357737104825202</v>
      </c>
      <c r="G37" s="10">
        <v>0.98816656071473596</v>
      </c>
      <c r="H37">
        <v>92.817783355713004</v>
      </c>
      <c r="I37">
        <v>29</v>
      </c>
      <c r="J37" s="10">
        <v>0.87177416920708695</v>
      </c>
      <c r="K37" s="10">
        <v>0.93149503134385503</v>
      </c>
      <c r="L37" s="10">
        <v>0.94721609589321798</v>
      </c>
      <c r="M37" s="10">
        <v>0.98860897877956799</v>
      </c>
      <c r="N37">
        <v>540.42506217956998</v>
      </c>
      <c r="O37">
        <v>27</v>
      </c>
      <c r="P37">
        <v>0.89968369032412998</v>
      </c>
      <c r="S37">
        <v>666.53251647949003</v>
      </c>
      <c r="T37">
        <v>29</v>
      </c>
      <c r="U37">
        <v>0.92897621995860002</v>
      </c>
    </row>
    <row r="38" spans="2:21">
      <c r="B38">
        <v>3132.1105957031</v>
      </c>
      <c r="C38">
        <v>28</v>
      </c>
      <c r="D38" s="10">
        <v>0.86723526760790703</v>
      </c>
      <c r="E38" s="10">
        <v>0.928897694524495</v>
      </c>
      <c r="F38" s="10">
        <v>0.96307722186533595</v>
      </c>
      <c r="G38" s="10">
        <v>0.98382533327794097</v>
      </c>
      <c r="H38">
        <v>99.832773208617994</v>
      </c>
      <c r="I38">
        <v>30</v>
      </c>
      <c r="J38" s="10">
        <v>0.87850525399490098</v>
      </c>
      <c r="K38" s="10">
        <v>0.93532371243214596</v>
      </c>
      <c r="L38" s="10">
        <v>0.96238071560420402</v>
      </c>
      <c r="M38" s="10">
        <v>0.984456004515598</v>
      </c>
      <c r="N38">
        <v>982.81931877136003</v>
      </c>
      <c r="O38">
        <v>28</v>
      </c>
      <c r="P38">
        <v>0.85233442693874995</v>
      </c>
      <c r="S38">
        <v>669.15774345397995</v>
      </c>
      <c r="T38">
        <v>30</v>
      </c>
      <c r="U38">
        <v>0.93414555077239003</v>
      </c>
    </row>
    <row r="39" spans="2:21">
      <c r="B39">
        <v>3022.705078125</v>
      </c>
      <c r="C39">
        <v>29</v>
      </c>
      <c r="D39" s="10">
        <v>0.876361288050019</v>
      </c>
      <c r="E39" s="10">
        <v>0.93410719314164103</v>
      </c>
      <c r="F39" s="10">
        <v>0.95798103611481</v>
      </c>
      <c r="G39" s="10">
        <v>0.98743394976610399</v>
      </c>
      <c r="H39">
        <v>97.736120223998995</v>
      </c>
      <c r="I39">
        <v>31</v>
      </c>
      <c r="J39" s="10">
        <v>0.85529359031824204</v>
      </c>
      <c r="K39" s="10">
        <v>0.92200349829433903</v>
      </c>
      <c r="L39" s="10">
        <v>0.95609736544108004</v>
      </c>
      <c r="M39" s="10">
        <v>0.98760417248549903</v>
      </c>
      <c r="N39">
        <v>540.79198837280001</v>
      </c>
      <c r="O39">
        <v>29</v>
      </c>
      <c r="P39">
        <v>0.85427466521781004</v>
      </c>
      <c r="S39">
        <v>653.64694595337005</v>
      </c>
      <c r="T39">
        <v>31</v>
      </c>
      <c r="U39">
        <v>0.93015058104243997</v>
      </c>
    </row>
    <row r="40" spans="2:21">
      <c r="B40">
        <v>2927.3643493651998</v>
      </c>
      <c r="C40">
        <v>30</v>
      </c>
      <c r="D40" s="10">
        <v>0.88063080109261704</v>
      </c>
      <c r="E40" s="10">
        <v>0.936527042501893</v>
      </c>
      <c r="F40" s="10">
        <v>0.93875605104884796</v>
      </c>
      <c r="G40" s="10">
        <v>0.99013522816464095</v>
      </c>
      <c r="H40">
        <v>94.894170761108001</v>
      </c>
      <c r="I40">
        <v>32</v>
      </c>
      <c r="J40" s="10">
        <v>0.87180777060751502</v>
      </c>
      <c r="K40" s="10">
        <v>0.93151421240714305</v>
      </c>
      <c r="L40" s="10">
        <v>0.94015630562666297</v>
      </c>
      <c r="M40" s="10">
        <v>0.99006127216575901</v>
      </c>
      <c r="N40">
        <v>540.48109054564998</v>
      </c>
      <c r="O40">
        <v>30</v>
      </c>
      <c r="P40">
        <v>0.87741353240605002</v>
      </c>
      <c r="S40">
        <v>664.60371017455998</v>
      </c>
      <c r="T40">
        <v>32</v>
      </c>
      <c r="U40">
        <v>0.93137308421928999</v>
      </c>
    </row>
    <row r="41" spans="2:21">
      <c r="B41">
        <v>3391.1588191986002</v>
      </c>
      <c r="C41">
        <v>31</v>
      </c>
      <c r="D41" s="10">
        <v>0.83108931225165295</v>
      </c>
      <c r="E41" s="10">
        <v>0.90775398741165603</v>
      </c>
      <c r="F41" s="10">
        <v>0.95330206969206999</v>
      </c>
      <c r="G41" s="10">
        <v>0.97795784355332704</v>
      </c>
      <c r="H41">
        <v>97.998142242431996</v>
      </c>
      <c r="I41">
        <v>33</v>
      </c>
      <c r="J41" s="10">
        <v>0.81118441721646195</v>
      </c>
      <c r="K41" s="10">
        <v>0.89575021682567202</v>
      </c>
      <c r="L41" s="10">
        <v>0.95609287228091699</v>
      </c>
      <c r="M41" s="10">
        <v>0.975398443442134</v>
      </c>
      <c r="N41">
        <v>542.78874397278003</v>
      </c>
      <c r="O41">
        <v>31</v>
      </c>
      <c r="P41">
        <v>0.84795241093447005</v>
      </c>
      <c r="S41">
        <v>667.78111457825003</v>
      </c>
      <c r="T41">
        <v>33</v>
      </c>
      <c r="U41">
        <v>0.92665956546082995</v>
      </c>
    </row>
    <row r="42" spans="2:21">
      <c r="B42">
        <v>3153.5668373108001</v>
      </c>
      <c r="C42">
        <v>32</v>
      </c>
      <c r="D42" s="10">
        <v>0.808281308762692</v>
      </c>
      <c r="E42" s="10">
        <v>0.89397739704089996</v>
      </c>
      <c r="F42" s="10">
        <v>0.94042128661316704</v>
      </c>
      <c r="G42" s="10">
        <v>0.98000550140371401</v>
      </c>
      <c r="H42">
        <v>99.954843521117994</v>
      </c>
      <c r="I42">
        <v>34</v>
      </c>
      <c r="J42" s="10">
        <v>0.86930280458889098</v>
      </c>
      <c r="K42" s="10">
        <v>0.93008238414329403</v>
      </c>
      <c r="L42" s="10">
        <v>0.95356861371398505</v>
      </c>
      <c r="M42" s="10">
        <v>0.98815371805656305</v>
      </c>
      <c r="N42">
        <v>540.44532775878997</v>
      </c>
      <c r="O42">
        <v>32</v>
      </c>
      <c r="P42">
        <v>0.64893824379785003</v>
      </c>
      <c r="S42">
        <v>663.17057609558003</v>
      </c>
      <c r="T42">
        <v>34</v>
      </c>
      <c r="U42">
        <v>0.93419858083914997</v>
      </c>
    </row>
    <row r="43" spans="2:21">
      <c r="B43">
        <v>3050.7180690764999</v>
      </c>
      <c r="C43">
        <v>33</v>
      </c>
      <c r="D43" s="10">
        <v>0.84425511999375902</v>
      </c>
      <c r="E43" s="10">
        <v>0.91555133651640996</v>
      </c>
      <c r="F43" s="10">
        <v>0.95611589878486802</v>
      </c>
      <c r="G43" s="10">
        <v>0.98574090466401998</v>
      </c>
      <c r="H43">
        <v>97.615957260132006</v>
      </c>
      <c r="I43">
        <v>35</v>
      </c>
      <c r="J43" s="10">
        <v>0.89271762547315803</v>
      </c>
      <c r="K43" s="10">
        <v>0.94331834126602898</v>
      </c>
      <c r="L43" s="10">
        <v>0.95145870525227805</v>
      </c>
      <c r="M43" s="10">
        <v>0.98724222578470799</v>
      </c>
      <c r="N43">
        <v>542.34313964844</v>
      </c>
      <c r="O43">
        <v>33</v>
      </c>
      <c r="P43">
        <v>0.88996105408263004</v>
      </c>
      <c r="S43">
        <v>657.20319747924998</v>
      </c>
      <c r="T43">
        <v>35</v>
      </c>
      <c r="U43">
        <v>0.92857957486380005</v>
      </c>
    </row>
    <row r="44" spans="2:21">
      <c r="B44">
        <v>3080.9583663940002</v>
      </c>
      <c r="C44">
        <v>34</v>
      </c>
      <c r="D44" s="10">
        <v>0.87005754766973697</v>
      </c>
      <c r="E44" s="10">
        <v>0.93051419594429996</v>
      </c>
      <c r="F44" s="10">
        <v>0.95064249073086404</v>
      </c>
      <c r="G44" s="10">
        <v>0.99040342857984798</v>
      </c>
      <c r="H44">
        <v>97.895860671996999</v>
      </c>
      <c r="I44">
        <v>36</v>
      </c>
      <c r="J44" s="10">
        <v>0.87600319816558003</v>
      </c>
      <c r="K44" s="10">
        <v>0.933903736435168</v>
      </c>
      <c r="L44" s="10">
        <v>0.93082360861759394</v>
      </c>
      <c r="M44" s="10">
        <v>0.99154802729571501</v>
      </c>
      <c r="N44">
        <v>540.85397720337005</v>
      </c>
      <c r="O44">
        <v>34</v>
      </c>
      <c r="P44">
        <v>0.86384650501854998</v>
      </c>
      <c r="S44">
        <v>862.14351654052996</v>
      </c>
      <c r="T44">
        <v>36</v>
      </c>
      <c r="U44">
        <v>0.90318476565705996</v>
      </c>
    </row>
    <row r="45" spans="2:21">
      <c r="B45">
        <v>2911.5889072417999</v>
      </c>
      <c r="C45">
        <v>35</v>
      </c>
      <c r="D45" s="10">
        <v>0.86827983217874904</v>
      </c>
      <c r="E45" s="10">
        <v>0.92949655316482105</v>
      </c>
      <c r="F45" s="10">
        <v>0.94475661821021995</v>
      </c>
      <c r="G45" s="10">
        <v>0.98732962076131303</v>
      </c>
      <c r="H45">
        <v>94.940900802612006</v>
      </c>
      <c r="I45">
        <v>37</v>
      </c>
      <c r="J45" s="10">
        <v>0.82098883633648001</v>
      </c>
      <c r="K45" s="10">
        <v>0.90169562817108695</v>
      </c>
      <c r="L45" s="10">
        <v>0.95469727671513505</v>
      </c>
      <c r="M45" s="10">
        <v>0.98474276094697499</v>
      </c>
      <c r="N45">
        <v>543.37954521178995</v>
      </c>
      <c r="O45">
        <v>35</v>
      </c>
      <c r="P45">
        <v>0.84412501958327002</v>
      </c>
      <c r="S45">
        <v>761.11292839049997</v>
      </c>
      <c r="T45">
        <v>37</v>
      </c>
      <c r="U45">
        <v>0.93602300296523</v>
      </c>
    </row>
    <row r="46" spans="2:21">
      <c r="B46">
        <v>3341.4087295531999</v>
      </c>
      <c r="C46">
        <v>36</v>
      </c>
      <c r="D46" s="10">
        <v>0.87852088592640498</v>
      </c>
      <c r="E46" s="10">
        <v>0.93533257203382802</v>
      </c>
      <c r="F46" s="10">
        <v>0.96237390421829105</v>
      </c>
      <c r="G46" s="10">
        <v>0.98446044027089097</v>
      </c>
      <c r="H46">
        <v>100.44026374817</v>
      </c>
      <c r="I46">
        <v>38</v>
      </c>
      <c r="J46" s="10">
        <v>0.87779840559135003</v>
      </c>
      <c r="K46" s="10">
        <v>0.93492294271590504</v>
      </c>
      <c r="L46" s="10">
        <v>0.94870655539664195</v>
      </c>
      <c r="M46" s="10">
        <v>0.98713713680514503</v>
      </c>
      <c r="N46">
        <v>540.18664360046</v>
      </c>
      <c r="O46">
        <v>36</v>
      </c>
      <c r="P46">
        <v>0.88448649534668</v>
      </c>
      <c r="S46">
        <v>665.22431373595998</v>
      </c>
      <c r="T46">
        <v>38</v>
      </c>
      <c r="U46">
        <v>0.93456393238618996</v>
      </c>
    </row>
    <row r="47" spans="2:21">
      <c r="B47">
        <v>4054.0409088135002</v>
      </c>
      <c r="C47">
        <v>37</v>
      </c>
      <c r="D47" s="10">
        <v>0.87779683555281396</v>
      </c>
      <c r="E47" s="10">
        <v>0.93492205219782998</v>
      </c>
      <c r="F47" s="10">
        <v>0.94869266978629996</v>
      </c>
      <c r="G47" s="10">
        <v>0.98713934786886604</v>
      </c>
      <c r="H47">
        <v>97.648382186890004</v>
      </c>
      <c r="I47">
        <v>39</v>
      </c>
      <c r="J47" s="10">
        <v>0.82241542816189706</v>
      </c>
      <c r="K47" s="10">
        <v>0.90255538386370204</v>
      </c>
      <c r="L47" s="10">
        <v>0.94311710305666696</v>
      </c>
      <c r="M47" s="10">
        <v>0.98095177552854196</v>
      </c>
      <c r="N47">
        <v>541.44358634949003</v>
      </c>
      <c r="O47">
        <v>37</v>
      </c>
      <c r="P47">
        <v>0.86951251690358999</v>
      </c>
      <c r="S47">
        <v>665.10796546936001</v>
      </c>
      <c r="T47">
        <v>39</v>
      </c>
      <c r="U47">
        <v>0.94205077661311998</v>
      </c>
    </row>
    <row r="48" spans="2:21">
      <c r="B48">
        <v>4174.31640625</v>
      </c>
      <c r="C48">
        <v>38</v>
      </c>
      <c r="D48" s="10">
        <v>0.89062918906715205</v>
      </c>
      <c r="E48" s="10">
        <v>0.94215110421160198</v>
      </c>
      <c r="F48" s="10">
        <v>0.95011440269749503</v>
      </c>
      <c r="G48" s="10">
        <v>0.99030918017892</v>
      </c>
      <c r="H48">
        <v>95.082998275757006</v>
      </c>
      <c r="I48">
        <v>40</v>
      </c>
      <c r="J48" s="10">
        <v>0.86778296010892497</v>
      </c>
      <c r="K48" s="10">
        <v>0.92921177528926302</v>
      </c>
      <c r="L48" s="10">
        <v>0.94781306360941997</v>
      </c>
      <c r="M48" s="10">
        <v>0.99083210399229105</v>
      </c>
      <c r="N48">
        <v>576.24053955078</v>
      </c>
      <c r="O48">
        <v>38</v>
      </c>
      <c r="P48">
        <v>0.84316805594263999</v>
      </c>
      <c r="S48">
        <v>670.34983634949003</v>
      </c>
      <c r="T48">
        <v>40</v>
      </c>
      <c r="U48">
        <v>0.93069784601412997</v>
      </c>
    </row>
    <row r="49" spans="2:21">
      <c r="B49">
        <v>3350.1091003418001</v>
      </c>
      <c r="C49">
        <v>39</v>
      </c>
      <c r="D49" s="10">
        <v>0.85764030173088301</v>
      </c>
      <c r="E49" s="10">
        <v>0.92336530482436696</v>
      </c>
      <c r="F49" s="10">
        <v>0.94610132329710706</v>
      </c>
      <c r="G49" s="10">
        <v>0.98718920501024399</v>
      </c>
      <c r="H49">
        <v>163.081407547</v>
      </c>
      <c r="I49">
        <v>41</v>
      </c>
      <c r="J49" s="10">
        <v>0.83444525424678995</v>
      </c>
      <c r="K49" s="10">
        <v>0.90975214693927398</v>
      </c>
      <c r="L49" s="10">
        <v>0.95073537631146099</v>
      </c>
      <c r="M49" s="10">
        <v>0.98109676455107198</v>
      </c>
      <c r="N49">
        <v>729.17485237122003</v>
      </c>
      <c r="O49">
        <v>39</v>
      </c>
      <c r="P49">
        <v>0.81102916338249997</v>
      </c>
      <c r="S49">
        <v>662.83559799193995</v>
      </c>
      <c r="T49">
        <v>41</v>
      </c>
      <c r="U49">
        <v>0.92904424479815995</v>
      </c>
    </row>
    <row r="50" spans="2:21">
      <c r="B50">
        <v>3505.4273605346998</v>
      </c>
      <c r="C50">
        <v>40</v>
      </c>
      <c r="D50" s="10">
        <v>0.87184707167729103</v>
      </c>
      <c r="E50" s="10">
        <v>0.93153664620268495</v>
      </c>
      <c r="F50" s="10">
        <v>0.94019868784647398</v>
      </c>
      <c r="G50" s="10">
        <v>0.99006127216575901</v>
      </c>
      <c r="H50">
        <v>204.17070388793999</v>
      </c>
      <c r="I50">
        <v>42</v>
      </c>
      <c r="J50" s="10">
        <v>0.74669421487603305</v>
      </c>
      <c r="K50" s="10">
        <v>0.854979891175774</v>
      </c>
      <c r="L50" s="10">
        <v>0.93974866911882904</v>
      </c>
      <c r="M50" s="10">
        <v>0.97099867524943795</v>
      </c>
      <c r="N50">
        <v>541.72062873840002</v>
      </c>
      <c r="O50">
        <v>40</v>
      </c>
      <c r="P50">
        <v>0.88181570556472</v>
      </c>
      <c r="S50">
        <v>663.90562057495004</v>
      </c>
      <c r="T50">
        <v>42</v>
      </c>
      <c r="U50">
        <v>0.94203407236965997</v>
      </c>
    </row>
    <row r="51" spans="2:21">
      <c r="B51">
        <v>3525.2912044525001</v>
      </c>
      <c r="C51">
        <v>41</v>
      </c>
      <c r="D51" s="10">
        <v>0.88166090413477805</v>
      </c>
      <c r="E51" s="10">
        <v>0.937109233866111</v>
      </c>
      <c r="F51" s="10">
        <v>0.95419253570277296</v>
      </c>
      <c r="G51" s="10">
        <v>0.98704008301411905</v>
      </c>
      <c r="H51">
        <v>99.802732467650998</v>
      </c>
      <c r="I51">
        <v>43</v>
      </c>
      <c r="J51" s="10">
        <v>0.80849766212644802</v>
      </c>
      <c r="K51" s="10">
        <v>0.89410971223021496</v>
      </c>
      <c r="L51" s="10">
        <v>0.96188264886566999</v>
      </c>
      <c r="M51" s="10">
        <v>0.96962599503244395</v>
      </c>
      <c r="N51">
        <v>543.65754127501998</v>
      </c>
      <c r="O51">
        <v>41</v>
      </c>
      <c r="P51">
        <v>0.85261121471096002</v>
      </c>
      <c r="S51">
        <v>669.49200630188</v>
      </c>
      <c r="T51">
        <v>43</v>
      </c>
      <c r="U51">
        <v>0.92516082797239996</v>
      </c>
    </row>
    <row r="52" spans="2:21">
      <c r="B52">
        <v>3278.7895202637001</v>
      </c>
      <c r="C52">
        <v>42</v>
      </c>
      <c r="D52" s="10">
        <v>0.81119273782228196</v>
      </c>
      <c r="E52" s="10">
        <v>0.89575528974087304</v>
      </c>
      <c r="F52" s="10">
        <v>0.95607711519219696</v>
      </c>
      <c r="G52" s="10">
        <v>0.97540278348915899</v>
      </c>
      <c r="H52">
        <v>99.874258041382006</v>
      </c>
      <c r="I52">
        <v>44</v>
      </c>
      <c r="J52" s="10">
        <v>0.85758884559410298</v>
      </c>
      <c r="K52" s="10">
        <v>0.92333548150675404</v>
      </c>
      <c r="L52" s="10">
        <v>0.94611858744723598</v>
      </c>
      <c r="M52" s="10">
        <v>0.98717848378253403</v>
      </c>
      <c r="N52">
        <v>543.60866546630996</v>
      </c>
      <c r="O52">
        <v>42</v>
      </c>
      <c r="P52">
        <v>0.80983708030124002</v>
      </c>
      <c r="S52">
        <v>667.14429855346998</v>
      </c>
      <c r="T52">
        <v>44</v>
      </c>
      <c r="U52">
        <v>0.91151124500806002</v>
      </c>
    </row>
    <row r="53" spans="2:21">
      <c r="B53">
        <v>3348.6230373383</v>
      </c>
      <c r="C53">
        <v>43</v>
      </c>
      <c r="D53" s="10">
        <v>0.85956325955804302</v>
      </c>
      <c r="E53" s="10">
        <v>0.92447864318671602</v>
      </c>
      <c r="F53" s="10">
        <v>0.94960000768292496</v>
      </c>
      <c r="G53" s="10">
        <v>0.98845146746939205</v>
      </c>
      <c r="H53">
        <v>92.859506607056005</v>
      </c>
      <c r="I53">
        <v>45</v>
      </c>
      <c r="J53" s="10">
        <v>0.82717148499465798</v>
      </c>
      <c r="K53" s="10">
        <v>0.90541198982981697</v>
      </c>
      <c r="L53" s="10">
        <v>0.95927389455702405</v>
      </c>
      <c r="M53" s="10">
        <v>0.98193803839560101</v>
      </c>
      <c r="N53">
        <v>542.37937927246003</v>
      </c>
      <c r="O53">
        <v>43</v>
      </c>
      <c r="P53">
        <v>0.87789671609296005</v>
      </c>
      <c r="S53">
        <v>672.52850532532</v>
      </c>
      <c r="T53">
        <v>45</v>
      </c>
      <c r="U53">
        <v>0.89948500297611</v>
      </c>
    </row>
    <row r="54" spans="2:21">
      <c r="B54">
        <v>3364.5958900452001</v>
      </c>
      <c r="C54">
        <v>44</v>
      </c>
      <c r="D54" s="10">
        <v>0.87220241446174995</v>
      </c>
      <c r="E54" s="10">
        <v>0.93173943984310503</v>
      </c>
      <c r="F54" s="10">
        <v>0.94546453126483199</v>
      </c>
      <c r="G54" s="10">
        <v>0.986252266689157</v>
      </c>
      <c r="H54">
        <v>100.26597976684999</v>
      </c>
      <c r="I54">
        <v>46</v>
      </c>
      <c r="J54" s="10">
        <v>0.62568210667920798</v>
      </c>
      <c r="K54" s="10">
        <v>0.76974717764138201</v>
      </c>
      <c r="L54" s="10">
        <v>0.96683390381519496</v>
      </c>
      <c r="M54" s="10">
        <v>0.92421253641591306</v>
      </c>
      <c r="N54">
        <v>540.89999198913995</v>
      </c>
      <c r="O54">
        <v>44</v>
      </c>
      <c r="P54">
        <v>0.79002623081908996</v>
      </c>
      <c r="S54">
        <v>676.40256881714004</v>
      </c>
      <c r="T54">
        <v>46</v>
      </c>
      <c r="U54">
        <v>0.92358479689481998</v>
      </c>
    </row>
    <row r="55" spans="2:21">
      <c r="B55">
        <v>3131.4847469330002</v>
      </c>
      <c r="C55">
        <v>45</v>
      </c>
      <c r="D55" s="10">
        <v>0.74675383228133396</v>
      </c>
      <c r="E55" s="10">
        <v>0.85501897116898495</v>
      </c>
      <c r="F55" s="10">
        <v>0.93968247964673701</v>
      </c>
      <c r="G55" s="10">
        <v>0.97101988822881102</v>
      </c>
      <c r="H55">
        <v>97.855091094971002</v>
      </c>
      <c r="I55">
        <v>47</v>
      </c>
      <c r="J55" s="10">
        <v>0.83331601709113101</v>
      </c>
      <c r="K55" s="10">
        <v>0.90908060511392796</v>
      </c>
      <c r="L55" s="10">
        <v>0.90778481236515396</v>
      </c>
      <c r="M55" s="10">
        <v>0.98607490429458999</v>
      </c>
      <c r="N55">
        <v>542.41919517516999</v>
      </c>
      <c r="O55">
        <v>45</v>
      </c>
      <c r="P55">
        <v>0.85603240999967001</v>
      </c>
      <c r="S55">
        <v>662.99557685852005</v>
      </c>
      <c r="T55">
        <v>47</v>
      </c>
      <c r="U55">
        <v>0.93435448577681002</v>
      </c>
    </row>
    <row r="56" spans="2:21">
      <c r="B56">
        <v>3424.7658252716001</v>
      </c>
      <c r="C56">
        <v>46</v>
      </c>
      <c r="D56" s="10">
        <v>0.87139398829937398</v>
      </c>
      <c r="E56" s="10">
        <v>0.93127796043766498</v>
      </c>
      <c r="F56" s="10">
        <v>0.93131477195958001</v>
      </c>
      <c r="G56" s="10">
        <v>0.98947917056102996</v>
      </c>
      <c r="H56">
        <v>99.745988845824996</v>
      </c>
      <c r="I56">
        <v>48</v>
      </c>
      <c r="J56" s="10">
        <v>0.80143875017157595</v>
      </c>
      <c r="K56" s="10">
        <v>0.88977629696845795</v>
      </c>
      <c r="L56" s="10">
        <v>0.93340260721707902</v>
      </c>
      <c r="M56" s="10">
        <v>0.97512508809407195</v>
      </c>
      <c r="N56">
        <v>542.38748550415005</v>
      </c>
      <c r="O56">
        <v>46</v>
      </c>
      <c r="P56">
        <v>0.83194770023733</v>
      </c>
      <c r="S56">
        <v>664.57915306091002</v>
      </c>
      <c r="T56">
        <v>48</v>
      </c>
      <c r="U56">
        <v>0.92427537382139002</v>
      </c>
    </row>
    <row r="57" spans="2:21">
      <c r="B57">
        <v>3164.9818420410002</v>
      </c>
      <c r="C57">
        <v>47</v>
      </c>
      <c r="D57" s="10">
        <v>0.87385465043303601</v>
      </c>
      <c r="E57" s="10">
        <v>0.93268135842990096</v>
      </c>
      <c r="F57" s="10">
        <v>0.93219743250707099</v>
      </c>
      <c r="G57" s="10">
        <v>0.99141302920517205</v>
      </c>
      <c r="H57">
        <v>89.493989944457994</v>
      </c>
      <c r="I57">
        <v>49</v>
      </c>
      <c r="J57" s="10">
        <v>0.79851283427679098</v>
      </c>
      <c r="K57" s="10">
        <v>0.887970126271448</v>
      </c>
      <c r="L57" s="10">
        <v>0.93743286403804005</v>
      </c>
      <c r="M57" s="10">
        <v>0.973271986744912</v>
      </c>
      <c r="N57">
        <v>541.61119461060002</v>
      </c>
      <c r="O57">
        <v>47</v>
      </c>
      <c r="P57">
        <v>0.78078449757775004</v>
      </c>
      <c r="S57">
        <v>931.66017532348997</v>
      </c>
      <c r="T57">
        <v>49</v>
      </c>
      <c r="U57">
        <v>0.87858821554473998</v>
      </c>
    </row>
    <row r="58" spans="2:21">
      <c r="B58">
        <v>3175.1794815062999</v>
      </c>
      <c r="C58">
        <v>48</v>
      </c>
      <c r="D58" s="10">
        <v>0.87800216281467602</v>
      </c>
      <c r="E58" s="10">
        <v>0.93503850016739198</v>
      </c>
      <c r="F58" s="10">
        <v>0.957470295027116</v>
      </c>
      <c r="G58" s="10">
        <v>0.98537649893378298</v>
      </c>
      <c r="H58">
        <v>100.79526901245001</v>
      </c>
      <c r="I58">
        <v>50</v>
      </c>
      <c r="J58" s="10">
        <v>0.86995482347691899</v>
      </c>
      <c r="K58" s="10">
        <v>0.93045544475706599</v>
      </c>
      <c r="L58" s="10">
        <v>0.95066280664330305</v>
      </c>
      <c r="M58" s="10">
        <v>0.99038764128314905</v>
      </c>
      <c r="N58">
        <v>542.99163818359</v>
      </c>
      <c r="O58">
        <v>48</v>
      </c>
      <c r="P58">
        <v>0.88042209183748998</v>
      </c>
      <c r="S58">
        <v>657.96041488646995</v>
      </c>
      <c r="T58">
        <v>50</v>
      </c>
      <c r="U58">
        <v>0.92994689745144998</v>
      </c>
    </row>
    <row r="59" spans="2:21">
      <c r="B59">
        <v>3290.9986972809002</v>
      </c>
      <c r="C59">
        <v>49</v>
      </c>
      <c r="D59" s="10">
        <v>0.82380523142826401</v>
      </c>
      <c r="E59" s="10">
        <v>0.90339167497959505</v>
      </c>
      <c r="F59" s="10">
        <v>0.895586661991711</v>
      </c>
      <c r="G59" s="10">
        <v>0.98966015714598099</v>
      </c>
      <c r="H59">
        <v>92.692375183105</v>
      </c>
      <c r="I59">
        <v>51</v>
      </c>
      <c r="J59" s="10">
        <v>0.87385535564583705</v>
      </c>
      <c r="K59" s="10">
        <v>0.93268176010806003</v>
      </c>
      <c r="L59" s="10">
        <v>0.944007593371474</v>
      </c>
      <c r="M59" s="10">
        <v>0.99012679131963</v>
      </c>
      <c r="N59">
        <v>542.45996475219999</v>
      </c>
      <c r="O59">
        <v>49</v>
      </c>
      <c r="P59">
        <v>0.86023008874060003</v>
      </c>
      <c r="S59">
        <v>670.59445381165006</v>
      </c>
      <c r="T59">
        <v>51</v>
      </c>
      <c r="U59">
        <v>0.94861146150710995</v>
      </c>
    </row>
    <row r="60" spans="2:21">
      <c r="B60">
        <v>3080.8007717133</v>
      </c>
      <c r="C60">
        <v>50</v>
      </c>
      <c r="D60" s="10">
        <v>0.876751590057538</v>
      </c>
      <c r="E60" s="10">
        <v>0.93432886344927302</v>
      </c>
      <c r="F60" s="10">
        <v>0.96133143354705897</v>
      </c>
      <c r="G60" s="10">
        <v>0.98678552143354303</v>
      </c>
      <c r="H60">
        <v>92.973709106445</v>
      </c>
      <c r="I60">
        <v>52</v>
      </c>
      <c r="J60" s="10">
        <v>0.87386546381643404</v>
      </c>
      <c r="K60" s="10">
        <v>0.93268751753038204</v>
      </c>
      <c r="L60" s="10">
        <v>0.93223090699114597</v>
      </c>
      <c r="M60" s="10">
        <v>0.99140980021139102</v>
      </c>
      <c r="N60">
        <v>897.85408973693995</v>
      </c>
      <c r="O60">
        <v>50</v>
      </c>
      <c r="P60">
        <v>0.78863945793623003</v>
      </c>
      <c r="S60">
        <v>666.14556312561001</v>
      </c>
      <c r="T60">
        <v>52</v>
      </c>
      <c r="U60">
        <v>0.93402029727789004</v>
      </c>
    </row>
    <row r="61" spans="2:21">
      <c r="B61">
        <v>3051.4407157897999</v>
      </c>
      <c r="C61">
        <v>51</v>
      </c>
      <c r="D61" s="10">
        <v>0.83444061334903097</v>
      </c>
      <c r="E61" s="10">
        <v>0.909749388753056</v>
      </c>
      <c r="F61" s="10">
        <v>0.95070343814375302</v>
      </c>
      <c r="G61" s="10">
        <v>0.98110109667790801</v>
      </c>
      <c r="H61">
        <v>97.862958908080998</v>
      </c>
      <c r="I61">
        <v>53</v>
      </c>
      <c r="J61" s="10">
        <v>0.87219390148553499</v>
      </c>
      <c r="K61" s="10">
        <v>0.93173458239926199</v>
      </c>
      <c r="L61" s="10">
        <v>0.94548487273023096</v>
      </c>
      <c r="M61" s="10">
        <v>0.98624671787848905</v>
      </c>
      <c r="N61">
        <v>542.86098480224996</v>
      </c>
      <c r="O61">
        <v>51</v>
      </c>
      <c r="P61">
        <v>0.88338525051604</v>
      </c>
      <c r="S61">
        <v>666.21303558349996</v>
      </c>
      <c r="T61">
        <v>53</v>
      </c>
      <c r="U61">
        <v>0.92482843909890999</v>
      </c>
    </row>
    <row r="62" spans="2:21">
      <c r="B62">
        <v>3225.8200645447</v>
      </c>
      <c r="C62">
        <v>52</v>
      </c>
      <c r="D62" s="10">
        <v>0.89145967286277195</v>
      </c>
      <c r="E62" s="10">
        <v>0.94261557426019604</v>
      </c>
      <c r="F62" s="10">
        <v>0.96151413231300897</v>
      </c>
      <c r="G62" s="10">
        <v>0.98891444962913899</v>
      </c>
      <c r="H62">
        <v>87.722301483153998</v>
      </c>
      <c r="I62">
        <v>54</v>
      </c>
      <c r="J62" s="10">
        <v>0.79271390735635905</v>
      </c>
      <c r="K62" s="10">
        <v>0.88437302137666896</v>
      </c>
      <c r="L62" s="10">
        <v>0.95633273197556801</v>
      </c>
      <c r="M62" s="10">
        <v>0.98014556296403099</v>
      </c>
      <c r="N62">
        <v>539.86310958861998</v>
      </c>
      <c r="O62">
        <v>52</v>
      </c>
      <c r="P62">
        <v>0.91394874998140996</v>
      </c>
      <c r="S62">
        <v>671.70119285582996</v>
      </c>
      <c r="T62">
        <v>54</v>
      </c>
      <c r="U62">
        <v>0.93979533497357004</v>
      </c>
    </row>
    <row r="63" spans="2:21">
      <c r="B63">
        <v>2996.9134330749998</v>
      </c>
      <c r="C63">
        <v>53</v>
      </c>
      <c r="D63" s="10">
        <v>0.88272172366132495</v>
      </c>
      <c r="E63" s="10">
        <v>0.93770811965211498</v>
      </c>
      <c r="F63" s="10">
        <v>0.94950809876437803</v>
      </c>
      <c r="G63" s="10">
        <v>0.98828633071181704</v>
      </c>
      <c r="H63">
        <v>99.945783615112006</v>
      </c>
      <c r="I63">
        <v>55</v>
      </c>
      <c r="J63" s="10">
        <v>0.74301276644412295</v>
      </c>
      <c r="K63" s="10">
        <v>0.85256147372910496</v>
      </c>
      <c r="L63" s="10">
        <v>0.95902645151171195</v>
      </c>
      <c r="M63" s="10">
        <v>0.96648439834969302</v>
      </c>
      <c r="N63">
        <v>541.44978523253997</v>
      </c>
      <c r="O63">
        <v>53</v>
      </c>
      <c r="P63">
        <v>0.87570776506315995</v>
      </c>
      <c r="S63">
        <v>656.58140182495004</v>
      </c>
      <c r="T63">
        <v>55</v>
      </c>
      <c r="U63">
        <v>0.92174435028249002</v>
      </c>
    </row>
    <row r="64" spans="2:21">
      <c r="B64">
        <v>3027.9629230498999</v>
      </c>
      <c r="C64">
        <v>54</v>
      </c>
      <c r="D64" s="10">
        <v>0.83369277219791704</v>
      </c>
      <c r="E64" s="10">
        <v>0.909304748143418</v>
      </c>
      <c r="F64" s="10">
        <v>0.94008928416335102</v>
      </c>
      <c r="G64" s="10">
        <v>0.98425819390253999</v>
      </c>
      <c r="H64">
        <v>97.892045974731005</v>
      </c>
      <c r="I64">
        <v>56</v>
      </c>
      <c r="J64" s="10">
        <v>0.787726945334426</v>
      </c>
      <c r="K64" s="10">
        <v>0.88126091894539005</v>
      </c>
      <c r="L64" s="10">
        <v>0.95747892436923998</v>
      </c>
      <c r="M64" s="10">
        <v>0.96883122270289501</v>
      </c>
      <c r="N64">
        <v>543.07198524474995</v>
      </c>
      <c r="O64">
        <v>54</v>
      </c>
      <c r="P64">
        <v>0.88453320037750005</v>
      </c>
      <c r="S64">
        <v>669.61455345154002</v>
      </c>
      <c r="T64">
        <v>56</v>
      </c>
      <c r="U64">
        <v>0.92841400516521999</v>
      </c>
    </row>
    <row r="65" spans="2:21">
      <c r="B65">
        <v>3293.0264472960998</v>
      </c>
      <c r="C65">
        <v>55</v>
      </c>
      <c r="D65" s="10">
        <v>0.82465987940490204</v>
      </c>
      <c r="E65" s="10">
        <v>0.903905312669951</v>
      </c>
      <c r="F65" s="10">
        <v>0.94550934088362704</v>
      </c>
      <c r="G65" s="10">
        <v>0.98192379346436798</v>
      </c>
      <c r="H65">
        <v>100.34346580505</v>
      </c>
      <c r="I65">
        <v>57</v>
      </c>
      <c r="J65" s="10">
        <v>0.86724872031156397</v>
      </c>
      <c r="K65" s="10">
        <v>0.92890541134429805</v>
      </c>
      <c r="L65" s="10">
        <v>0.96309216128598496</v>
      </c>
      <c r="M65" s="10">
        <v>0.98382533327794097</v>
      </c>
      <c r="N65">
        <v>544.41928863525004</v>
      </c>
      <c r="O65">
        <v>55</v>
      </c>
      <c r="P65">
        <v>0.85680779796443995</v>
      </c>
      <c r="S65">
        <v>670.88723182677995</v>
      </c>
      <c r="T65">
        <v>57</v>
      </c>
      <c r="U65">
        <v>0.93529169947254998</v>
      </c>
    </row>
    <row r="66" spans="2:21">
      <c r="B66">
        <v>3024.5027542113999</v>
      </c>
      <c r="C66">
        <v>56</v>
      </c>
      <c r="D66" s="10">
        <v>0.83348379847629595</v>
      </c>
      <c r="E66" s="10">
        <v>0.90918043472100196</v>
      </c>
      <c r="F66" s="10">
        <v>0.90778481236515396</v>
      </c>
      <c r="G66" s="10">
        <v>0.98610907495610101</v>
      </c>
      <c r="H66">
        <v>97.643613815308001</v>
      </c>
      <c r="I66">
        <v>58</v>
      </c>
      <c r="J66" s="10">
        <v>0.85469790684662705</v>
      </c>
      <c r="K66" s="10">
        <v>0.92165727226143401</v>
      </c>
      <c r="L66" s="10">
        <v>0.96482955528638104</v>
      </c>
      <c r="M66" s="10">
        <v>0.98403744496224999</v>
      </c>
      <c r="N66">
        <v>539.81804847717001</v>
      </c>
      <c r="O66">
        <v>56</v>
      </c>
      <c r="P66">
        <v>0.87309625628329002</v>
      </c>
      <c r="S66">
        <v>663.19251060485999</v>
      </c>
      <c r="T66">
        <v>58</v>
      </c>
      <c r="U66">
        <v>0.93251631767742005</v>
      </c>
    </row>
    <row r="67" spans="2:21">
      <c r="B67">
        <v>3394.4776058196999</v>
      </c>
      <c r="C67">
        <v>57</v>
      </c>
      <c r="D67" s="10">
        <v>0.88639030687085596</v>
      </c>
      <c r="E67" s="10">
        <v>0.93977402623659501</v>
      </c>
      <c r="F67" s="10">
        <v>0.93869371713515604</v>
      </c>
      <c r="G67" s="10">
        <v>0.99174085618087704</v>
      </c>
      <c r="H67">
        <v>97.615242004395</v>
      </c>
      <c r="I67">
        <v>59</v>
      </c>
      <c r="J67" s="10">
        <v>0.86724382733123095</v>
      </c>
      <c r="K67" s="10">
        <v>0.92890260461671403</v>
      </c>
      <c r="L67" s="10">
        <v>0.94808192392202695</v>
      </c>
      <c r="M67" s="10">
        <v>0.99025872112007796</v>
      </c>
      <c r="N67">
        <v>542.08612442016999</v>
      </c>
      <c r="O67">
        <v>57</v>
      </c>
      <c r="P67">
        <v>0.88667943107221003</v>
      </c>
      <c r="S67">
        <v>658.01692008971997</v>
      </c>
      <c r="T67">
        <v>59</v>
      </c>
      <c r="U67">
        <v>0.93114333787356995</v>
      </c>
    </row>
    <row r="68" spans="2:21">
      <c r="B68">
        <v>3888.854265213</v>
      </c>
      <c r="C68">
        <v>58</v>
      </c>
      <c r="D68" s="10">
        <v>0.79273719865950698</v>
      </c>
      <c r="E68" s="10">
        <v>0.88438751564062401</v>
      </c>
      <c r="F68" s="10">
        <v>0.95634359988697304</v>
      </c>
      <c r="G68" s="10">
        <v>0.98014765378511703</v>
      </c>
      <c r="H68">
        <v>100.42190551758</v>
      </c>
      <c r="I68">
        <v>60</v>
      </c>
      <c r="J68" s="10">
        <v>0.83109146687586499</v>
      </c>
      <c r="K68" s="10">
        <v>0.90775527264494305</v>
      </c>
      <c r="L68" s="10">
        <v>0.95331670166145999</v>
      </c>
      <c r="M68" s="10">
        <v>0.97795565030392895</v>
      </c>
      <c r="N68">
        <v>542.78993606566996</v>
      </c>
      <c r="O68">
        <v>58</v>
      </c>
      <c r="P68">
        <v>0.88010927734739997</v>
      </c>
      <c r="S68">
        <v>672.32155799865996</v>
      </c>
      <c r="T68">
        <v>60</v>
      </c>
      <c r="U68">
        <v>0.92364230592028995</v>
      </c>
    </row>
    <row r="69" spans="2:21">
      <c r="B69">
        <v>4273.6024856567001</v>
      </c>
      <c r="C69">
        <v>59</v>
      </c>
      <c r="D69" s="10">
        <v>0.52311079758011003</v>
      </c>
      <c r="E69" s="10">
        <v>0.68689789135658297</v>
      </c>
      <c r="F69" s="10">
        <v>0.96894080380122705</v>
      </c>
      <c r="G69" s="10">
        <v>0.88331358200847598</v>
      </c>
      <c r="H69">
        <v>97.908496856688998</v>
      </c>
      <c r="I69">
        <v>61</v>
      </c>
      <c r="J69" s="10">
        <v>0.89675660710863103</v>
      </c>
      <c r="K69" s="10">
        <v>0.945568454853704</v>
      </c>
      <c r="L69" s="10">
        <v>0.95395849694919299</v>
      </c>
      <c r="M69" s="10">
        <v>0.99077991425003697</v>
      </c>
      <c r="N69">
        <v>542.83380508422999</v>
      </c>
      <c r="O69">
        <v>59</v>
      </c>
      <c r="P69">
        <v>0.86895728673606998</v>
      </c>
      <c r="S69">
        <v>667.50431060791004</v>
      </c>
      <c r="T69">
        <v>61</v>
      </c>
      <c r="U69">
        <v>0.93254295729190995</v>
      </c>
    </row>
    <row r="70" spans="2:21">
      <c r="B70">
        <v>3569.8003768920998</v>
      </c>
      <c r="C70">
        <v>60</v>
      </c>
      <c r="D70" s="10">
        <v>0.82097069158663705</v>
      </c>
      <c r="E70" s="10">
        <v>0.90168468430572501</v>
      </c>
      <c r="F70" s="10">
        <v>0.95463047496047504</v>
      </c>
      <c r="G70" s="10">
        <v>0.98474797602731801</v>
      </c>
      <c r="H70">
        <v>97.719430923461999</v>
      </c>
      <c r="I70">
        <v>62</v>
      </c>
      <c r="J70" s="10">
        <v>0.86511995669022101</v>
      </c>
      <c r="K70" s="10">
        <v>0.92768291239072198</v>
      </c>
      <c r="L70" s="10">
        <v>0.96241441612780498</v>
      </c>
      <c r="M70" s="10">
        <v>0.98461378341341499</v>
      </c>
      <c r="N70">
        <v>819.29683685302996</v>
      </c>
      <c r="O70">
        <v>60</v>
      </c>
      <c r="P70">
        <v>0.87003360416942999</v>
      </c>
      <c r="S70">
        <v>710.00504493713004</v>
      </c>
      <c r="T70">
        <v>62</v>
      </c>
      <c r="U70">
        <v>0.93387497349850002</v>
      </c>
    </row>
    <row r="71" spans="2:21">
      <c r="B71">
        <v>3289.8039817809999</v>
      </c>
      <c r="C71">
        <v>61</v>
      </c>
      <c r="D71" s="10">
        <v>0.83178763704955305</v>
      </c>
      <c r="E71" s="10">
        <v>0.90817037982558702</v>
      </c>
      <c r="F71" s="10">
        <v>0.94571409422960895</v>
      </c>
      <c r="G71" s="10">
        <v>0.987214430947291</v>
      </c>
      <c r="H71">
        <v>95.030307769775007</v>
      </c>
      <c r="I71">
        <v>63</v>
      </c>
      <c r="J71" s="10">
        <v>0.880103711606112</v>
      </c>
      <c r="K71" s="10">
        <v>0.93622889649451002</v>
      </c>
      <c r="L71" s="10">
        <v>0.95111130569297897</v>
      </c>
      <c r="M71" s="10">
        <v>0.98786984520531396</v>
      </c>
      <c r="N71">
        <v>542.23656654358001</v>
      </c>
      <c r="O71">
        <v>61</v>
      </c>
      <c r="P71">
        <v>0.86634108004940003</v>
      </c>
      <c r="S71">
        <v>910.76159477234</v>
      </c>
      <c r="T71">
        <v>63</v>
      </c>
      <c r="U71">
        <v>0.93960805414742998</v>
      </c>
    </row>
    <row r="72" spans="2:21">
      <c r="B72">
        <v>3246.6745376587</v>
      </c>
      <c r="C72">
        <v>62</v>
      </c>
      <c r="D72" s="10">
        <v>0.80144507949185095</v>
      </c>
      <c r="E72" s="10">
        <v>0.88978019770430195</v>
      </c>
      <c r="F72" s="10">
        <v>0.93335174177796498</v>
      </c>
      <c r="G72" s="10">
        <v>0.97513606554857601</v>
      </c>
      <c r="H72">
        <v>89.243650436400998</v>
      </c>
      <c r="I72">
        <v>64</v>
      </c>
      <c r="J72" s="10">
        <v>0.83366708771065001</v>
      </c>
      <c r="K72" s="10">
        <v>0.90928947058922305</v>
      </c>
      <c r="L72" s="10">
        <v>0.94008928416335102</v>
      </c>
      <c r="M72" s="10">
        <v>0.98425390866881302</v>
      </c>
      <c r="N72">
        <v>545.40348052979004</v>
      </c>
      <c r="O72">
        <v>62</v>
      </c>
      <c r="P72">
        <v>0.85926217760177004</v>
      </c>
      <c r="S72">
        <v>667.86837577819995</v>
      </c>
      <c r="T72">
        <v>64</v>
      </c>
      <c r="U72">
        <v>0.93017033858390996</v>
      </c>
    </row>
    <row r="73" spans="2:21">
      <c r="B73">
        <v>3481.2021255493</v>
      </c>
      <c r="C73">
        <v>63</v>
      </c>
      <c r="D73" s="10">
        <v>0.87478631459262601</v>
      </c>
      <c r="E73" s="10">
        <v>0.93321175622375796</v>
      </c>
      <c r="F73" s="10">
        <v>0.95078467973313896</v>
      </c>
      <c r="G73" s="10">
        <v>0.98922346332782995</v>
      </c>
      <c r="H73">
        <v>94.491958618164006</v>
      </c>
      <c r="I73">
        <v>65</v>
      </c>
      <c r="J73" s="10">
        <v>0.89061893709036699</v>
      </c>
      <c r="K73" s="10">
        <v>0.94214536797247495</v>
      </c>
      <c r="L73" s="10">
        <v>0.95013698217726394</v>
      </c>
      <c r="M73" s="10">
        <v>0.99030371994688204</v>
      </c>
      <c r="N73">
        <v>543.18737983704</v>
      </c>
      <c r="O73">
        <v>63</v>
      </c>
      <c r="P73">
        <v>0.90169775180267997</v>
      </c>
      <c r="S73">
        <v>668.27678680420001</v>
      </c>
      <c r="T73">
        <v>65</v>
      </c>
      <c r="U73">
        <v>0.94048181698832001</v>
      </c>
    </row>
    <row r="74" spans="2:21">
      <c r="B74">
        <v>3277.7037620544002</v>
      </c>
      <c r="C74">
        <v>64</v>
      </c>
      <c r="D74" s="10">
        <v>0.86514980979925604</v>
      </c>
      <c r="E74" s="10">
        <v>0.92770007562274104</v>
      </c>
      <c r="F74" s="10">
        <v>0.96240649169519399</v>
      </c>
      <c r="G74" s="10">
        <v>0.98462028829641401</v>
      </c>
      <c r="H74">
        <v>97.698450088501005</v>
      </c>
      <c r="I74">
        <v>66</v>
      </c>
      <c r="J74" s="10">
        <v>0.88100200454008404</v>
      </c>
      <c r="K74" s="10">
        <v>0.93673691193699005</v>
      </c>
      <c r="L74" s="10">
        <v>0.95154456623819705</v>
      </c>
      <c r="M74" s="10">
        <v>0.98771404717040201</v>
      </c>
      <c r="N74">
        <v>542.33741760253997</v>
      </c>
      <c r="O74">
        <v>64</v>
      </c>
      <c r="P74">
        <v>0.90239216877256001</v>
      </c>
      <c r="S74">
        <v>664.63446617125999</v>
      </c>
      <c r="T74">
        <v>66</v>
      </c>
      <c r="U74">
        <v>0.93292346100593004</v>
      </c>
    </row>
    <row r="75" spans="2:21">
      <c r="B75">
        <v>3110.9869480133002</v>
      </c>
      <c r="C75">
        <v>65</v>
      </c>
      <c r="D75" s="10">
        <v>0.89677423934803202</v>
      </c>
      <c r="E75" s="10">
        <v>0.94557825675266005</v>
      </c>
      <c r="F75" s="10">
        <v>0.95394339394671601</v>
      </c>
      <c r="G75" s="10">
        <v>0.99078537185969096</v>
      </c>
      <c r="H75">
        <v>100.10004043579001</v>
      </c>
      <c r="I75">
        <v>67</v>
      </c>
      <c r="J75" s="10">
        <v>0.80824194834303598</v>
      </c>
      <c r="K75" s="10">
        <v>0.89395332199173905</v>
      </c>
      <c r="L75" s="10">
        <v>0.94040378405341696</v>
      </c>
      <c r="M75" s="10">
        <v>0.98000122015568703</v>
      </c>
      <c r="N75">
        <v>543.83754730224996</v>
      </c>
      <c r="O75">
        <v>65</v>
      </c>
      <c r="P75">
        <v>0.85609482436203999</v>
      </c>
      <c r="S75">
        <v>673.00820350646995</v>
      </c>
      <c r="T75">
        <v>67</v>
      </c>
      <c r="U75">
        <v>0.86717501132663</v>
      </c>
    </row>
    <row r="76" spans="2:21">
      <c r="B76">
        <v>3065.7901763916002</v>
      </c>
      <c r="C76">
        <v>66</v>
      </c>
      <c r="D76" s="10">
        <v>0.87942391516492002</v>
      </c>
      <c r="E76" s="10">
        <v>0.93584412549922302</v>
      </c>
      <c r="F76" s="10">
        <v>0.95856084243369699</v>
      </c>
      <c r="G76" s="10">
        <v>0.98915106437547995</v>
      </c>
      <c r="H76">
        <v>97.827434539794993</v>
      </c>
      <c r="I76">
        <v>68</v>
      </c>
      <c r="J76" s="10">
        <v>0.82472539959094004</v>
      </c>
      <c r="K76" s="10">
        <v>0.90394467000440004</v>
      </c>
      <c r="L76" s="10">
        <v>0.94557013696488501</v>
      </c>
      <c r="M76" s="10">
        <v>0.98192593608352696</v>
      </c>
      <c r="N76">
        <v>541.71037673950002</v>
      </c>
      <c r="O76">
        <v>66</v>
      </c>
      <c r="P76">
        <v>0.87493412522480996</v>
      </c>
      <c r="S76">
        <v>671.62466049193995</v>
      </c>
      <c r="T76">
        <v>68</v>
      </c>
      <c r="U76">
        <v>0.93190389926646999</v>
      </c>
    </row>
    <row r="77" spans="2:21">
      <c r="B77">
        <v>3192.3699378966999</v>
      </c>
      <c r="C77">
        <v>67</v>
      </c>
      <c r="D77" s="10">
        <v>0.87385332194044496</v>
      </c>
      <c r="E77" s="10">
        <v>0.93268060174052203</v>
      </c>
      <c r="F77" s="10">
        <v>0.94399017738185398</v>
      </c>
      <c r="G77" s="10">
        <v>0.99012893324579998</v>
      </c>
      <c r="H77">
        <v>92.527389526367003</v>
      </c>
      <c r="I77">
        <v>69</v>
      </c>
      <c r="J77" s="10">
        <v>0.86465751966723103</v>
      </c>
      <c r="K77" s="10">
        <v>0.92741697662693401</v>
      </c>
      <c r="L77" s="10">
        <v>0.94251573421502899</v>
      </c>
      <c r="M77" s="10">
        <v>0.99014536486167604</v>
      </c>
      <c r="N77">
        <v>543.21789741516</v>
      </c>
      <c r="O77">
        <v>67</v>
      </c>
      <c r="P77">
        <v>0.87043180133431997</v>
      </c>
      <c r="S77">
        <v>672.44291305542004</v>
      </c>
      <c r="T77">
        <v>69</v>
      </c>
      <c r="U77">
        <v>0.91866366480959005</v>
      </c>
    </row>
    <row r="78" spans="2:21">
      <c r="B78">
        <v>3941.5462017058999</v>
      </c>
      <c r="C78">
        <v>68</v>
      </c>
      <c r="D78" s="10">
        <v>0.89271585211306403</v>
      </c>
      <c r="E78" s="10">
        <v>0.94331735121932703</v>
      </c>
      <c r="F78" s="10">
        <v>0.951441088039086</v>
      </c>
      <c r="G78" s="10">
        <v>0.98724564152077599</v>
      </c>
      <c r="H78">
        <v>100.55470466614</v>
      </c>
      <c r="I78">
        <v>70</v>
      </c>
      <c r="J78" s="10">
        <v>0.82381204412761899</v>
      </c>
      <c r="K78" s="10">
        <v>0.90339577126948001</v>
      </c>
      <c r="L78" s="10">
        <v>0.895586661991711</v>
      </c>
      <c r="M78" s="10">
        <v>0.989661223989032</v>
      </c>
      <c r="N78">
        <v>542.15979576110999</v>
      </c>
      <c r="O78">
        <v>68</v>
      </c>
      <c r="P78">
        <v>0.88398489753595999</v>
      </c>
      <c r="S78">
        <v>661.94677352905001</v>
      </c>
      <c r="T78">
        <v>70</v>
      </c>
      <c r="U78">
        <v>0.91008285490605001</v>
      </c>
    </row>
    <row r="79" spans="2:21">
      <c r="B79">
        <v>3089.4765853882</v>
      </c>
      <c r="C79">
        <v>69</v>
      </c>
      <c r="D79" s="10">
        <v>0.87889220760467202</v>
      </c>
      <c r="E79" s="10">
        <v>0.93554298011075199</v>
      </c>
      <c r="F79" s="10">
        <v>0.95411829740187903</v>
      </c>
      <c r="G79" s="10">
        <v>0.98881356261180697</v>
      </c>
      <c r="H79">
        <v>87.435960769652993</v>
      </c>
      <c r="I79">
        <v>71</v>
      </c>
      <c r="J79" s="10">
        <v>0.84423316924356895</v>
      </c>
      <c r="K79" s="10">
        <v>0.91553842900444005</v>
      </c>
      <c r="L79" s="10">
        <v>0.95611589878486802</v>
      </c>
      <c r="M79" s="10">
        <v>0.98573773574143198</v>
      </c>
      <c r="N79">
        <v>542.25802421569995</v>
      </c>
      <c r="O79">
        <v>69</v>
      </c>
      <c r="P79">
        <v>0.87814130898775999</v>
      </c>
      <c r="S79">
        <v>656.63456916809002</v>
      </c>
      <c r="T79">
        <v>71</v>
      </c>
      <c r="U79">
        <v>0.90980320164488004</v>
      </c>
    </row>
    <row r="80" spans="2:21">
      <c r="B80">
        <v>3226.0813713073999</v>
      </c>
      <c r="C80">
        <v>70</v>
      </c>
      <c r="D80" s="10">
        <v>0.88102460621428003</v>
      </c>
      <c r="E80" s="10">
        <v>0.9367496877007</v>
      </c>
      <c r="F80" s="10">
        <v>0.95153739721411701</v>
      </c>
      <c r="G80" s="10">
        <v>0.98771954719405297</v>
      </c>
      <c r="H80">
        <v>99.454164505004996</v>
      </c>
      <c r="I80">
        <v>72</v>
      </c>
      <c r="J80" s="10">
        <v>0.87293874728875998</v>
      </c>
      <c r="K80" s="10">
        <v>0.93215941904390998</v>
      </c>
      <c r="L80" s="10">
        <v>0.93840937554091597</v>
      </c>
      <c r="M80" s="10">
        <v>0.99224927738137902</v>
      </c>
      <c r="N80">
        <v>543.82252693175997</v>
      </c>
      <c r="O80">
        <v>70</v>
      </c>
      <c r="P80">
        <v>0.89756951682161001</v>
      </c>
      <c r="S80">
        <v>669.48175430297999</v>
      </c>
      <c r="T80">
        <v>72</v>
      </c>
      <c r="U80">
        <v>0.9272468437418</v>
      </c>
    </row>
    <row r="81" spans="2:21">
      <c r="B81">
        <v>3137.8042697905998</v>
      </c>
      <c r="C81">
        <v>71</v>
      </c>
      <c r="D81" s="10">
        <v>0.87026399767914098</v>
      </c>
      <c r="E81" s="10">
        <v>0.93063225165973795</v>
      </c>
      <c r="F81" s="10">
        <v>0.95708770698401502</v>
      </c>
      <c r="G81" s="10">
        <v>0.98645153183911605</v>
      </c>
      <c r="H81">
        <v>99.795341491699006</v>
      </c>
      <c r="I81">
        <v>73</v>
      </c>
      <c r="J81" s="10">
        <v>0.84814682822523102</v>
      </c>
      <c r="K81" s="10">
        <v>0.91783489847471</v>
      </c>
      <c r="L81" s="10">
        <v>0.97081319219237505</v>
      </c>
      <c r="M81" s="10">
        <v>0.97640237429408405</v>
      </c>
      <c r="N81">
        <v>543.02239418030001</v>
      </c>
      <c r="O81">
        <v>71</v>
      </c>
      <c r="P81">
        <v>0.88139860620591004</v>
      </c>
      <c r="S81">
        <v>653.69105339049997</v>
      </c>
      <c r="T81">
        <v>73</v>
      </c>
      <c r="U81">
        <v>0.92743547689571004</v>
      </c>
    </row>
    <row r="82" spans="2:21">
      <c r="B82">
        <v>3065.8965110779</v>
      </c>
      <c r="C82">
        <v>72</v>
      </c>
      <c r="D82" s="10">
        <v>0.85529229307299903</v>
      </c>
      <c r="E82" s="10">
        <v>0.92200274454473397</v>
      </c>
      <c r="F82" s="10">
        <v>0.95608734429646502</v>
      </c>
      <c r="G82" s="10">
        <v>0.98760522646284099</v>
      </c>
      <c r="H82">
        <v>100.02827644348</v>
      </c>
      <c r="I82">
        <v>74</v>
      </c>
      <c r="J82" s="10">
        <v>0.83510754019159905</v>
      </c>
      <c r="K82" s="10">
        <v>0.91014561479531297</v>
      </c>
      <c r="L82" s="10">
        <v>0.94472639011473902</v>
      </c>
      <c r="M82" s="10">
        <v>0.98338211151508903</v>
      </c>
      <c r="N82">
        <v>988.26074600219999</v>
      </c>
      <c r="O82">
        <v>72</v>
      </c>
      <c r="P82">
        <v>0.91035747736496997</v>
      </c>
      <c r="S82">
        <v>664.55459594726995</v>
      </c>
      <c r="T82">
        <v>74</v>
      </c>
      <c r="U82">
        <v>0.91413769034908998</v>
      </c>
    </row>
    <row r="83" spans="2:21">
      <c r="B83">
        <v>3223.2494354248001</v>
      </c>
      <c r="C83">
        <v>73</v>
      </c>
      <c r="D83" s="10">
        <v>0.88448654096999801</v>
      </c>
      <c r="E83" s="10">
        <v>0.93870295355330902</v>
      </c>
      <c r="F83" s="10">
        <v>0.95325654584085495</v>
      </c>
      <c r="G83" s="10">
        <v>0.989458317359446</v>
      </c>
      <c r="H83" s="6">
        <f>AVERAGE(H8:H82)</f>
        <v>107.97236124674484</v>
      </c>
      <c r="I83" s="6" t="s">
        <v>7</v>
      </c>
      <c r="J83" s="6">
        <f>AVERAGE(J8:J82)</f>
        <v>0.84589795579056748</v>
      </c>
      <c r="K83" s="6">
        <f>SUBTOTAL(101,Tabella4[dice])</f>
        <v>0.91540422644932917</v>
      </c>
      <c r="L83" s="6">
        <f>SUBTOTAL(101,Tabella4[sensitivity])</f>
        <v>0.94982445171250562</v>
      </c>
      <c r="M83" s="6">
        <f>SUBTOTAL(101,Tabella4[specificity])</f>
        <v>0.98294512753939556</v>
      </c>
      <c r="N83">
        <v>543.17903518676997</v>
      </c>
      <c r="O83">
        <v>73</v>
      </c>
      <c r="P83">
        <v>0.84953792177500997</v>
      </c>
      <c r="S83" s="6">
        <f>AVERAGE(S8:S82)</f>
        <v>693.06741396586051</v>
      </c>
      <c r="T83" s="6" t="s">
        <v>7</v>
      </c>
      <c r="U83" s="6">
        <f>AVERAGE(U8:U82)</f>
        <v>0.92680906819252484</v>
      </c>
    </row>
    <row r="84" spans="2:21">
      <c r="B84">
        <v>3120.7485198975</v>
      </c>
      <c r="C84">
        <v>74</v>
      </c>
      <c r="D84" s="10">
        <v>0.62554228563916303</v>
      </c>
      <c r="E84" s="10">
        <v>0.76964135742946904</v>
      </c>
      <c r="F84" s="10">
        <v>0.96681827417514499</v>
      </c>
      <c r="G84" s="10">
        <v>0.92416800092112406</v>
      </c>
      <c r="N84">
        <v>545.41444778441996</v>
      </c>
      <c r="O84">
        <v>74</v>
      </c>
      <c r="P84">
        <v>0.83493774000345999</v>
      </c>
    </row>
    <row r="85" spans="2:21">
      <c r="B85" s="6">
        <f>AVERAGE(B10:B84)</f>
        <v>3332.6216475168872</v>
      </c>
      <c r="C85" s="6" t="s">
        <v>7</v>
      </c>
      <c r="D85" s="6">
        <f>AVERAGE(D10:D84)</f>
        <v>0.84591680100973643</v>
      </c>
      <c r="E85" s="6">
        <f>AVERAGE(E10:E84)</f>
        <v>0.91541506726585609</v>
      </c>
      <c r="F85" s="6">
        <f>AVERAGE(F10:F84)</f>
        <v>0.94980574218726155</v>
      </c>
      <c r="G85" s="6">
        <f>AVERAGE(G10:G84)</f>
        <v>0.98295131707046868</v>
      </c>
      <c r="H85">
        <f>STDEVA(Tabella4[time])</f>
        <v>50.682019810204459</v>
      </c>
      <c r="J85">
        <f>STDEVA(Tabella4[iou])</f>
        <v>5.6089887881244603E-2</v>
      </c>
      <c r="K85">
        <f>STDEVA(Tabella4[dice])</f>
        <v>3.7202218659569283E-2</v>
      </c>
      <c r="L85">
        <f>STDEVA(Tabella4[sensitivity])</f>
        <v>1.2050537582129123E-2</v>
      </c>
      <c r="M85">
        <f>STDEVA(Tabella4[specificity])</f>
        <v>1.478259518185506E-2</v>
      </c>
      <c r="N85" s="6">
        <f>AVERAGE(N10:N84)</f>
        <v>576.84769312540732</v>
      </c>
      <c r="O85" t="s">
        <v>7</v>
      </c>
      <c r="P85" s="6">
        <f>AVERAGE(P10:P84)</f>
        <v>0.85368773871762182</v>
      </c>
      <c r="S85">
        <f>STDEVA(Tabella2[time])</f>
        <v>79.230908298134267</v>
      </c>
      <c r="U85">
        <f>STDEVA(Tabella2[iou])</f>
        <v>1.333496424414842E-2</v>
      </c>
    </row>
    <row r="87" spans="2:21">
      <c r="B87">
        <f>STDEVA(B8:B82)</f>
        <v>532.00219491260566</v>
      </c>
      <c r="D87">
        <f>STDEVA(Tabella4[iou])</f>
        <v>5.6089887881244603E-2</v>
      </c>
      <c r="E87">
        <f>STDEVA(Tabella1[dice])</f>
        <v>3.7205995738993233E-2</v>
      </c>
      <c r="F87">
        <f>STDEVA(Tabella1[sensitivity])</f>
        <v>1.2050241600320534E-2</v>
      </c>
      <c r="G87">
        <f>STDEVA(Tabella1[specificity])</f>
        <v>1.4783673014541445E-2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4C600D-E3F3-456C-9C44-BC1DC74FA7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TimeDfBBoxStudent</vt:lpstr>
      <vt:lpstr>TimeDfBBoxStudent (2)</vt:lpstr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Marco De Zen</cp:lastModifiedBy>
  <dcterms:created xsi:type="dcterms:W3CDTF">2025-06-11T09:10:40Z</dcterms:created>
  <dcterms:modified xsi:type="dcterms:W3CDTF">2025-07-03T17:14:34Z</dcterms:modified>
  <cp:category/>
</cp:coreProperties>
</file>