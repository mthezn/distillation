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DECOUPLED\"/>
    </mc:Choice>
  </mc:AlternateContent>
  <xr:revisionPtr revIDLastSave="0" documentId="13_ncr:1_{AFA44F96-8584-4193-99B9-AE1999E24D4E}" xr6:coauthVersionLast="47" xr6:coauthVersionMax="47" xr10:uidLastSave="{00000000-0000-0000-0000-000000000000}"/>
  <bookViews>
    <workbookView minimized="1" xWindow="9915" yWindow="-14055" windowWidth="17280" windowHeight="8880" firstSheet="4" activeTab="4" xr2:uid="{00000000-000D-0000-FFFF-FFFF00000000}"/>
  </bookViews>
  <sheets>
    <sheet name="TimeDfBBoxStudent" sheetId="2" r:id="rId1"/>
    <sheet name="TimeDfBBoxStudent (2)" sheetId="3" r:id="rId2"/>
    <sheet name="TimeDfBBoxStudent (3)" sheetId="4" r:id="rId3"/>
    <sheet name="TimeDfBBoxStudent (4)" sheetId="5" r:id="rId4"/>
    <sheet name="Worksheet" sheetId="1" r:id="rId5"/>
  </sheets>
  <definedNames>
    <definedName name="DatiEsterni_1" localSheetId="0" hidden="1">TimeDfBBoxStudent!$A$1:$F$77</definedName>
    <definedName name="DatiEsterni_1" localSheetId="1" hidden="1">'TimeDfBBoxStudent (2)'!$A$1:$F$77</definedName>
    <definedName name="DatiEsterni_1" localSheetId="2" hidden="1">'TimeDfBBoxStudent (3)'!$A$1:$F$77</definedName>
    <definedName name="DatiEsterni_1" localSheetId="3" hidden="1">'TimeDfBBoxStudent (4)'!$A$1:$F$77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3" i="1" l="1"/>
  <c r="R83" i="1"/>
  <c r="S81" i="1"/>
  <c r="R81" i="1"/>
  <c r="Q81" i="1"/>
  <c r="Y84" i="1"/>
  <c r="X84" i="1"/>
  <c r="W84" i="1"/>
  <c r="Y81" i="1"/>
  <c r="X81" i="1"/>
  <c r="W81" i="1"/>
  <c r="M85" i="1"/>
  <c r="L85" i="1"/>
  <c r="K85" i="1"/>
  <c r="M82" i="1"/>
  <c r="L82" i="1"/>
  <c r="K82" i="1"/>
  <c r="N81" i="1"/>
  <c r="F84" i="1"/>
  <c r="E84" i="1"/>
  <c r="D84" i="1"/>
  <c r="F81" i="1"/>
  <c r="E81" i="1"/>
  <c r="D81" i="1"/>
  <c r="C84" i="1"/>
  <c r="A84" i="1"/>
  <c r="P81" i="1"/>
  <c r="Q83" i="1"/>
  <c r="O83" i="1"/>
  <c r="H85" i="1"/>
  <c r="V84" i="1"/>
  <c r="T84" i="1"/>
  <c r="AG80" i="1" l="1"/>
  <c r="AE80" i="1"/>
  <c r="AB82" i="1"/>
  <c r="Z82" i="1"/>
  <c r="C81" i="1"/>
  <c r="A81" i="1"/>
  <c r="J82" i="1"/>
  <c r="H82" i="1"/>
  <c r="V81" i="1"/>
  <c r="T8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05A1C-99B7-4847-8311-E499973998F2}" keepAlive="1" name="Query - TimeDfBBoxStudent" description="Connessione alla query 'TimeDfBBoxStudent' nella cartella di lavoro." type="5" refreshedVersion="8" background="1" saveData="1">
    <dbPr connection="Provider=Microsoft.Mashup.OleDb.1;Data Source=$Workbook$;Location=TimeDfBBoxStudent;Extended Properties=&quot;&quot;" command="SELECT * FROM [TimeDfBBoxStudent]"/>
  </connection>
  <connection id="2" xr16:uid="{8B9562FE-210D-45F4-BDD7-5ED003E26AA8}" keepAlive="1" name="Query - TimeDfBBoxStudent (2)" description="Connessione alla query 'TimeDfBBoxStudent (2)' nella cartella di lavoro." type="5" refreshedVersion="8" background="1" saveData="1">
    <dbPr connection="Provider=Microsoft.Mashup.OleDb.1;Data Source=$Workbook$;Location=&quot;TimeDfBBoxStudent (2)&quot;;Extended Properties=&quot;&quot;" command="SELECT * FROM [TimeDfBBoxStudent (2)]"/>
  </connection>
  <connection id="3" xr16:uid="{04FF831E-ED1B-4F7C-AF5F-11C142F8717B}" keepAlive="1" name="Query - TimeDfBBoxStudent (3)" description="Connessione alla query 'TimeDfBBoxStudent (3)' nella cartella di lavoro." type="5" refreshedVersion="8" background="1" saveData="1">
    <dbPr connection="Provider=Microsoft.Mashup.OleDb.1;Data Source=$Workbook$;Location=&quot;TimeDfBBoxStudent (3)&quot;;Extended Properties=&quot;&quot;" command="SELECT * FROM [TimeDfBBoxStudent (3)]"/>
  </connection>
  <connection id="4" xr16:uid="{4E8A37BA-C89D-4416-8FA6-E1932A81670F}" keepAlive="1" name="Query - TimeDfBBoxStudent (4)" description="Connessione alla query 'TimeDfBBoxStudent (4)' nella cartella di lavoro." type="5" refreshedVersion="8" background="1" saveData="1">
    <dbPr connection="Provider=Microsoft.Mashup.OleDb.1;Data Source=$Workbook$;Location=&quot;TimeDfBBoxStudent (4)&quot;;Extended Properties=&quot;&quot;" command="SELECT * FROM [TimeDfBBoxStudent (4)]"/>
  </connection>
</connections>
</file>

<file path=xl/sharedStrings.xml><?xml version="1.0" encoding="utf-8"?>
<sst xmlns="http://schemas.openxmlformats.org/spreadsheetml/2006/main" count="1895" uniqueCount="1558">
  <si>
    <t>time</t>
  </si>
  <si>
    <t>index</t>
  </si>
  <si>
    <t>iou</t>
  </si>
  <si>
    <t>GPU</t>
  </si>
  <si>
    <t>MODELLO CMT DISTILLATO</t>
  </si>
  <si>
    <t>SAM VITb</t>
  </si>
  <si>
    <t>sam_vit_b_01ec64.pth</t>
  </si>
  <si>
    <t xml:space="preserve">CPU </t>
  </si>
  <si>
    <t>CPU</t>
  </si>
  <si>
    <t>TEMPO</t>
  </si>
  <si>
    <t>MEDIA</t>
  </si>
  <si>
    <t>IOU</t>
  </si>
  <si>
    <t>STUDENT CON REFINING MASCHERE</t>
  </si>
  <si>
    <t xml:space="preserve">fare test del p value sul mio iou student e quello dato da sam </t>
  </si>
  <si>
    <t>STUDENT CON REFINING MASCHERE e input(bbox+centroids)</t>
  </si>
  <si>
    <t>Column1</t>
  </si>
  <si>
    <t>Column2</t>
  </si>
  <si>
    <t>Column3</t>
  </si>
  <si>
    <t>Column4</t>
  </si>
  <si>
    <t>Column5</t>
  </si>
  <si>
    <t>Column6</t>
  </si>
  <si>
    <t>dice</t>
  </si>
  <si>
    <t>sensitivity</t>
  </si>
  <si>
    <t>specificity</t>
  </si>
  <si>
    <t>7111.996173858643</t>
  </si>
  <si>
    <t>0.0</t>
  </si>
  <si>
    <t>0.8472713158952607</t>
  </si>
  <si>
    <t>0.9173220074438708</t>
  </si>
  <si>
    <t>0.8920070633218043</t>
  </si>
  <si>
    <t>0.9920616984630237</t>
  </si>
  <si>
    <t>6936.3508224487305</t>
  </si>
  <si>
    <t>1.0</t>
  </si>
  <si>
    <t>0.8838280296064037</t>
  </si>
  <si>
    <t>0.9383319663112409</t>
  </si>
  <si>
    <t>0.9406616502751528</t>
  </si>
  <si>
    <t>0.9913239053682253</t>
  </si>
  <si>
    <t>6814.12410736084</t>
  </si>
  <si>
    <t>2.0</t>
  </si>
  <si>
    <t>0.8081312785988534</t>
  </si>
  <si>
    <t>0.893885624527314</t>
  </si>
  <si>
    <t>0.8931971108430583</t>
  </si>
  <si>
    <t>0.9840980594055928</t>
  </si>
  <si>
    <t>5950.578927993774</t>
  </si>
  <si>
    <t>3.0</t>
  </si>
  <si>
    <t>0.8607951387602356</t>
  </si>
  <si>
    <t>0.9251906572947571</t>
  </si>
  <si>
    <t>0.9121140142517815</t>
  </si>
  <si>
    <t>0.9935839880679501</t>
  </si>
  <si>
    <t>4552.547216415405</t>
  </si>
  <si>
    <t>4.0</t>
  </si>
  <si>
    <t>0.8500824253146234</t>
  </si>
  <si>
    <t>0.9189670835017625</t>
  </si>
  <si>
    <t>0.9181330229811183</t>
  </si>
  <si>
    <t>0.9901257501837294</t>
  </si>
  <si>
    <t>4370.511293411255</t>
  </si>
  <si>
    <t>5.0</t>
  </si>
  <si>
    <t>0.8498029654216267</t>
  </si>
  <si>
    <t>0.9188037659220971</t>
  </si>
  <si>
    <t>0.8801966540515687</t>
  </si>
  <si>
    <t>0.9944268753355063</t>
  </si>
  <si>
    <t>4549.198627471924</t>
  </si>
  <si>
    <t>6.0</t>
  </si>
  <si>
    <t>0.8812415449391235</t>
  </si>
  <si>
    <t>0.9368722983072759</t>
  </si>
  <si>
    <t>0.9293408566299051</t>
  </si>
  <si>
    <t>0.992628338356022</t>
  </si>
  <si>
    <t>4221.247673034668</t>
  </si>
  <si>
    <t>7.0</t>
  </si>
  <si>
    <t>0.8680238605727386</t>
  </si>
  <si>
    <t>0.9293498641999159</t>
  </si>
  <si>
    <t>0.9258183080627024</t>
  </si>
  <si>
    <t>0.9903698051583</t>
  </si>
  <si>
    <t>4330.08337020874</t>
  </si>
  <si>
    <t>8.0</t>
  </si>
  <si>
    <t>0.848838869634072</t>
  </si>
  <si>
    <t>0.9182399651756313</t>
  </si>
  <si>
    <t>0.9303371106226481</t>
  </si>
  <si>
    <t>0.9851354461844121</t>
  </si>
  <si>
    <t>5815.478324890137</t>
  </si>
  <si>
    <t>9.0</t>
  </si>
  <si>
    <t>0.8403506058987263</t>
  </si>
  <si>
    <t>0.9132505547640963</t>
  </si>
  <si>
    <t>0.9419193709770183</t>
  </si>
  <si>
    <t>0.9833548346496335</t>
  </si>
  <si>
    <t>4419.639348983765</t>
  </si>
  <si>
    <t>10.0</t>
  </si>
  <si>
    <t>0.8130778534088978</t>
  </si>
  <si>
    <t>0.8969034086210603</t>
  </si>
  <si>
    <t>0.9056759224208956</t>
  </si>
  <si>
    <t>0.9893309886332109</t>
  </si>
  <si>
    <t>4011.939525604248</t>
  </si>
  <si>
    <t>11.0</t>
  </si>
  <si>
    <t>0.8686058903313312</t>
  </si>
  <si>
    <t>0.9296833482391673</t>
  </si>
  <si>
    <t>0.9130711521488221</t>
  </si>
  <si>
    <t>0.9935191631640924</t>
  </si>
  <si>
    <t>4211.802005767822</t>
  </si>
  <si>
    <t>12.0</t>
  </si>
  <si>
    <t>0.5222950996424015</t>
  </si>
  <si>
    <t>0.6861942861999523</t>
  </si>
  <si>
    <t>0.8534130414356854</t>
  </si>
  <si>
    <t>0.8770824604230048</t>
  </si>
  <si>
    <t>4266.878604888916</t>
  </si>
  <si>
    <t>13.0</t>
  </si>
  <si>
    <t>0.803523601071336</t>
  </si>
  <si>
    <t>0.8910597017904549</t>
  </si>
  <si>
    <t>0.8838091467036231</t>
  </si>
  <si>
    <t>0.9863200842241308</t>
  </si>
  <si>
    <t>4940.956115722656</t>
  </si>
  <si>
    <t>14.0</t>
  </si>
  <si>
    <t>0.8845045429221892</t>
  </si>
  <si>
    <t>0.9387130917186759</t>
  </si>
  <si>
    <t>0.921929327760612</t>
  </si>
  <si>
    <t>0.99350777208342</t>
  </si>
  <si>
    <t>5528.99956703186</t>
  </si>
  <si>
    <t>15.0</t>
  </si>
  <si>
    <t>0.873952638513784</t>
  </si>
  <si>
    <t>0.9327371680075207</t>
  </si>
  <si>
    <t>0.9261139224882745</t>
  </si>
  <si>
    <t>0.9915805533307797</t>
  </si>
  <si>
    <t>5409.493923187256</t>
  </si>
  <si>
    <t>16.0</t>
  </si>
  <si>
    <t>0.8416541934237844</t>
  </si>
  <si>
    <t>0.9140197941928295</t>
  </si>
  <si>
    <t>0.9152876108130814</t>
  </si>
  <si>
    <t>0.9893000908694893</t>
  </si>
  <si>
    <t>4405.750274658203</t>
  </si>
  <si>
    <t>17.0</t>
  </si>
  <si>
    <t>0.8634409040838807</t>
  </si>
  <si>
    <t>0.9267167015509646</t>
  </si>
  <si>
    <t>0.9144716374572228</t>
  </si>
  <si>
    <t>0.99266878202517</t>
  </si>
  <si>
    <t>4608.545541763306</t>
  </si>
  <si>
    <t>18.0</t>
  </si>
  <si>
    <t>0.8727863324879552</t>
  </si>
  <si>
    <t>0.9320725139300625</t>
  </si>
  <si>
    <t>0.9039694725433526</t>
  </si>
  <si>
    <t>0.9948160557031032</t>
  </si>
  <si>
    <t>4941.544532775879</t>
  </si>
  <si>
    <t>19.0</t>
  </si>
  <si>
    <t>0.8551676713290806</t>
  </si>
  <si>
    <t>0.9219303295819302</t>
  </si>
  <si>
    <t>0.9263503233168505</t>
  </si>
  <si>
    <t>0.9886121181633679</t>
  </si>
  <si>
    <t>4949.135780334473</t>
  </si>
  <si>
    <t>20.0</t>
  </si>
  <si>
    <t>0.847276644106322</t>
  </si>
  <si>
    <t>0.9173251302770827</t>
  </si>
  <si>
    <t>0.8959069467113877</t>
  </si>
  <si>
    <t>0.9931702007320691</t>
  </si>
  <si>
    <t>5317.600250244141</t>
  </si>
  <si>
    <t>21.0</t>
  </si>
  <si>
    <t>0.8746570313405727</t>
  </si>
  <si>
    <t>0.9331381865781635</t>
  </si>
  <si>
    <t>0.9125123470477957</t>
  </si>
  <si>
    <t>0.9954769624231853</t>
  </si>
  <si>
    <t>4669.773101806641</t>
  </si>
  <si>
    <t>22.0</t>
  </si>
  <si>
    <t>0.832984342282089</t>
  </si>
  <si>
    <t>0.9088832054560955</t>
  </si>
  <si>
    <t>0.8850553719968786</t>
  </si>
  <si>
    <t>0.9918868074964606</t>
  </si>
  <si>
    <t>3801.6321659088135</t>
  </si>
  <si>
    <t>23.0</t>
  </si>
  <si>
    <t>0.8407743354144579</t>
  </si>
  <si>
    <t>0.9135007146056869</t>
  </si>
  <si>
    <t>0.9298326370734503</t>
  </si>
  <si>
    <t>0.986934308367892</t>
  </si>
  <si>
    <t>4704.456567764282</t>
  </si>
  <si>
    <t>24.0</t>
  </si>
  <si>
    <t>0.8753272458010767</t>
  </si>
  <si>
    <t>0.9335194673473283</t>
  </si>
  <si>
    <t>0.9164688678066739</t>
  </si>
  <si>
    <t>0.9929906465240905</t>
  </si>
  <si>
    <t>4199.238061904907</t>
  </si>
  <si>
    <t>25.0</t>
  </si>
  <si>
    <t>0.8405087445395909</t>
  </si>
  <si>
    <t>0.9133439295338386</t>
  </si>
  <si>
    <t>0.9088699982094591</t>
  </si>
  <si>
    <t>0.9897572514772472</t>
  </si>
  <si>
    <t>3851.2651920318604</t>
  </si>
  <si>
    <t>26.0</t>
  </si>
  <si>
    <t>0.8422287335645272</t>
  </si>
  <si>
    <t>0.9143584813541578</t>
  </si>
  <si>
    <t>0.9102305865375944</t>
  </si>
  <si>
    <t>0.9915081045587681</t>
  </si>
  <si>
    <t>4477.804660797119</t>
  </si>
  <si>
    <t>27.0</t>
  </si>
  <si>
    <t>0.8841535690645156</t>
  </si>
  <si>
    <t>0.9385153987246367</t>
  </si>
  <si>
    <t>0.9175439717558349</t>
  </si>
  <si>
    <t>0.9948796922617075</t>
  </si>
  <si>
    <t>4554.964303970337</t>
  </si>
  <si>
    <t>28.0</t>
  </si>
  <si>
    <t>0.8305013126191246</t>
  </si>
  <si>
    <t>0.9074031325668089</t>
  </si>
  <si>
    <t>0.8884518096044165</t>
  </si>
  <si>
    <t>0.992319524710381</t>
  </si>
  <si>
    <t>3248.973608016968</t>
  </si>
  <si>
    <t>29.0</t>
  </si>
  <si>
    <t>0.8131276691172169</t>
  </si>
  <si>
    <t>0.8969337162154896</t>
  </si>
  <si>
    <t>0.9063403395135523</t>
  </si>
  <si>
    <t>0.9889730095905963</t>
  </si>
  <si>
    <t>3533.099412918091</t>
  </si>
  <si>
    <t>30.0</t>
  </si>
  <si>
    <t>0.8713001480354292</t>
  </si>
  <si>
    <t>0.9312243671333617</t>
  </si>
  <si>
    <t>0.9226289517470881</t>
  </si>
  <si>
    <t>0.9928006198723012</t>
  </si>
  <si>
    <t>3285.2251529693604</t>
  </si>
  <si>
    <t>31.0</t>
  </si>
  <si>
    <t>0.8436945803801595</t>
  </si>
  <si>
    <t>0.9152216309126368</t>
  </si>
  <si>
    <t>0.9412184625425768</t>
  </si>
  <si>
    <t>0.9811400915596308</t>
  </si>
  <si>
    <t>3275.165557861328</t>
  </si>
  <si>
    <t>32.0</t>
  </si>
  <si>
    <t>0.8262296580727738</t>
  </si>
  <si>
    <t>0.9048474866460078</t>
  </si>
  <si>
    <t>0.8737009000647737</t>
  </si>
  <si>
    <t>0.9937120360074021</t>
  </si>
  <si>
    <t>3386.5909576416016</t>
  </si>
  <si>
    <t>33.0</t>
  </si>
  <si>
    <t>0.8812858096456584</t>
  </si>
  <si>
    <t>0.9368973126009484</t>
  </si>
  <si>
    <t>0.9467334956750377</t>
  </si>
  <si>
    <t>0.9891308863433118</t>
  </si>
  <si>
    <t>3165.7700538635254</t>
  </si>
  <si>
    <t>34.0</t>
  </si>
  <si>
    <t>0.8560378901458362</t>
  </si>
  <si>
    <t>0.9224357915220943</t>
  </si>
  <si>
    <t>0.9416346204301317</t>
  </si>
  <si>
    <t>0.9854246455595924</t>
  </si>
  <si>
    <t>3191.408157348633</t>
  </si>
  <si>
    <t>35.0</t>
  </si>
  <si>
    <t>0.8688466311598325</t>
  </si>
  <si>
    <t>0.9298212241425227</t>
  </si>
  <si>
    <t>0.9332588138911646</t>
  </si>
  <si>
    <t>0.9881951307954744</t>
  </si>
  <si>
    <t>3166.6784286499023</t>
  </si>
  <si>
    <t>36.0</t>
  </si>
  <si>
    <t>0.8934920146817322</t>
  </si>
  <si>
    <t>0.943750496705332</t>
  </si>
  <si>
    <t>0.9301901057808232</t>
  </si>
  <si>
    <t>0.9933130988962732</t>
  </si>
  <si>
    <t>3352.047920227051</t>
  </si>
  <si>
    <t>37.0</t>
  </si>
  <si>
    <t>0.8217917566594672</t>
  </si>
  <si>
    <t>0.9021796850879901</t>
  </si>
  <si>
    <t>0.948096556497664</t>
  </si>
  <si>
    <t>0.9809602613516027</t>
  </si>
  <si>
    <t>3116.6043281555176</t>
  </si>
  <si>
    <t>38.0</t>
  </si>
  <si>
    <t>0.8293221167375109</t>
  </si>
  <si>
    <t>0.906698835759509</t>
  </si>
  <si>
    <t>0.9239870300240093</t>
  </si>
  <si>
    <t>0.9850815152047774</t>
  </si>
  <si>
    <t>3382.1861743927</t>
  </si>
  <si>
    <t>39.0</t>
  </si>
  <si>
    <t>0.8698368818403738</t>
  </si>
  <si>
    <t>0.9303879822760186</t>
  </si>
  <si>
    <t>0.9005556764356369</t>
  </si>
  <si>
    <t>0.9954578820814525</t>
  </si>
  <si>
    <t>3236.665964126587</t>
  </si>
  <si>
    <t>40.0</t>
  </si>
  <si>
    <t>0.8628927965603533</t>
  </si>
  <si>
    <t>0.926400915987865</t>
  </si>
  <si>
    <t>0.9108193873209474</t>
  </si>
  <si>
    <t>0.9933038385910917</t>
  </si>
  <si>
    <t>3542.5362586975098</t>
  </si>
  <si>
    <t>41.0</t>
  </si>
  <si>
    <t>0.8818078028978971</t>
  </si>
  <si>
    <t>0.9371922058564682</t>
  </si>
  <si>
    <t>0.9177424086841719</t>
  </si>
  <si>
    <t>0.9939094707948382</t>
  </si>
  <si>
    <t>3349.67303276062</t>
  </si>
  <si>
    <t>42.0</t>
  </si>
  <si>
    <t>0.8809335502066763</t>
  </si>
  <si>
    <t>0.9366982157449205</t>
  </si>
  <si>
    <t>0.9170543779660886</t>
  </si>
  <si>
    <t>0.9942608897958207</t>
  </si>
  <si>
    <t>3111.4706993103027</t>
  </si>
  <si>
    <t>43.0</t>
  </si>
  <si>
    <t>0.8552252816020025</t>
  </si>
  <si>
    <t>0.9219638068574705</t>
  </si>
  <si>
    <t>0.9159238656926479</t>
  </si>
  <si>
    <t>0.9933746937073146</t>
  </si>
  <si>
    <t>3204.5507431030273</t>
  </si>
  <si>
    <t>44.0</t>
  </si>
  <si>
    <t>0.8724588793695334</t>
  </si>
  <si>
    <t>0.9318857561916605</t>
  </si>
  <si>
    <t>0.9254017256391989</t>
  </si>
  <si>
    <t>0.9916876841970581</t>
  </si>
  <si>
    <t>3391.969680786133</t>
  </si>
  <si>
    <t>45.0</t>
  </si>
  <si>
    <t>0.88981286114214</t>
  </si>
  <si>
    <t>0.9416941533611606</t>
  </si>
  <si>
    <t>0.9274410314642595</t>
  </si>
  <si>
    <t>0.9935300417622389</t>
  </si>
  <si>
    <t>3279.250383377075</t>
  </si>
  <si>
    <t>46.0</t>
  </si>
  <si>
    <t>0.8171684916143724</t>
  </si>
  <si>
    <t>0.8993865955582357</t>
  </si>
  <si>
    <t>0.9025501858033038</t>
  </si>
  <si>
    <t>0.9882798288961083</t>
  </si>
  <si>
    <t>3272.841691970825</t>
  </si>
  <si>
    <t>47.0</t>
  </si>
  <si>
    <t>0.8335352719439957</t>
  </si>
  <si>
    <t>0.9092110576746577</t>
  </si>
  <si>
    <t>0.9089190850620693</t>
  </si>
  <si>
    <t>0.989509198209848</t>
  </si>
  <si>
    <t>3433.1483840942383</t>
  </si>
  <si>
    <t>48.0</t>
  </si>
  <si>
    <t>0.8918792177436491</t>
  </si>
  <si>
    <t>0.942850060806048</t>
  </si>
  <si>
    <t>0.9191762822449103</t>
  </si>
  <si>
    <t>0.99557606161423</t>
  </si>
  <si>
    <t>3386.932611465454</t>
  </si>
  <si>
    <t>49.0</t>
  </si>
  <si>
    <t>0.869721104633659</t>
  </si>
  <si>
    <t>0.9303217495681705</t>
  </si>
  <si>
    <t>0.929920182606978</t>
  </si>
  <si>
    <t>0.98962483372428</t>
  </si>
  <si>
    <t>3435.9688758850098</t>
  </si>
  <si>
    <t>50.0</t>
  </si>
  <si>
    <t>0.8807480095742911</t>
  </si>
  <si>
    <t>0.9365933182868545</t>
  </si>
  <si>
    <t>0.923599578375837</t>
  </si>
  <si>
    <t>0.9930010199573472</t>
  </si>
  <si>
    <t>3305.7916164398193</t>
  </si>
  <si>
    <t>51.0</t>
  </si>
  <si>
    <t>0.8752102849250057</t>
  </si>
  <si>
    <t>0.9334529486755748</t>
  </si>
  <si>
    <t>0.927793056194329</t>
  </si>
  <si>
    <t>0.9932051356902876</t>
  </si>
  <si>
    <t>3239.6512031555176</t>
  </si>
  <si>
    <t>52.0</t>
  </si>
  <si>
    <t>0.8712794176613923</t>
  </si>
  <si>
    <t>0.9312125270423406</t>
  </si>
  <si>
    <t>0.9263911321729292</t>
  </si>
  <si>
    <t>0.9916739243282211</t>
  </si>
  <si>
    <t>3374.55415725708</t>
  </si>
  <si>
    <t>53.0</t>
  </si>
  <si>
    <t>0.8318376110336522</t>
  </si>
  <si>
    <t>0.9082001658042937</t>
  </si>
  <si>
    <t>0.9100342303891379</t>
  </si>
  <si>
    <t>0.9855578072775361</t>
  </si>
  <si>
    <t>3115.539789199829</t>
  </si>
  <si>
    <t>54.0</t>
  </si>
  <si>
    <t>0.845719965413862</t>
  </si>
  <si>
    <t>0.9164120031873069</t>
  </si>
  <si>
    <t>0.9113526128338427</t>
  </si>
  <si>
    <t>0.9904555769867168</t>
  </si>
  <si>
    <t>3221.698045730591</t>
  </si>
  <si>
    <t>55.0</t>
  </si>
  <si>
    <t>0.8473141344530145</t>
  </si>
  <si>
    <t>0.9173471026398033</t>
  </si>
  <si>
    <t>0.9488168855726479</t>
  </si>
  <si>
    <t>0.9848964855118377</t>
  </si>
  <si>
    <t>3286.1971855163574</t>
  </si>
  <si>
    <t>56.0</t>
  </si>
  <si>
    <t>0.8644862578030236</t>
  </si>
  <si>
    <t>0.92731845481304</t>
  </si>
  <si>
    <t>0.9138402839674126</t>
  </si>
  <si>
    <t>0.9920688539048567</t>
  </si>
  <si>
    <t>3125.66876411438</t>
  </si>
  <si>
    <t>57.0</t>
  </si>
  <si>
    <t>0.7783511091658796</t>
  </si>
  <si>
    <t>0.8753626943005182</t>
  </si>
  <si>
    <t>0.9352320850286473</t>
  </si>
  <si>
    <t>0.9767642463377044</t>
  </si>
  <si>
    <t>3584.561586380005</t>
  </si>
  <si>
    <t>58.0</t>
  </si>
  <si>
    <t>0.8425068119891008</t>
  </si>
  <si>
    <t>0.914522330671399</t>
  </si>
  <si>
    <t>0.8841396255189359</t>
  </si>
  <si>
    <t>0.9951097938273986</t>
  </si>
  <si>
    <t>3266.7837142944336</t>
  </si>
  <si>
    <t>59.0</t>
  </si>
  <si>
    <t>0.8596644738412097</t>
  </si>
  <si>
    <t>0.9245371796187934</t>
  </si>
  <si>
    <t>0.9160577754420466</t>
  </si>
  <si>
    <t>0.9916838777479524</t>
  </si>
  <si>
    <t>3267.3139572143555</t>
  </si>
  <si>
    <t>60.0</t>
  </si>
  <si>
    <t>0.8340970498801488</t>
  </si>
  <si>
    <t>0.909545162765137</t>
  </si>
  <si>
    <t>0.8853287303000063</t>
  </si>
  <si>
    <t>0.9927113282729412</t>
  </si>
  <si>
    <t>3383.829355239868</t>
  </si>
  <si>
    <t>61.0</t>
  </si>
  <si>
    <t>0.8530146729031844</t>
  </si>
  <si>
    <t>0.9206777316735822</t>
  </si>
  <si>
    <t>0.8949744062539015</t>
  </si>
  <si>
    <t>0.9945767320416454</t>
  </si>
  <si>
    <t>3051.313877105713</t>
  </si>
  <si>
    <t>62.0</t>
  </si>
  <si>
    <t>0.8527314803992613</t>
  </si>
  <si>
    <t>0.920512755810139</t>
  </si>
  <si>
    <t>0.9260196310712473</t>
  </si>
  <si>
    <t>0.9890831430917588</t>
  </si>
  <si>
    <t>3206.3469886779785</t>
  </si>
  <si>
    <t>63.0</t>
  </si>
  <si>
    <t>0.8699314901058676</t>
  </si>
  <si>
    <t>0.9304420987708119</t>
  </si>
  <si>
    <t>0.941050433273213</t>
  </si>
  <si>
    <t>0.9866195979553742</t>
  </si>
  <si>
    <t>3375.91552734375</t>
  </si>
  <si>
    <t>64.0</t>
  </si>
  <si>
    <t>0.8494833479576201</t>
  </si>
  <si>
    <t>0.9186169195799492</t>
  </si>
  <si>
    <t>0.8964626047777985</t>
  </si>
  <si>
    <t>0.9911458016407317</t>
  </si>
  <si>
    <t>3176.1934757232666</t>
  </si>
  <si>
    <t>65.0</t>
  </si>
  <si>
    <t>0.8744192422012524</t>
  </si>
  <si>
    <t>0.9330028443096487</t>
  </si>
  <si>
    <t>0.9160337074405774</t>
  </si>
  <si>
    <t>0.993127504062707</t>
  </si>
  <si>
    <t>3132.4710845947266</t>
  </si>
  <si>
    <t>66.0</t>
  </si>
  <si>
    <t>0.8747493609661274</t>
  </si>
  <si>
    <t>0.9331907285092625</t>
  </si>
  <si>
    <t>0.9126331422366298</t>
  </si>
  <si>
    <t>0.9941256360103711</t>
  </si>
  <si>
    <t>3401.03816986084</t>
  </si>
  <si>
    <t>67.0</t>
  </si>
  <si>
    <t>0.8755968</t>
  </si>
  <si>
    <t>0.9336727381919184</t>
  </si>
  <si>
    <t>0.9380257934467368</t>
  </si>
  <si>
    <t>0.988480434240771</t>
  </si>
  <si>
    <t>3749.71079826355</t>
  </si>
  <si>
    <t>68.0</t>
  </si>
  <si>
    <t>0.892120385572798</t>
  </si>
  <si>
    <t>0.9429848041119521</t>
  </si>
  <si>
    <t>0.9442700376998865</t>
  </si>
  <si>
    <t>0.9907911731263868</t>
  </si>
  <si>
    <t>3303.3928871154785</t>
  </si>
  <si>
    <t>69.0</t>
  </si>
  <si>
    <t>0.8653051539474869</t>
  </si>
  <si>
    <t>0.9277893776428684</t>
  </si>
  <si>
    <t>0.9128850984488162</t>
  </si>
  <si>
    <t>0.9931705779492221</t>
  </si>
  <si>
    <t>3297.5289821624756</t>
  </si>
  <si>
    <t>70.0</t>
  </si>
  <si>
    <t>0.8542428249202769</t>
  </si>
  <si>
    <t>0.9213926174496644</t>
  </si>
  <si>
    <t>0.8925186652445528</t>
  </si>
  <si>
    <t>0.9953574822840219</t>
  </si>
  <si>
    <t>3318.7217712402344</t>
  </si>
  <si>
    <t>71.0</t>
  </si>
  <si>
    <t>0.8635053707099817</t>
  </si>
  <si>
    <t>0.926753831013637</t>
  </si>
  <si>
    <t>0.9038423001065254</t>
  </si>
  <si>
    <t>0.9953562887216216</t>
  </si>
  <si>
    <t>3260.958433151245</t>
  </si>
  <si>
    <t>72.0</t>
  </si>
  <si>
    <t>0.8218498535312858</t>
  </si>
  <si>
    <t>0.9022146934208621</t>
  </si>
  <si>
    <t>0.9011112674075116</t>
  </si>
  <si>
    <t>0.9865948160684065</t>
  </si>
  <si>
    <t>3301.964044570923</t>
  </si>
  <si>
    <t>73.0</t>
  </si>
  <si>
    <t>0.8417085917085917</t>
  </si>
  <si>
    <t>0.9140518706357568</t>
  </si>
  <si>
    <t>0.8789976886970157</t>
  </si>
  <si>
    <t>0.9954217493736603</t>
  </si>
  <si>
    <t>3250.3576278686523</t>
  </si>
  <si>
    <t>74.0</t>
  </si>
  <si>
    <t>0.891993334148728</t>
  </si>
  <si>
    <t>0.9429138232667886</t>
  </si>
  <si>
    <t>0.9307261589509619</t>
  </si>
  <si>
    <t>0.9941031451336866</t>
  </si>
  <si>
    <t>879.178524017334</t>
  </si>
  <si>
    <t>0.8919045665044845</t>
  </si>
  <si>
    <t>0.942864225072814</t>
  </si>
  <si>
    <t>0.9191687307436719</t>
  </si>
  <si>
    <t>0.9955815192238843</t>
  </si>
  <si>
    <t>525.8529186248779</t>
  </si>
  <si>
    <t>0.8552373602536293</t>
  </si>
  <si>
    <t>0.9219708254869445</t>
  </si>
  <si>
    <t>0.9160132252083194</t>
  </si>
  <si>
    <t>0.9933663521192847</t>
  </si>
  <si>
    <t>326.82204246520996</t>
  </si>
  <si>
    <t>0.8707516553994157</t>
  </si>
  <si>
    <t>0.9309110088303041</t>
  </si>
  <si>
    <t>0.9261369692298863</t>
  </si>
  <si>
    <t>0.9916275184625197</t>
  </si>
  <si>
    <t>471.99082374572754</t>
  </si>
  <si>
    <t>0.8200647781758884</t>
  </si>
  <si>
    <t>0.9011380122390771</t>
  </si>
  <si>
    <t>0.9485378093095691</t>
  </si>
  <si>
    <t>0.9805926284785786</t>
  </si>
  <si>
    <t>450.27732849121094</t>
  </si>
  <si>
    <t>0.8497227079007759</t>
  </si>
  <si>
    <t>0.9187568539558172</t>
  </si>
  <si>
    <t>0.8800834718636155</t>
  </si>
  <si>
    <t>0.9944323867325242</t>
  </si>
  <si>
    <t>308.5339069366455</t>
  </si>
  <si>
    <t>0.8130147940823671</t>
  </si>
  <si>
    <t>0.8968650412958858</t>
  </si>
  <si>
    <t>0.9055423189115768</t>
  </si>
  <si>
    <t>0.9893382897456918</t>
  </si>
  <si>
    <t>468.3806896209717</t>
  </si>
  <si>
    <t>0.8340632067560585</t>
  </si>
  <si>
    <t>0.9095250411039885</t>
  </si>
  <si>
    <t>0.8852478176048044</t>
  </si>
  <si>
    <t>0.9927177293312495</t>
  </si>
  <si>
    <t>396.99482917785645</t>
  </si>
  <si>
    <t>0.8421477256920294</t>
  </si>
  <si>
    <t>0.9143107406065</t>
  </si>
  <si>
    <t>0.9100502059345218</t>
  </si>
  <si>
    <t>0.9915196983095257</t>
  </si>
  <si>
    <t>458.45842361450195</t>
  </si>
  <si>
    <t>0.8401297367273136</t>
  </si>
  <si>
    <t>0.9131201131736413</t>
  </si>
  <si>
    <t>0.9407848605891576</t>
  </si>
  <si>
    <t>0.9835002262249511</t>
  </si>
  <si>
    <t>388.76914978027344</t>
  </si>
  <si>
    <t>0.8472717948007125</t>
  </si>
  <si>
    <t>0.9173222881282804</t>
  </si>
  <si>
    <t>0.8920508442420793</t>
  </si>
  <si>
    <t>0.9920540190668437</t>
  </si>
  <si>
    <t>346.1120128631592</t>
  </si>
  <si>
    <t>0.8727299153373788</t>
  </si>
  <si>
    <t>0.9320403419519824</t>
  </si>
  <si>
    <t>0.9038716281310212</t>
  </si>
  <si>
    <t>0.9948226079815488</t>
  </si>
  <si>
    <t>420.66478729248047</t>
  </si>
  <si>
    <t>0.8644694605109392</t>
  </si>
  <si>
    <t>0.9273087908600445</t>
  </si>
  <si>
    <t>0.9138090100232991</t>
  </si>
  <si>
    <t>0.9920710262264385</t>
  </si>
  <si>
    <t>470.4923629760742</t>
  </si>
  <si>
    <t>0.8741921867722403</t>
  </si>
  <si>
    <t>0.9328735792862163</t>
  </si>
  <si>
    <t>0.9266307701802025</t>
  </si>
  <si>
    <t>0.9915381133126719</t>
  </si>
  <si>
    <t>247.87521362304688</t>
  </si>
  <si>
    <t>0.881277681594738</t>
  </si>
  <si>
    <t>0.9368927194710446</t>
  </si>
  <si>
    <t>0.9467708442266609</t>
  </si>
  <si>
    <t>0.9891232335777117</t>
  </si>
  <si>
    <t>433.9406490325928</t>
  </si>
  <si>
    <t>0.8498592593074128</t>
  </si>
  <si>
    <t>0.9188366682831861</t>
  </si>
  <si>
    <t>0.929974320123491</t>
  </si>
  <si>
    <t>0.9854052702701215</t>
  </si>
  <si>
    <t>453.2451629638672</t>
  </si>
  <si>
    <t>0.8433813493224139</t>
  </si>
  <si>
    <t>0.9150373031954806</t>
  </si>
  <si>
    <t>0.9410009042267502</t>
  </si>
  <si>
    <t>0.9811145782144873</t>
  </si>
  <si>
    <t>373.354434967041</t>
  </si>
  <si>
    <t>0.8258492704867079</t>
  </si>
  <si>
    <t>0.9046193284800176</t>
  </si>
  <si>
    <t>0.8733625298490869</t>
  </si>
  <si>
    <t>0.9937035716439593</t>
  </si>
  <si>
    <t>514.934778213501</t>
  </si>
  <si>
    <t>0.8543955509751687</t>
  </si>
  <si>
    <t>0.9214814504120965</t>
  </si>
  <si>
    <t>0.8926608766316217</t>
  </si>
  <si>
    <t>0.9953595872569151</t>
  </si>
  <si>
    <t>342.257022857666</t>
  </si>
  <si>
    <t>0.8652430044182622</t>
  </si>
  <si>
    <t>0.927753651796289</t>
  </si>
  <si>
    <t>0.9128419380734935</t>
  </si>
  <si>
    <t>0.9931673615809093</t>
  </si>
  <si>
    <t>429.69799041748047</t>
  </si>
  <si>
    <t>0.8751460849240359</t>
  </si>
  <si>
    <t>0.9334164329489976</t>
  </si>
  <si>
    <t>0.9277742840784299</t>
  </si>
  <si>
    <t>0.9931987665001831</t>
  </si>
  <si>
    <t>387.45570182800293</t>
  </si>
  <si>
    <t>0.8814123512334514</t>
  </si>
  <si>
    <t>0.9369688156406528</t>
  </si>
  <si>
    <t>0.9295492433957425</t>
  </si>
  <si>
    <t>0.9926240084519727</t>
  </si>
  <si>
    <t>325.5295753479004</t>
  </si>
  <si>
    <t>0.8919699993119108</t>
  </si>
  <si>
    <t>0.94290078556881</t>
  </si>
  <si>
    <t>0.9305666336981144</t>
  </si>
  <si>
    <t>0.994123725633771</t>
  </si>
  <si>
    <t>537.0602607727051</t>
  </si>
  <si>
    <t>0.8472100718877182</t>
  </si>
  <si>
    <t>0.9172861113970967</t>
  </si>
  <si>
    <t>0.9486209774961244</t>
  </si>
  <si>
    <t>0.9849082985564459</t>
  </si>
  <si>
    <t>385.235071182251</t>
  </si>
  <si>
    <t>0.8413372971392368</t>
  </si>
  <si>
    <t>0.9138328957398154</t>
  </si>
  <si>
    <t>0.8788755052793419</t>
  </si>
  <si>
    <t>0.9953891302586485</t>
  </si>
  <si>
    <t>472.606897354126</t>
  </si>
  <si>
    <t>0.8818544893603533</t>
  </si>
  <si>
    <t>0.9372185727920948</t>
  </si>
  <si>
    <t>0.9182631656153734</t>
  </si>
  <si>
    <t>0.9938294476429345</t>
  </si>
  <si>
    <t>394.9165344238281</t>
  </si>
  <si>
    <t>0.874758931031316</t>
  </si>
  <si>
    <t>0.9331961742410326</t>
  </si>
  <si>
    <t>0.9126570958624104</t>
  </si>
  <si>
    <t>0.9941234699469531</t>
  </si>
  <si>
    <t>309.3264102935791</t>
  </si>
  <si>
    <t>0.8494113178883403</t>
  </si>
  <si>
    <t>0.9185748023411028</t>
  </si>
  <si>
    <t>0.8963865912059208</t>
  </si>
  <si>
    <t>417.13929176330566</t>
  </si>
  <si>
    <t>0.870003475842892</t>
  </si>
  <si>
    <t>0.9304832713754647</t>
  </si>
  <si>
    <t>0.9007063116139723</t>
  </si>
  <si>
    <t>0.9954611110752334</t>
  </si>
  <si>
    <t>394.89173889160156</t>
  </si>
  <si>
    <t>0.855066317652048</t>
  </si>
  <si>
    <t>0.921871428008356</t>
  </si>
  <si>
    <t>0.9267148472169393</t>
  </si>
  <si>
    <t>0.9885362278617149</t>
  </si>
  <si>
    <t>349.2388725280762</t>
  </si>
  <si>
    <t>0.8680456288831963</t>
  </si>
  <si>
    <t>0.9293623404714734</t>
  </si>
  <si>
    <t>0.9257956663823877</t>
  </si>
  <si>
    <t>0.9903774464373628</t>
  </si>
  <si>
    <t>467.2367572784424</t>
  </si>
  <si>
    <t>0.8636679665064538</t>
  </si>
  <si>
    <t>0.9268474664244469</t>
  </si>
  <si>
    <t>0.9040216004134454</t>
  </si>
  <si>
    <t>0.9953552402431212</t>
  </si>
  <si>
    <t>379.30846214294434</t>
  </si>
  <si>
    <t>0.8406662007554044</t>
  </si>
  <si>
    <t>0.9134368854172443</t>
  </si>
  <si>
    <t>0.9298152667645194</t>
  </si>
  <si>
    <t>0.9869193100337784</t>
  </si>
  <si>
    <t>371.40583992004395</t>
  </si>
  <si>
    <t>0.8697914381178654</t>
  </si>
  <si>
    <t>0.9303619862474058</t>
  </si>
  <si>
    <t>0.9407927747114903</t>
  </si>
  <si>
    <t>0.9866395736737787</t>
  </si>
  <si>
    <t>527.3218154907227</t>
  </si>
  <si>
    <t>0.8409924695887236</t>
  </si>
  <si>
    <t>0.9136294509413184</t>
  </si>
  <si>
    <t>0.9147887878602246</t>
  </si>
  <si>
    <t>0.9892679815092897</t>
  </si>
  <si>
    <t>183.40706825256348</t>
  </si>
  <si>
    <t>0.8315736508868297</t>
  </si>
  <si>
    <t>0.9080428193364651</t>
  </si>
  <si>
    <t>0.909809066803681</t>
  </si>
  <si>
    <t>0.9890866712431552</t>
  </si>
  <si>
    <t>505.0356388092041</t>
  </si>
  <si>
    <t>0.8836044207719024</t>
  </si>
  <si>
    <t>0.9382059322305059</t>
  </si>
  <si>
    <t>0.9408702209244493</t>
  </si>
  <si>
    <t>0.9912557174987391</t>
  </si>
  <si>
    <t>415.4782295227051</t>
  </si>
  <si>
    <t>0.8607766126940606</t>
  </si>
  <si>
    <t>0.9251799563923099</t>
  </si>
  <si>
    <t>0.9120943836987888</t>
  </si>
  <si>
    <t>313.8706684112549</t>
  </si>
  <si>
    <t>0.8331210191082803</t>
  </si>
  <si>
    <t>0.9089645587213343</t>
  </si>
  <si>
    <t>0.8849723555098042</t>
  </si>
  <si>
    <t>0.9919223633201812</t>
  </si>
  <si>
    <t>459.19203758239746</t>
  </si>
  <si>
    <t>0.5171293446117384</t>
  </si>
  <si>
    <t>0.681720838698933</t>
  </si>
  <si>
    <t>0.8533660622005074</t>
  </si>
  <si>
    <t>0.8739354289253639</t>
  </si>
  <si>
    <t>389.5907402038574</t>
  </si>
  <si>
    <t>0.8754751026989672</t>
  </si>
  <si>
    <t>0.9336035455113049</t>
  </si>
  <si>
    <t>0.9380875002571117</t>
  </si>
  <si>
    <t>0.988444986014567</t>
  </si>
  <si>
    <t>378.13854217529297</t>
  </si>
  <si>
    <t>0.8501503723121955</t>
  </si>
  <si>
    <t>0.9190067845671742</t>
  </si>
  <si>
    <t>0.9182285605099967</t>
  </si>
  <si>
    <t>0.9901225362584338</t>
  </si>
  <si>
    <t>418.29776763916016</t>
  </si>
  <si>
    <t>0.8629347844342554</t>
  </si>
  <si>
    <t>0.9264251133689743</t>
  </si>
  <si>
    <t>0.9108637072755638</t>
  </si>
  <si>
    <t>335.0543975830078</t>
  </si>
  <si>
    <t>0.892157187204215</t>
  </si>
  <si>
    <t>0.9430053625961542</t>
  </si>
  <si>
    <t>0.9445152971844211</t>
  </si>
  <si>
    <t>0.9907547440581982</t>
  </si>
  <si>
    <t>443.18461418151855</t>
  </si>
  <si>
    <t>0.8840268477039364</t>
  </si>
  <si>
    <t>0.9384440023042133</t>
  </si>
  <si>
    <t>0.9173842196910396</t>
  </si>
  <si>
    <t>0.9948840241633473</t>
  </si>
  <si>
    <t>418.2708263397217</t>
  </si>
  <si>
    <t>0.8595870253416268</t>
  </si>
  <si>
    <t>0.9244923885008405</t>
  </si>
  <si>
    <t>0.9160408225541221</t>
  </si>
  <si>
    <t>0.9916742065888532</t>
  </si>
  <si>
    <t>261.22212409973145</t>
  </si>
  <si>
    <t>0.8467737147025642</t>
  </si>
  <si>
    <t>0.9170302868848694</t>
  </si>
  <si>
    <t>0.89526124154754</t>
  </si>
  <si>
    <t>0.9931862080741033</t>
  </si>
  <si>
    <t>450.331449508667</t>
  </si>
  <si>
    <t>0.8810340968439901</t>
  </si>
  <si>
    <t>0.9367550522578982</t>
  </si>
  <si>
    <t>0.9171864198777447</t>
  </si>
  <si>
    <t>0.994256541161455</t>
  </si>
  <si>
    <t>394.1030502319336</t>
  </si>
  <si>
    <t>0.8283235455096818</t>
  </si>
  <si>
    <t>0.9061017099998786</t>
  </si>
  <si>
    <t>0.9239952806448686</t>
  </si>
  <si>
    <t>0.9849046715830632</t>
  </si>
  <si>
    <t>347.93877601623535</t>
  </si>
  <si>
    <t>0.8303073880999461</t>
  </si>
  <si>
    <t>0.9072873698683952</t>
  </si>
  <si>
    <t>0.8884998990122436</t>
  </si>
  <si>
    <t>0.9922856480447342</t>
  </si>
  <si>
    <t>468.63532066345215</t>
  </si>
  <si>
    <t>0.8696547571805854</t>
  </si>
  <si>
    <t>0.93028379045981</t>
  </si>
  <si>
    <t>0.929912866622283</t>
  </si>
  <si>
    <t>0.9896138674772916</t>
  </si>
  <si>
    <t>266.42847061157227</t>
  </si>
  <si>
    <t>0.8022319241520417</t>
  </si>
  <si>
    <t>0.8902649136342377</t>
  </si>
  <si>
    <t>0.881829340724609</t>
  </si>
  <si>
    <t>0.9864154977604925</t>
  </si>
  <si>
    <t>297.9733943939209</t>
  </si>
  <si>
    <t>0.8407481587787222</t>
  </si>
  <si>
    <t>0.9134852638793695</t>
  </si>
  <si>
    <t>0.909100210601707</t>
  </si>
  <si>
    <t>0.9897615465809364</t>
  </si>
  <si>
    <t>495.01943588256836</t>
  </si>
  <si>
    <t>0.8846114164265031</t>
  </si>
  <si>
    <t>0.938773275717341</t>
  </si>
  <si>
    <t>0.922015356049581</t>
  </si>
  <si>
    <t>0.99351217210234</t>
  </si>
  <si>
    <t>434.69786643981934</t>
  </si>
  <si>
    <t>0.870549813972716</t>
  </si>
  <si>
    <t>0.9307956489261546</t>
  </si>
  <si>
    <t>0.9220859970225064</t>
  </si>
  <si>
    <t>0.9927653025623243</t>
  </si>
  <si>
    <t>473.24681282043457</t>
  </si>
  <si>
    <t>0.8143330260507358</t>
  </si>
  <si>
    <t>0.8976665412118932</t>
  </si>
  <si>
    <t>0.9021057707764025</t>
  </si>
  <si>
    <t>0.9879096624060397</t>
  </si>
  <si>
    <t>476.6199588775635</t>
  </si>
  <si>
    <t>0.8744481262860953</t>
  </si>
  <si>
    <t>0.9330192860750621</t>
  </si>
  <si>
    <t>0.912320841816679</t>
  </si>
  <si>
    <t>0.9954738024062476</t>
  </si>
  <si>
    <t>279.44469451904297</t>
  </si>
  <si>
    <t>0.8900588182564145</t>
  </si>
  <si>
    <t>0.9418318728064735</t>
  </si>
  <si>
    <t>0.9276781992496874</t>
  </si>
  <si>
    <t>0.9935333405172888</t>
  </si>
  <si>
    <t>448.79865646362305</t>
  </si>
  <si>
    <t>0.8457355258373399</t>
  </si>
  <si>
    <t>0.916421138346635</t>
  </si>
  <si>
    <t>0.911413568797513</t>
  </si>
  <si>
    <t>0.990449151208207</t>
  </si>
  <si>
    <t>465.76380729675293</t>
  </si>
  <si>
    <t>0.8726014822112262</t>
  </si>
  <si>
    <t>0.9319670955091109</t>
  </si>
  <si>
    <t>0.925504630729043</t>
  </si>
  <si>
    <t>0.9916952743628056</t>
  </si>
  <si>
    <t>291.49532318115234</t>
  </si>
  <si>
    <t>0.8743580496249279</t>
  </si>
  <si>
    <t>0.9329680098206349</t>
  </si>
  <si>
    <t>0.9161546309942183</t>
  </si>
  <si>
    <t>0.9930969450844246</t>
  </si>
  <si>
    <t>458.4834575653076</t>
  </si>
  <si>
    <t>0.8089058440490676</t>
  </si>
  <si>
    <t>0.8943592577913365</t>
  </si>
  <si>
    <t>0.8936476333037829</t>
  </si>
  <si>
    <t>0.98417380384167</t>
  </si>
  <si>
    <t>414.78419303894043</t>
  </si>
  <si>
    <t>0.8424866283176909</t>
  </si>
  <si>
    <t>0.9145104397169336</t>
  </si>
  <si>
    <t>0.884118444463272</t>
  </si>
  <si>
    <t>313.43722343444824</t>
  </si>
  <si>
    <t>0.855472286319114</t>
  </si>
  <si>
    <t>0.9221073175026505</t>
  </si>
  <si>
    <t>0.9421218731493767</t>
  </si>
  <si>
    <t>0.9852356106755539</t>
  </si>
  <si>
    <t>400.97856521606445</t>
  </si>
  <si>
    <t>0.8805866527813937</t>
  </si>
  <si>
    <t>0.9365020766035994</t>
  </si>
  <si>
    <t>0.9233569169870556</t>
  </si>
  <si>
    <t>0.9930130194555501</t>
  </si>
  <si>
    <t>337.45598793029785</t>
  </si>
  <si>
    <t>0.8635978007276525</t>
  </si>
  <si>
    <t>0.9268070614705123</t>
  </si>
  <si>
    <t>0.9148691624321615</t>
  </si>
  <si>
    <t>0.992635550886521</t>
  </si>
  <si>
    <t>296.36645317077637</t>
  </si>
  <si>
    <t>0.8527039977560831</t>
  </si>
  <si>
    <t>0.9204967429107318</t>
  </si>
  <si>
    <t>0.9260619394144526</t>
  </si>
  <si>
    <t>0.9890723949802019</t>
  </si>
  <si>
    <t>472.642183303833</t>
  </si>
  <si>
    <t>0.8688404860392968</t>
  </si>
  <si>
    <t>0.9298177051811016</t>
  </si>
  <si>
    <t>0.9333004707221906</t>
  </si>
  <si>
    <t>0.9881862865405918</t>
  </si>
  <si>
    <t>357.8076362609863</t>
  </si>
  <si>
    <t>0.8752272328478681</t>
  </si>
  <si>
    <t>0.9334625879112036</t>
  </si>
  <si>
    <t>0.916351290775347</t>
  </si>
  <si>
    <t>0.9929928383169223</t>
  </si>
  <si>
    <t>294.5239543914795</t>
  </si>
  <si>
    <t>0.8528709119367328</t>
  </si>
  <si>
    <t>0.9205939889738574</t>
  </si>
  <si>
    <t>0.8948399550548849</t>
  </si>
  <si>
    <t>0.9945746144048011</t>
  </si>
  <si>
    <t>474.3337631225586</t>
  </si>
  <si>
    <t>0.893383844331907</t>
  </si>
  <si>
    <t>0.9436901524288049</t>
  </si>
  <si>
    <t>0.9300470666766567</t>
  </si>
  <si>
    <t>0.993318643590389</t>
  </si>
  <si>
    <t>368.99828910827637</t>
  </si>
  <si>
    <t>0.7761543583581438</t>
  </si>
  <si>
    <t>0.8739717409196482</t>
  </si>
  <si>
    <t>0.9356288115733437</t>
  </si>
  <si>
    <t>0.976313273182307</t>
  </si>
  <si>
    <t>357.2275638580322</t>
  </si>
  <si>
    <t>0.8212595844141037</t>
  </si>
  <si>
    <t>0.9018589018745525</t>
  </si>
  <si>
    <t>0.9006501930260546</t>
  </si>
  <si>
    <t>0.9865633153525799</t>
  </si>
  <si>
    <t>457.3521614074707</t>
  </si>
  <si>
    <t>0.8323621459530949</t>
  </si>
  <si>
    <t>0.9085127061715691</t>
  </si>
  <si>
    <t>0.9103994500221996</t>
  </si>
  <si>
    <t>0.9855963139237832</t>
  </si>
  <si>
    <t>391.47400856018066</t>
  </si>
  <si>
    <t>0.812409896746542</t>
  </si>
  <si>
    <t>0.8964968666358526</t>
  </si>
  <si>
    <t>0.906405546981981</t>
  </si>
  <si>
    <t>0.9888705593573652</t>
  </si>
  <si>
    <t>392.24958419799805</t>
  </si>
  <si>
    <t>0.8686736580364424</t>
  </si>
  <si>
    <t>0.9297221634185434</t>
  </si>
  <si>
    <t>0.9131645053975151</t>
  </si>
  <si>
    <t>0.9935159399362231</t>
  </si>
  <si>
    <t>944.8268413543701</t>
  </si>
  <si>
    <t>0.9256468162403653</t>
  </si>
  <si>
    <t>0.9613879434522672</t>
  </si>
  <si>
    <t>0.9825340026750508</t>
  </si>
  <si>
    <t>0.9924194215362991</t>
  </si>
  <si>
    <t>555.3610324859619</t>
  </si>
  <si>
    <t>0.9207789333923434</t>
  </si>
  <si>
    <t>0.9587557603686636</t>
  </si>
  <si>
    <t>0.9618389116645251</t>
  </si>
  <si>
    <t>0.992724259530621</t>
  </si>
  <si>
    <t>659.8215103149414</t>
  </si>
  <si>
    <t>0.884035716316897</t>
  </si>
  <si>
    <t>0.9384489993057022</t>
  </si>
  <si>
    <t>0.9414085481917287</t>
  </si>
  <si>
    <t>0.9919603085115049</t>
  </si>
  <si>
    <t>365.0507926940918</t>
  </si>
  <si>
    <t>0.8429209777603103</t>
  </si>
  <si>
    <t>0.9147662736844058</t>
  </si>
  <si>
    <t>0.8869649648029776</t>
  </si>
  <si>
    <t>0.9937995081853533</t>
  </si>
  <si>
    <t>685.1358413696289</t>
  </si>
  <si>
    <t>0.873811127009511</t>
  </si>
  <si>
    <t>0.9326565675848671</t>
  </si>
  <si>
    <t>0.9090451381288035</t>
  </si>
  <si>
    <t>0.99393766524415</t>
  </si>
  <si>
    <t>451.0977268218994</t>
  </si>
  <si>
    <t>0.9135671560630778</t>
  </si>
  <si>
    <t>0.9548315596538839</t>
  </si>
  <si>
    <t>0.9680774438906335</t>
  </si>
  <si>
    <t>0.993421561143058</t>
  </si>
  <si>
    <t>595.937967300415</t>
  </si>
  <si>
    <t>0.8937103336045565</t>
  </si>
  <si>
    <t>0.9438722678388052</t>
  </si>
  <si>
    <t>0.9612143275954108</t>
  </si>
  <si>
    <t>0.9907621370705775</t>
  </si>
  <si>
    <t>463.55581283569336</t>
  </si>
  <si>
    <t>0.9042874605041629</t>
  </si>
  <si>
    <t>0.9497383974421083</t>
  </si>
  <si>
    <t>0.9644007903647648</t>
  </si>
  <si>
    <t>0.9912497962998337</t>
  </si>
  <si>
    <t>601.954460144043</t>
  </si>
  <si>
    <t>0.9110371709746266</t>
  </si>
  <si>
    <t>0.9534478814035823</t>
  </si>
  <si>
    <t>0.9685803650917456</t>
  </si>
  <si>
    <t>0.9913014607513272</t>
  </si>
  <si>
    <t>686.9533061981201</t>
  </si>
  <si>
    <t>0.9007489921088332</t>
  </si>
  <si>
    <t>0.9477832116164637</t>
  </si>
  <si>
    <t>0.9600052946147659</t>
  </si>
  <si>
    <t>0.9932015450938221</t>
  </si>
  <si>
    <t>424.98183250427246</t>
  </si>
  <si>
    <t>0.9290736558152898</t>
  </si>
  <si>
    <t>0.963232951748162</t>
  </si>
  <si>
    <t>0.9925735187537836</t>
  </si>
  <si>
    <t>0.9913926122068994</t>
  </si>
  <si>
    <t>586.1690044403076</t>
  </si>
  <si>
    <t>0.9221367104181014</t>
  </si>
  <si>
    <t>0.9594912842776091</t>
  </si>
  <si>
    <t>0.9664064580325985</t>
  </si>
  <si>
    <t>0.9924371046618168</t>
  </si>
  <si>
    <t>504.1658878326416</t>
  </si>
  <si>
    <t>0.9331716969038263</t>
  </si>
  <si>
    <t>0.9654307461653788</t>
  </si>
  <si>
    <t>0.9842667234955651</t>
  </si>
  <si>
    <t>0.9918344758053469</t>
  </si>
  <si>
    <t>616.9900894165039</t>
  </si>
  <si>
    <t>0.9024793819134106</t>
  </si>
  <si>
    <t>0.9487402496901131</t>
  </si>
  <si>
    <t>0.9436221588006511</t>
  </si>
  <si>
    <t>0.9925778724565102</t>
  </si>
  <si>
    <t>689.4559860229492</t>
  </si>
  <si>
    <t>0.9090556863936793</t>
  </si>
  <si>
    <t>0.9523616234693918</t>
  </si>
  <si>
    <t>0.9598982816987277</t>
  </si>
  <si>
    <t>0.9924538757768546</t>
  </si>
  <si>
    <t>504.5509338378906</t>
  </si>
  <si>
    <t>0.9099502346619829</t>
  </si>
  <si>
    <t>0.9528522975605415</t>
  </si>
  <si>
    <t>0.978830819239169</t>
  </si>
  <si>
    <t>0.9921568709998937</t>
  </si>
  <si>
    <t>585.0434303283691</t>
  </si>
  <si>
    <t>0.9308123450293796</t>
  </si>
  <si>
    <t>0.9641665565539113</t>
  </si>
  <si>
    <t>0.9908089483332202</t>
  </si>
  <si>
    <t>0.991839861444178</t>
  </si>
  <si>
    <t>643.1763172149658</t>
  </si>
  <si>
    <t>0.8915455719569672</t>
  </si>
  <si>
    <t>0.9426635923284538</t>
  </si>
  <si>
    <t>0.9441858466650435</t>
  </si>
  <si>
    <t>0.990928934334066</t>
  </si>
  <si>
    <t>849.3208885192871</t>
  </si>
  <si>
    <t>0.9110976837865056</t>
  </si>
  <si>
    <t>0.9534810193284573</t>
  </si>
  <si>
    <t>0.9586010476884738</t>
  </si>
  <si>
    <t>0.9933903000423382</t>
  </si>
  <si>
    <t>599.8687744140625</t>
  </si>
  <si>
    <t>0.8776898862488666</t>
  </si>
  <si>
    <t>0.9348613875769033</t>
  </si>
  <si>
    <t>0.9428311225499901</t>
  </si>
  <si>
    <t>0.9898384583774711</t>
  </si>
  <si>
    <t>773.6036777496338</t>
  </si>
  <si>
    <t>0.9085291234238193</t>
  </si>
  <si>
    <t>0.9520725801594865</t>
  </si>
  <si>
    <t>0.9558889434260227</t>
  </si>
  <si>
    <t>0.9919295065302935</t>
  </si>
  <si>
    <t>813.0002021789551</t>
  </si>
  <si>
    <t>0.9112739500063444</t>
  </si>
  <si>
    <t>0.9535775339828385</t>
  </si>
  <si>
    <t>0.9616215040085695</t>
  </si>
  <si>
    <t>0.9928940610193718</t>
  </si>
  <si>
    <t>910.8538627624512</t>
  </si>
  <si>
    <t>0.9118493534230163</t>
  </si>
  <si>
    <t>0.9538924725323379</t>
  </si>
  <si>
    <t>0.9601579694345599</t>
  </si>
  <si>
    <t>0.9914403611288044</t>
  </si>
  <si>
    <t>693.1056976318359</t>
  </si>
  <si>
    <t>0.8475182590550008</t>
  </si>
  <si>
    <t>0.9174667204517951</t>
  </si>
  <si>
    <t>0.9677657270913509</t>
  </si>
  <si>
    <t>0.984084962224987</t>
  </si>
  <si>
    <t>813.849687576294</t>
  </si>
  <si>
    <t>0.9058060361952516</t>
  </si>
  <si>
    <t>0.9505752621117745</t>
  </si>
  <si>
    <t>0.950360063819695</t>
  </si>
  <si>
    <t>0.9924744401462888</t>
  </si>
  <si>
    <t>717.9946899414062</t>
  </si>
  <si>
    <t>0.8789028953502638</t>
  </si>
  <si>
    <t>0.9355490350515632</t>
  </si>
  <si>
    <t>0.9155630461523715</t>
  </si>
  <si>
    <t>0.994344702409187</t>
  </si>
  <si>
    <t>882.185697555542</t>
  </si>
  <si>
    <t>0.8984869269670973</t>
  </si>
  <si>
    <t>0.9465294853543851</t>
  </si>
  <si>
    <t>0.9566263134183028</t>
  </si>
  <si>
    <t>0.9902245767642416</t>
  </si>
  <si>
    <t>674.4754314422607</t>
  </si>
  <si>
    <t>0.8978373944163489</t>
  </si>
  <si>
    <t>0.9461689363460616</t>
  </si>
  <si>
    <t>0.957921768151347</t>
  </si>
  <si>
    <t>0.9926339425134156</t>
  </si>
  <si>
    <t>862.5624179840088</t>
  </si>
  <si>
    <t>0.9083944009537387</t>
  </si>
  <si>
    <t>0.9519986020706828</t>
  </si>
  <si>
    <t>0.9771761160834395</t>
  </si>
  <si>
    <t>0.9909900007470093</t>
  </si>
  <si>
    <t>668.8926219940186</t>
  </si>
  <si>
    <t>0.9285089764513873</t>
  </si>
  <si>
    <t>0.9629293799398528</t>
  </si>
  <si>
    <t>0.9830597383362133</t>
  </si>
  <si>
    <t>0.9917122262074729</t>
  </si>
  <si>
    <t>855.5717468261719</t>
  </si>
  <si>
    <t>0.9262254809327639</t>
  </si>
  <si>
    <t>0.9616999568339677</t>
  </si>
  <si>
    <t>0.9880460418892495</t>
  </si>
  <si>
    <t>0.9930247892795372</t>
  </si>
  <si>
    <t>782.2222709655762</t>
  </si>
  <si>
    <t>0.9297380318861271</t>
  </si>
  <si>
    <t>0.9635898930565209</t>
  </si>
  <si>
    <t>0.9736679151815381</t>
  </si>
  <si>
    <t>0.9931703472786175</t>
  </si>
  <si>
    <t>703.331470489502</t>
  </si>
  <si>
    <t>0.9033061291233704</t>
  </si>
  <si>
    <t>0.9491968898764777</t>
  </si>
  <si>
    <t>0.9439365577450348</t>
  </si>
  <si>
    <t>0.9937042645970067</t>
  </si>
  <si>
    <t>716.4568901062012</t>
  </si>
  <si>
    <t>0.92374510501958</t>
  </si>
  <si>
    <t>0.9603612272845035</t>
  </si>
  <si>
    <t>0.9880352005415468</t>
  </si>
  <si>
    <t>0.9911596782445324</t>
  </si>
  <si>
    <t>724.4651317596436</t>
  </si>
  <si>
    <t>0.906711665301023</t>
  </si>
  <si>
    <t>0.9510737064252193</t>
  </si>
  <si>
    <t>0.9706876036790314</t>
  </si>
  <si>
    <t>0.9912966809757916</t>
  </si>
  <si>
    <t>834.5048427581787</t>
  </si>
  <si>
    <t>0.8654564513847869</t>
  </si>
  <si>
    <t>0.9278763390507792</t>
  </si>
  <si>
    <t>0.910999211839916</t>
  </si>
  <si>
    <t>0.9935690389196756</t>
  </si>
  <si>
    <t>693.2675838470459</t>
  </si>
  <si>
    <t>0.8901768221203898</t>
  </si>
  <si>
    <t>0.9418979343126157</t>
  </si>
  <si>
    <t>0.9456011564217107</t>
  </si>
  <si>
    <t>0.99234261394244</t>
  </si>
  <si>
    <t>836.7571830749512</t>
  </si>
  <si>
    <t>0.9265750008658609</t>
  </si>
  <si>
    <t>0.9618883256031352</t>
  </si>
  <si>
    <t>0.9818425374572213</t>
  </si>
  <si>
    <t>0.9930809878829483</t>
  </si>
  <si>
    <t>663.0771160125732</t>
  </si>
  <si>
    <t>0.9085445725554548</t>
  </si>
  <si>
    <t>0.9520810628372747</t>
  </si>
  <si>
    <t>0.9540490496164457</t>
  </si>
  <si>
    <t>0.9927673446758074</t>
  </si>
  <si>
    <t>925.8501529693604</t>
  </si>
  <si>
    <t>0.9141495267054666</t>
  </si>
  <si>
    <t>0.9551495470459433</t>
  </si>
  <si>
    <t>0.9696177253708634</t>
  </si>
  <si>
    <t>0.9916986851463165</t>
  </si>
  <si>
    <t>745.9676265716553</t>
  </si>
  <si>
    <t>0.9173422108304453</t>
  </si>
  <si>
    <t>0.9568893916262587</t>
  </si>
  <si>
    <t>0.9648805155856172</t>
  </si>
  <si>
    <t>0.9929625521553199</t>
  </si>
  <si>
    <t>778.7134647369385</t>
  </si>
  <si>
    <t>0.9071982058877676</t>
  </si>
  <si>
    <t>0.9513412954008968</t>
  </si>
  <si>
    <t>0.9609629839739044</t>
  </si>
  <si>
    <t>0.9928550055569805</t>
  </si>
  <si>
    <t>732.1979999542236</t>
  </si>
  <si>
    <t>0.9212910409451438</t>
  </si>
  <si>
    <t>0.9590332972061657</t>
  </si>
  <si>
    <t>0.9940559914034107</t>
  </si>
  <si>
    <t>799.6256351470947</t>
  </si>
  <si>
    <t>0.8889670390290995</t>
  </si>
  <si>
    <t>0.9412202761208741</t>
  </si>
  <si>
    <t>0.9242162464423718</t>
  </si>
  <si>
    <t>0.9939158738382575</t>
  </si>
  <si>
    <t>799.4096279144287</t>
  </si>
  <si>
    <t>0.9213867091791732</t>
  </si>
  <si>
    <t>0.9590851282330298</t>
  </si>
  <si>
    <t>0.9745009017973755</t>
  </si>
  <si>
    <t>0.9907707456312613</t>
  </si>
  <si>
    <t>749.0730285644531</t>
  </si>
  <si>
    <t>0.8935422501717487</t>
  </si>
  <si>
    <t>0.943778518900967</t>
  </si>
  <si>
    <t>0.9522249650369341</t>
  </si>
  <si>
    <t>0.9925724628065836</t>
  </si>
  <si>
    <t>726.5121936798096</t>
  </si>
  <si>
    <t>0.8857799294330024</t>
  </si>
  <si>
    <t>0.9394308589330781</t>
  </si>
  <si>
    <t>0.9614999220646195</t>
  </si>
  <si>
    <t>0.9919917226244788</t>
  </si>
  <si>
    <t>890.1758193969727</t>
  </si>
  <si>
    <t>0.9166099129776769</t>
  </si>
  <si>
    <t>0.9564908401768794</t>
  </si>
  <si>
    <t>0.9708418825339831</t>
  </si>
  <si>
    <t>0.9920091620769683</t>
  </si>
  <si>
    <t>859.1139316558838</t>
  </si>
  <si>
    <t>0.904577659770833</t>
  </si>
  <si>
    <t>0.949898425123474</t>
  </si>
  <si>
    <t>0.9551427650467388</t>
  </si>
  <si>
    <t>0.9918518316169038</t>
  </si>
  <si>
    <t>665.3809547424316</t>
  </si>
  <si>
    <t>0.8995633811875174</t>
  </si>
  <si>
    <t>0.9471264713738089</t>
  </si>
  <si>
    <t>0.9500750949063766</t>
  </si>
  <si>
    <t>0.991878411967553</t>
  </si>
  <si>
    <t>787.5361442565918</t>
  </si>
  <si>
    <t>0.9114144866941635</t>
  </si>
  <si>
    <t>0.9536544721605373</t>
  </si>
  <si>
    <t>0.9639586476836428</t>
  </si>
  <si>
    <t>0.9915622792997063</t>
  </si>
  <si>
    <t>753.9236545562744</t>
  </si>
  <si>
    <t>0.9372457568829876</t>
  </si>
  <si>
    <t>0.9676064624769222</t>
  </si>
  <si>
    <t>0.9933696210616938</t>
  </si>
  <si>
    <t>0.9904647877047169</t>
  </si>
  <si>
    <t>833.3132266998291</t>
  </si>
  <si>
    <t>0.9243534122069595</t>
  </si>
  <si>
    <t>0.9606898674052369</t>
  </si>
  <si>
    <t>0.9736917047504102</t>
  </si>
  <si>
    <t>0.9912639524844244</t>
  </si>
  <si>
    <t>726.5164852142334</t>
  </si>
  <si>
    <t>0.8953378427522002</t>
  </si>
  <si>
    <t>0.9447791549944357</t>
  </si>
  <si>
    <t>0.9563475963986983</t>
  </si>
  <si>
    <t>0.9915366628463359</t>
  </si>
  <si>
    <t>813.5244846343994</t>
  </si>
  <si>
    <t>0.9126948231425843</t>
  </si>
  <si>
    <t>0.954354884113728</t>
  </si>
  <si>
    <t>0.9640633649551456</t>
  </si>
  <si>
    <t>0.9919036113035273</t>
  </si>
  <si>
    <t>749.6185302734375</t>
  </si>
  <si>
    <t>0.889811825840485</t>
  </si>
  <si>
    <t>0.9416935735860847</t>
  </si>
  <si>
    <t>0.9575108023383886</t>
  </si>
  <si>
    <t>0.9924708012979064</t>
  </si>
  <si>
    <t>845.6966876983643</t>
  </si>
  <si>
    <t>0.9285708733335925</t>
  </si>
  <si>
    <t>0.9629626643987731</t>
  </si>
  <si>
    <t>0.9855861653589433</t>
  </si>
  <si>
    <t>0.9919751815073331</t>
  </si>
  <si>
    <t>664.0708446502686</t>
  </si>
  <si>
    <t>0.9105277726517808</t>
  </si>
  <si>
    <t>0.9531688423330098</t>
  </si>
  <si>
    <t>0.9686009304882118</t>
  </si>
  <si>
    <t>0.9931361136755911</t>
  </si>
  <si>
    <t>662.750244140625</t>
  </si>
  <si>
    <t>0.8887877453869858</t>
  </si>
  <si>
    <t>0.9411197711947097</t>
  </si>
  <si>
    <t>0.9308857317015989</t>
  </si>
  <si>
    <t>0.9934163503922382</t>
  </si>
  <si>
    <t>790.5318737030029</t>
  </si>
  <si>
    <t>0.9241766891830048</t>
  </si>
  <si>
    <t>0.9605944135778979</t>
  </si>
  <si>
    <t>0.9761497336543017</t>
  </si>
  <si>
    <t>0.9938453497316267</t>
  </si>
  <si>
    <t>775.8862972259521</t>
  </si>
  <si>
    <t>0.9295128811644774</t>
  </si>
  <si>
    <t>0.963468956582978</t>
  </si>
  <si>
    <t>0.9761228037207554</t>
  </si>
  <si>
    <t>0.9902776765707831</t>
  </si>
  <si>
    <t>797.3942756652832</t>
  </si>
  <si>
    <t>0.9081136859081683</t>
  </si>
  <si>
    <t>0.9518444237518803</t>
  </si>
  <si>
    <t>0.972199258159152</t>
  </si>
  <si>
    <t>0.9894219581549948</t>
  </si>
  <si>
    <t>709.5341682434082</t>
  </si>
  <si>
    <t>0.8879558565337347</t>
  </si>
  <si>
    <t>0.9406531974365242</t>
  </si>
  <si>
    <t>0.9618862347034147</t>
  </si>
  <si>
    <t>0.9919911098287408</t>
  </si>
  <si>
    <t>865.1208877563477</t>
  </si>
  <si>
    <t>0.841372827922375</t>
  </si>
  <si>
    <t>0.9138538542156048</t>
  </si>
  <si>
    <t>0.9332207737090241</t>
  </si>
  <si>
    <t>0.9874152962861722</t>
  </si>
  <si>
    <t>878.8774013519287</t>
  </si>
  <si>
    <t>0.9212785447352848</t>
  </si>
  <si>
    <t>0.959026526642673</t>
  </si>
  <si>
    <t>0.9821286598223237</t>
  </si>
  <si>
    <t>0.9918069163647278</t>
  </si>
  <si>
    <t>697.3545551300049</t>
  </si>
  <si>
    <t>0.904611643727552</t>
  </si>
  <si>
    <t>0.9499171620699737</t>
  </si>
  <si>
    <t>0.9767709867821103</t>
  </si>
  <si>
    <t>0.9916103403609029</t>
  </si>
  <si>
    <t>716.8228626251221</t>
  </si>
  <si>
    <t>0.878530059966173</t>
  </si>
  <si>
    <t>0.9353377714722253</t>
  </si>
  <si>
    <t>0.9573196613274356</t>
  </si>
  <si>
    <t>0.9916281737135707</t>
  </si>
  <si>
    <t>659.6572399139404</t>
  </si>
  <si>
    <t>0.9176342278066847</t>
  </si>
  <si>
    <t>0.9570482363117172</t>
  </si>
  <si>
    <t>0.9673911307708277</t>
  </si>
  <si>
    <t>0.9926451316641649</t>
  </si>
  <si>
    <t>807.3899745941162</t>
  </si>
  <si>
    <t>0.9282679818350505</t>
  </si>
  <si>
    <t>0.9627997670237282</t>
  </si>
  <si>
    <t>0.976015842746076</t>
  </si>
  <si>
    <t>0.9923122963794456</t>
  </si>
  <si>
    <t>658.411979675293</t>
  </si>
  <si>
    <t>0.8956265780910331</t>
  </si>
  <si>
    <t>0.944939882614394</t>
  </si>
  <si>
    <t>0.9384359636402221</t>
  </si>
  <si>
    <t>0.992551898070019</t>
  </si>
  <si>
    <t>780.2510261535645</t>
  </si>
  <si>
    <t>0.9153661934352841</t>
  </si>
  <si>
    <t>0.9558132503044121</t>
  </si>
  <si>
    <t>0.9709608328213983</t>
  </si>
  <si>
    <t>0.9921173816260432</t>
  </si>
  <si>
    <t>694.6520805358887</t>
  </si>
  <si>
    <t>0.9041040613354222</t>
  </si>
  <si>
    <t>0.9496372385250194</t>
  </si>
  <si>
    <t>0.9732968773956151</t>
  </si>
  <si>
    <t>0.9903508903813895</t>
  </si>
  <si>
    <t>801.173210144043</t>
  </si>
  <si>
    <t>0.9243393311590904</t>
  </si>
  <si>
    <t>0.9606822624181689</t>
  </si>
  <si>
    <t>0.9804084540489195</t>
  </si>
  <si>
    <t>0.9916909371252356</t>
  </si>
  <si>
    <t>627.3086071014404</t>
  </si>
  <si>
    <t>0.931381151380854</t>
  </si>
  <si>
    <t>0.9644716173345242</t>
  </si>
  <si>
    <t>0.9792966489968883</t>
  </si>
  <si>
    <t>0.9928530619958856</t>
  </si>
  <si>
    <t>779.6988487243652</t>
  </si>
  <si>
    <t>0.9059813964441304</t>
  </si>
  <si>
    <t>0.9506718146718147</t>
  </si>
  <si>
    <t>0.9738537964203221</t>
  </si>
  <si>
    <t>0.9925526572114876</t>
  </si>
  <si>
    <t>20434.298276901245</t>
  </si>
  <si>
    <t>0.9141712987866834</t>
  </si>
  <si>
    <t>0.9551614313370387</t>
  </si>
  <si>
    <t>0.9696335742360846</t>
  </si>
  <si>
    <t>0.991699769293483</t>
  </si>
  <si>
    <t>16779.866456985474</t>
  </si>
  <si>
    <t>16140.357494354248</t>
  </si>
  <si>
    <t>0.9243999304826946</t>
  </si>
  <si>
    <t>0.9607149905174115</t>
  </si>
  <si>
    <t>0.9737595096350741</t>
  </si>
  <si>
    <t>0.9912606231980238</t>
  </si>
  <si>
    <t>14706.111669540405</t>
  </si>
  <si>
    <t>0.9266176585188456</t>
  </si>
  <si>
    <t>0.9619113106553951</t>
  </si>
  <si>
    <t>0.9818792377352259</t>
  </si>
  <si>
    <t>0.9930820521826126</t>
  </si>
  <si>
    <t>14529.869318008423</t>
  </si>
  <si>
    <t>0.9032591326322048</t>
  </si>
  <si>
    <t>0.9491709427743543</t>
  </si>
  <si>
    <t>0.9936966544868666</t>
  </si>
  <si>
    <t>14090.758562088013</t>
  </si>
  <si>
    <t>0.9285175713386243</t>
  </si>
  <si>
    <t>0.9629340018863514</t>
  </si>
  <si>
    <t>0.9855449122546471</t>
  </si>
  <si>
    <t>0.9919730248777999</t>
  </si>
  <si>
    <t>13975.785493850708</t>
  </si>
  <si>
    <t>0.895300820235161</t>
  </si>
  <si>
    <t>0.9447585424714541</t>
  </si>
  <si>
    <t>0.9563389643236337</t>
  </si>
  <si>
    <t>0.9915323743552522</t>
  </si>
  <si>
    <t>13743.598699569702</t>
  </si>
  <si>
    <t>0.8887836033038119</t>
  </si>
  <si>
    <t>0.9411174490811699</t>
  </si>
  <si>
    <t>0.930909176161673</t>
  </si>
  <si>
    <t>0.9934120054659173</t>
  </si>
  <si>
    <t>14152.866125106812</t>
  </si>
  <si>
    <t>0.9113273536199472</t>
  </si>
  <si>
    <t>0.9536067716437419</t>
  </si>
  <si>
    <t>0.961654978492644</t>
  </si>
  <si>
    <t>0.9928972900131527</t>
  </si>
  <si>
    <t>15656.735897064209</t>
  </si>
  <si>
    <t>0.9242490951830156</t>
  </si>
  <si>
    <t>0.960633524523092</t>
  </si>
  <si>
    <t>0.9804005382727776</t>
  </si>
  <si>
    <t>0.9916779254125255</t>
  </si>
  <si>
    <t>14982.020139694214</t>
  </si>
  <si>
    <t>0.8475373455665596</t>
  </si>
  <si>
    <t>0.9174779038706323</t>
  </si>
  <si>
    <t>0.9678035496468319</t>
  </si>
  <si>
    <t>0.9840828409270497</t>
  </si>
  <si>
    <t>14487.788438796997</t>
  </si>
  <si>
    <t>0.9331517271169201</t>
  </si>
  <si>
    <t>0.9654200588886126</t>
  </si>
  <si>
    <t>0.9842593749311072</t>
  </si>
  <si>
    <t>0.9918322840125151</t>
  </si>
  <si>
    <t>14161.67950630188</t>
  </si>
  <si>
    <t>0.9313365357445607</t>
  </si>
  <si>
    <t>0.9644476956839795</t>
  </si>
  <si>
    <t>0.979249738080718</t>
  </si>
  <si>
    <t>13141.16621017456</t>
  </si>
  <si>
    <t>0.9290884857578394</t>
  </si>
  <si>
    <t>0.9632409219350542</t>
  </si>
  <si>
    <t>0.991394759758744</t>
  </si>
  <si>
    <t>13398.19622039795</t>
  </si>
  <si>
    <t>0.8934802328551172</t>
  </si>
  <si>
    <t>0.943743924390346</t>
  </si>
  <si>
    <t>0.9522343510948836</t>
  </si>
  <si>
    <t>0.992562909021427</t>
  </si>
  <si>
    <t>13103.493690490723</t>
  </si>
  <si>
    <t>0.9105722563619922</t>
  </si>
  <si>
    <t>0.9531932156241548</t>
  </si>
  <si>
    <t>0.9686303763177009</t>
  </si>
  <si>
    <t>0.9931382262906494</t>
  </si>
  <si>
    <t>14457.317590713501</t>
  </si>
  <si>
    <t>0.9213832909093856</t>
  </si>
  <si>
    <t>0.959083276375634</t>
  </si>
  <si>
    <t>0.9822323619896989</t>
  </si>
  <si>
    <t>0.9918079883369423</t>
  </si>
  <si>
    <t>13950.711727142334</t>
  </si>
  <si>
    <t>0.9024858963167564</t>
  </si>
  <si>
    <t>0.9487438493646484</t>
  </si>
  <si>
    <t>0.9436289701865639</t>
  </si>
  <si>
    <t>14628.345727920532</t>
  </si>
  <si>
    <t>0.8738321690093427</t>
  </si>
  <si>
    <t>0.9326685532048691</t>
  </si>
  <si>
    <t>0.909067028588941</t>
  </si>
  <si>
    <t>13568.099975585938</t>
  </si>
  <si>
    <t>0.9262356264822321</t>
  </si>
  <si>
    <t>0.9617054255960994</t>
  </si>
  <si>
    <t>0.9880662003346302</t>
  </si>
  <si>
    <t>0.9930237359405579</t>
  </si>
  <si>
    <t>13782.023906707764</t>
  </si>
  <si>
    <t>0.9208825539392756</t>
  </si>
  <si>
    <t>0.9588119294964321</t>
  </si>
  <si>
    <t>0.9619408921250688</t>
  </si>
  <si>
    <t>0.9927253688064968</t>
  </si>
  <si>
    <t>12912.825345993042</t>
  </si>
  <si>
    <t>0.8654825291181364</t>
  </si>
  <si>
    <t>0.9278913263554103</t>
  </si>
  <si>
    <t>0.9110342411769857</t>
  </si>
  <si>
    <t>0.9935679686981611</t>
  </si>
  <si>
    <t>13307.420253753662</t>
  </si>
  <si>
    <t>0.8840801072429622</t>
  </si>
  <si>
    <t>0.9384740105734318</t>
  </si>
  <si>
    <t>0.9414864163350061</t>
  </si>
  <si>
    <t>0.9919560212476796</t>
  </si>
  <si>
    <t>14283.67829322815</t>
  </si>
  <si>
    <t>13933.67075920105</t>
  </si>
  <si>
    <t>0.9100163366289885</t>
  </si>
  <si>
    <t>0.9528885373149086</t>
  </si>
  <si>
    <t>0.9789019249327036</t>
  </si>
  <si>
    <t>14165.967226028442</t>
  </si>
  <si>
    <t>0.9241858421659619</t>
  </si>
  <si>
    <t>0.9605993578308955</t>
  </si>
  <si>
    <t>0.9761594013747499</t>
  </si>
  <si>
    <t>13809.822082519531</t>
  </si>
  <si>
    <t>0.9084857251836979</t>
  </si>
  <si>
    <t>0.9520487506881962</t>
  </si>
  <si>
    <t>0.9927575221470738</t>
  </si>
  <si>
    <t>13389.944314956665</t>
  </si>
  <si>
    <t>0.9043013645973477</t>
  </si>
  <si>
    <t>0.9497460658371754</t>
  </si>
  <si>
    <t>0.9912519547121919</t>
  </si>
  <si>
    <t>13220.377445220947</t>
  </si>
  <si>
    <t>0.911104307823691</t>
  </si>
  <si>
    <t>0.953484646645195</t>
  </si>
  <si>
    <t>0.9585925712445115</t>
  </si>
  <si>
    <t>0.9933924491888046</t>
  </si>
  <si>
    <t>12450.307130813599</t>
  </si>
  <si>
    <t>0.9046328606429579</t>
  </si>
  <si>
    <t>0.9499288596097998</t>
  </si>
  <si>
    <t>0.9768210925051859</t>
  </si>
  <si>
    <t>0.9916071784288781</t>
  </si>
  <si>
    <t>12268.367290496826</t>
  </si>
  <si>
    <t>0.917334000667334</t>
  </si>
  <si>
    <t>0.956884924951055</t>
  </si>
  <si>
    <t>0.9648645630603324</t>
  </si>
  <si>
    <t>0.9929636353395349</t>
  </si>
  <si>
    <t>12899.945974349976</t>
  </si>
  <si>
    <t>0.8985094795462921</t>
  </si>
  <si>
    <t>0.9465419996333323</t>
  </si>
  <si>
    <t>0.9566699123661149</t>
  </si>
  <si>
    <t>0.9902212835278904</t>
  </si>
  <si>
    <t>13011.544227600098</t>
  </si>
  <si>
    <t>0.906756767719378</t>
  </si>
  <si>
    <t>0.951098517724341</t>
  </si>
  <si>
    <t>0.9707831403781516</t>
  </si>
  <si>
    <t>0.9912902531183143</t>
  </si>
  <si>
    <t>13217.429399490356</t>
  </si>
  <si>
    <t>0.9060019427573418</t>
  </si>
  <si>
    <t>0.9506831262161912</t>
  </si>
  <si>
    <t>0.973885437650955</t>
  </si>
  <si>
    <t>0.9925516087329871</t>
  </si>
  <si>
    <t>15242.573499679565</t>
  </si>
  <si>
    <t>0.9372854709812656</t>
  </si>
  <si>
    <t>0.9676276264091483</t>
  </si>
  <si>
    <t>0.9934182206978908</t>
  </si>
  <si>
    <t>0.9904636821728565</t>
  </si>
  <si>
    <t>14115.887641906738</t>
  </si>
  <si>
    <t>0.9137062277967085</t>
  </si>
  <si>
    <t>0.954907513520169</t>
  </si>
  <si>
    <t>0.9682599133750132</t>
  </si>
  <si>
    <t>0.9934173258693694</t>
  </si>
  <si>
    <t>14563.961744308472</t>
  </si>
  <si>
    <t>0.9260244157884402</t>
  </si>
  <si>
    <t>0.9615915646732458</t>
  </si>
  <si>
    <t>0.9829508937101565</t>
  </si>
  <si>
    <t>0.9924172789194354</t>
  </si>
  <si>
    <t>13249.115228652954</t>
  </si>
  <si>
    <t>0.9307639564364645</t>
  </si>
  <si>
    <t>0.9641405966106175</t>
  </si>
  <si>
    <t>0.9907495417204155</t>
  </si>
  <si>
    <t>0.9918409358534678</t>
  </si>
  <si>
    <t>14022.744178771973</t>
  </si>
  <si>
    <t>0.9295244592569396</t>
  </si>
  <si>
    <t>0.9634751762772675</t>
  </si>
  <si>
    <t>0.9761404209339472</t>
  </si>
  <si>
    <t>0.9902765379920937</t>
  </si>
  <si>
    <t>13287.90831565857</t>
  </si>
  <si>
    <t>0.9057923362514214</t>
  </si>
  <si>
    <t>0.9505677182363533</t>
  </si>
  <si>
    <t>0.9503456900145175</t>
  </si>
  <si>
    <t>13771.17395401001</t>
  </si>
  <si>
    <t>0.8776262440103206</t>
  </si>
  <si>
    <t>0.9348252846486063</t>
  </si>
  <si>
    <t>0.9427836072064938</t>
  </si>
  <si>
    <t>0.989835205643277</t>
  </si>
  <si>
    <t>13107.69248008728</t>
  </si>
  <si>
    <t>0.9213199621132697</t>
  </si>
  <si>
    <t>0.9590489666280313</t>
  </si>
  <si>
    <t>0.9590634031791907</t>
  </si>
  <si>
    <t>13039.917469024658</t>
  </si>
  <si>
    <t>0.907197429310215</t>
  </si>
  <si>
    <t>0.9513408684053495</t>
  </si>
  <si>
    <t>0.9609541199829812</t>
  </si>
  <si>
    <t>0.9928560742070617</t>
  </si>
  <si>
    <t>12965.692281723022</t>
  </si>
  <si>
    <t>0.9222256399283173</t>
  </si>
  <si>
    <t>0.9595394221905276</t>
  </si>
  <si>
    <t>0.9664414951018178</t>
  </si>
  <si>
    <t>0.9924470398622319</t>
  </si>
  <si>
    <t>13451.950550079346</t>
  </si>
  <si>
    <t>0.9214047696831101</t>
  </si>
  <si>
    <t>0.9590949124531151</t>
  </si>
  <si>
    <t>0.9907740647109912</t>
  </si>
  <si>
    <t>13573.373079299927</t>
  </si>
  <si>
    <t>0.8857720158362222</t>
  </si>
  <si>
    <t>0.9394264082802583</t>
  </si>
  <si>
    <t>0.9615110556903962</t>
  </si>
  <si>
    <t>0.9919896365923413</t>
  </si>
  <si>
    <t>14527.995347976685</t>
  </si>
  <si>
    <t>0.8956521739130435</t>
  </si>
  <si>
    <t>0.944954128440367</t>
  </si>
  <si>
    <t>0.9384501114137163</t>
  </si>
  <si>
    <t>0.9925541026288262</t>
  </si>
  <si>
    <t>14213.711738586426</t>
  </si>
  <si>
    <t>0.9090846932263652</t>
  </si>
  <si>
    <t>0.9523775413965594</t>
  </si>
  <si>
    <t>0.9599143255948275</t>
  </si>
  <si>
    <t>0.992456040471124</t>
  </si>
  <si>
    <t>13972.716569900513</t>
  </si>
  <si>
    <t>0.8902206081274953</t>
  </si>
  <si>
    <t>0.9419224447133421</t>
  </si>
  <si>
    <t>0.9923490397209499</t>
  </si>
  <si>
    <t>13101.060152053833</t>
  </si>
  <si>
    <t>0.9153740197536275</t>
  </si>
  <si>
    <t>0.9558175169060412</t>
  </si>
  <si>
    <t>0.9709691344701058</t>
  </si>
  <si>
    <t>13549.591541290283</t>
  </si>
  <si>
    <t>0.8889762313564056</t>
  </si>
  <si>
    <t>0.9412254284619176</t>
  </si>
  <si>
    <t>0.9242449225386948</t>
  </si>
  <si>
    <t>0.9939125738240674</t>
  </si>
  <si>
    <t>12969.350814819336</t>
  </si>
  <si>
    <t>0.8978968150224923</t>
  </si>
  <si>
    <t>0.9462019303845569</t>
  </si>
  <si>
    <t>0.9579506217960432</t>
  </si>
  <si>
    <t>0.9926381770966215</t>
  </si>
  <si>
    <t>13452.879905700684</t>
  </si>
  <si>
    <t>0.9176720971272333</t>
  </si>
  <si>
    <t>0.9570688320510593</t>
  </si>
  <si>
    <t>0.9674310534804619</t>
  </si>
  <si>
    <t>14214.86496925354</t>
  </si>
  <si>
    <t>0.9110735643938552</t>
  </si>
  <si>
    <t>0.9534678113585072</t>
  </si>
  <si>
    <t>0.9686118792691862</t>
  </si>
  <si>
    <t>0.9913025457630833</t>
  </si>
  <si>
    <t>13501.672744750977</t>
  </si>
  <si>
    <t>13228.334665298462</t>
  </si>
  <si>
    <t>0.9114202980436471</t>
  </si>
  <si>
    <t>0.9536576533967883</t>
  </si>
  <si>
    <t>0.9639511779733182</t>
  </si>
  <si>
    <t>0.9915644658041636</t>
  </si>
  <si>
    <t>12331.950902938843</t>
  </si>
  <si>
    <t>0.9282550312162116</t>
  </si>
  <si>
    <t>0.9627928009405806</t>
  </si>
  <si>
    <t>0.9923101039643251</t>
  </si>
  <si>
    <t>12567.726850509644</t>
  </si>
  <si>
    <t>0.9285235486127302</t>
  </si>
  <si>
    <t>0.9629372161731259</t>
  </si>
  <si>
    <t>0.9830751666255245</t>
  </si>
  <si>
    <t>12281.369686126709</t>
  </si>
  <si>
    <t>0.8901956538855208</t>
  </si>
  <si>
    <t>0.9419084760412165</t>
  </si>
  <si>
    <t>0.9579238329238329</t>
  </si>
  <si>
    <t>12532.134532928467</t>
  </si>
  <si>
    <t>0.9084118382659442</t>
  </si>
  <si>
    <t>0.9520081777436068</t>
  </si>
  <si>
    <t>0.9772030204652664</t>
  </si>
  <si>
    <t>0.9909889335908737</t>
  </si>
  <si>
    <t>13324.779987335205</t>
  </si>
  <si>
    <t>0.9081478545509215</t>
  </si>
  <si>
    <t>0.9518631927656908</t>
  </si>
  <si>
    <t>0.9722358380826267</t>
  </si>
  <si>
    <t>12832.731485366821</t>
  </si>
  <si>
    <t>0.8916177544561954</t>
  </si>
  <si>
    <t>0.9427039393722743</t>
  </si>
  <si>
    <t>0.9442431360192493</t>
  </si>
  <si>
    <t>0.9909322349037444</t>
  </si>
  <si>
    <t>13177.81949043274</t>
  </si>
  <si>
    <t>0.8937492880274699</t>
  </si>
  <si>
    <t>0.9438939923862885</t>
  </si>
  <si>
    <t>0.9612405814350349</t>
  </si>
  <si>
    <t>0.9907642776945907</t>
  </si>
  <si>
    <t>13886.340141296387</t>
  </si>
  <si>
    <t>0.8880060195635816</t>
  </si>
  <si>
    <t>0.9406813435572065</t>
  </si>
  <si>
    <t>0.9619405742604387</t>
  </si>
  <si>
    <t>13474.526166915894</t>
  </si>
  <si>
    <t>0.8785903192078234</t>
  </si>
  <si>
    <t>0.9353719224724987</t>
  </si>
  <si>
    <t>0.9573755110247303</t>
  </si>
  <si>
    <t>0.9916292164120745</t>
  </si>
  <si>
    <t>13129.170179367065</t>
  </si>
  <si>
    <t>0.8414779201982981</t>
  </si>
  <si>
    <t>0.9139158400635987</t>
  </si>
  <si>
    <t>0.9333683928884461</t>
  </si>
  <si>
    <t>0.9874110418224421</t>
  </si>
  <si>
    <t>13375.35572052002</t>
  </si>
  <si>
    <t>0.9297529600092298</t>
  </si>
  <si>
    <t>0.963597910485685</t>
  </si>
  <si>
    <t>0.9736905696852535</t>
  </si>
  <si>
    <t>0.9931692557566867</t>
  </si>
  <si>
    <t>13655.90214729309</t>
  </si>
  <si>
    <t>0.9166168491626876</t>
  </si>
  <si>
    <t>0.956494616608562</t>
  </si>
  <si>
    <t>0.9920102445529807</t>
  </si>
  <si>
    <t>14281.755924224854</t>
  </si>
  <si>
    <t>0.8429380654972959</t>
  </si>
  <si>
    <t>0.9147763359804917</t>
  </si>
  <si>
    <t>0.8869829454019114</t>
  </si>
  <si>
    <t>13207.47971534729</t>
  </si>
  <si>
    <t>0.9008540802873684</t>
  </si>
  <si>
    <t>0.9478413831230839</t>
  </si>
  <si>
    <t>0.9601172960809669</t>
  </si>
  <si>
    <t>13161.073684692383</t>
  </si>
  <si>
    <t>0.8995812311518288</t>
  </si>
  <si>
    <t>0.9471363650043639</t>
  </si>
  <si>
    <t>0.9500600004528336</t>
  </si>
  <si>
    <t>0.9918838700240263</t>
  </si>
  <si>
    <t>14102.57363319397</t>
  </si>
  <si>
    <t>0.9118256045630347</t>
  </si>
  <si>
    <t>0.9538794776958129</t>
  </si>
  <si>
    <t>0.991435930100529</t>
  </si>
  <si>
    <t>12331.465721130371</t>
  </si>
  <si>
    <t>0.8789268270240843</t>
  </si>
  <si>
    <t>0.9355625928404695</t>
  </si>
  <si>
    <t>0.9155949965653306</t>
  </si>
  <si>
    <t>0.9943436194337771</t>
  </si>
  <si>
    <t>12868.880033493042</t>
  </si>
  <si>
    <t>0.9046408769177251</t>
  </si>
  <si>
    <t>0.9499332791614793</t>
  </si>
  <si>
    <t>0.9552027346121843</t>
  </si>
  <si>
    <t>0.9918529243040949</t>
  </si>
  <si>
    <t>12253.408670425415</t>
  </si>
  <si>
    <t>0.9085008417679155</t>
  </si>
  <si>
    <t>0.9520570511526076</t>
  </si>
  <si>
    <t>0.9558462621908278</t>
  </si>
  <si>
    <t>0.9919317091758911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</si>
</sst>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6A8759"/>
      <name val="JetBrains Mono"/>
      <family val="3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2" fillId="0" borderId="0" xfId="0" applyFont="1" applyAlignment="1">
      <alignment vertical="center"/>
    </xf>
    <xf numFmtId="0" fontId="1" fillId="4" borderId="0" xfId="0" applyFont="1" applyFill="1"/>
    <xf numFmtId="0" fontId="0" fillId="5" borderId="0" xfId="0" applyFill="1"/>
    <xf numFmtId="0" fontId="0" fillId="4" borderId="0" xfId="0" applyFill="1"/>
    <xf numFmtId="0" fontId="0" fillId="0" borderId="1" xfId="0" applyBorder="1"/>
    <xf numFmtId="0" fontId="1" fillId="0" borderId="0" xfId="0" applyFont="1"/>
    <xf numFmtId="0" fontId="0" fillId="0" borderId="0" xfId="0" applyNumberFormat="1"/>
    <xf numFmtId="0" fontId="3" fillId="6" borderId="2" xfId="0" applyNumberFormat="1" applyFont="1" applyFill="1" applyBorder="1"/>
    <xf numFmtId="0" fontId="3" fillId="6" borderId="3" xfId="0" applyNumberFormat="1" applyFont="1" applyFill="1" applyBorder="1"/>
    <xf numFmtId="0" fontId="3" fillId="0" borderId="2" xfId="0" applyNumberFormat="1" applyFont="1" applyBorder="1"/>
    <xf numFmtId="0" fontId="3" fillId="0" borderId="3" xfId="0" applyNumberFormat="1" applyFont="1" applyBorder="1"/>
  </cellXfs>
  <cellStyles count="1">
    <cellStyle name="Normale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0</xdr:row>
      <xdr:rowOff>11430</xdr:rowOff>
    </xdr:from>
    <xdr:to>
      <xdr:col>8</xdr:col>
      <xdr:colOff>287655</xdr:colOff>
      <xdr:row>2</xdr:row>
      <xdr:rowOff>165383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1F09D6-F53A-49C2-A49A-7E872CD46044}"/>
            </a:ext>
          </a:extLst>
        </xdr:cNvPr>
        <xdr:cNvSpPr>
          <a:spLocks noChangeArrowheads="1"/>
        </xdr:cNvSpPr>
      </xdr:nvSpPr>
      <xdr:spPr bwMode="auto">
        <a:xfrm>
          <a:off x="3190875" y="15240"/>
          <a:ext cx="1969770" cy="515903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it-IT" altLang="it-IT" sz="1200" b="0" i="0" u="none" strike="noStrike" cap="none" normalizeH="0" baseline="0">
              <a:ln>
                <a:noFill/>
              </a:ln>
              <a:solidFill>
                <a:srgbClr val="6A8759"/>
              </a:solidFill>
              <a:effectLst/>
              <a:latin typeface="JetBrains Mono"/>
            </a:rPr>
            <a:t>decoupledVitBDGfFe</a:t>
          </a:r>
          <a:endParaRPr kumimoji="0" lang="it-IT" altLang="it-IT" sz="18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ABAE6E6-846C-4D53-A20F-A7244D2A7B0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F5B478E3-8D73-4ED9-84A3-AD2A822D53F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5B428D29-60B1-47BF-832E-CB1EB2165D8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98D266CB-64E4-4FF9-90FA-73EC736268E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8C9D4A-A0CE-4EEF-8B3E-59B97ECC2E39}" name="TimeDfBBoxStudent" displayName="TimeDfBBoxStudent" ref="A1:F77" tableType="queryTable" totalsRowShown="0">
  <autoFilter ref="A1:F77" xr:uid="{398C9D4A-A0CE-4EEF-8B3E-59B97ECC2E39}"/>
  <tableColumns count="6">
    <tableColumn id="1" xr3:uid="{18D581DC-E6C9-455F-8DFA-52B3607936EE}" uniqueName="1" name="Column1" queryTableFieldId="1" dataDxfId="37"/>
    <tableColumn id="2" xr3:uid="{CA24C3A7-900D-48DB-AFEF-05CFF277621A}" uniqueName="2" name="Column2" queryTableFieldId="2" dataDxfId="36"/>
    <tableColumn id="3" xr3:uid="{42E3D708-0EC0-477F-A79F-D4772919B92B}" uniqueName="3" name="Column3" queryTableFieldId="3" dataDxfId="35"/>
    <tableColumn id="4" xr3:uid="{09B77DB5-AF67-46F5-868D-69D4C1710B90}" uniqueName="4" name="Column4" queryTableFieldId="4" dataDxfId="34"/>
    <tableColumn id="5" xr3:uid="{6AC5AF4D-E12E-4FC3-A5FB-0548CF04AE12}" uniqueName="5" name="Column5" queryTableFieldId="5" dataDxfId="33"/>
    <tableColumn id="6" xr3:uid="{8BBD221D-75B1-496C-BD87-A11642023499}" uniqueName="6" name="Column6" queryTableFieldId="6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BA67F1-1B91-4089-9B20-2BA348FAE6B5}" name="TimeDfBBoxStudent__2" displayName="TimeDfBBoxStudent__2" ref="A1:F77" tableType="queryTable" totalsRowShown="0">
  <autoFilter ref="A1:F77" xr:uid="{08BA67F1-1B91-4089-9B20-2BA348FAE6B5}"/>
  <tableColumns count="6">
    <tableColumn id="1" xr3:uid="{876BF98C-0F1A-414D-9AAB-903353585AB9}" uniqueName="1" name="Column1" queryTableFieldId="1" dataDxfId="27"/>
    <tableColumn id="2" xr3:uid="{4E0C50A7-6620-422A-87B0-6B890C47ED95}" uniqueName="2" name="Column2" queryTableFieldId="2" dataDxfId="26"/>
    <tableColumn id="3" xr3:uid="{E5E4EFE3-D555-4147-BD23-567A5FAA922F}" uniqueName="3" name="Column3" queryTableFieldId="3" dataDxfId="25"/>
    <tableColumn id="4" xr3:uid="{C55A38B0-2C3C-4FD6-AAC3-29678286922E}" uniqueName="4" name="Column4" queryTableFieldId="4" dataDxfId="24"/>
    <tableColumn id="5" xr3:uid="{C95D5B9B-BD58-4F19-B328-EB9468FBAC13}" uniqueName="5" name="Column5" queryTableFieldId="5" dataDxfId="23"/>
    <tableColumn id="6" xr3:uid="{553377E8-717C-42A4-9C7E-EA9F721D374A}" uniqueName="6" name="Column6" queryTableFieldId="6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0715A5-6BEF-4DDC-A513-12942C88EF51}" name="TimeDfBBoxStudent__3" displayName="TimeDfBBoxStudent__3" ref="A1:F77" tableType="queryTable" totalsRowShown="0">
  <autoFilter ref="A1:F77" xr:uid="{7B0715A5-6BEF-4DDC-A513-12942C88EF51}"/>
  <tableColumns count="6">
    <tableColumn id="1" xr3:uid="{2AC4153F-0F17-4C53-B872-4B42D8EE47B7}" uniqueName="1" name="Column1" queryTableFieldId="1" dataDxfId="17"/>
    <tableColumn id="2" xr3:uid="{919ACE28-B40B-4972-8C48-008D2417C6F3}" uniqueName="2" name="Column2" queryTableFieldId="2" dataDxfId="16"/>
    <tableColumn id="3" xr3:uid="{425360A6-7328-4562-A01B-53B209FD78CD}" uniqueName="3" name="Column3" queryTableFieldId="3" dataDxfId="15"/>
    <tableColumn id="4" xr3:uid="{467EB9B3-F780-46A3-9862-C039D8F004BF}" uniqueName="4" name="Column4" queryTableFieldId="4" dataDxfId="14"/>
    <tableColumn id="5" xr3:uid="{79A49411-393B-42AA-9BD0-85A518B6D2E3}" uniqueName="5" name="Column5" queryTableFieldId="5" dataDxfId="13"/>
    <tableColumn id="6" xr3:uid="{77F25C54-E764-4453-B815-2F884AAAB5F4}" uniqueName="6" name="Column6" queryTableFieldId="6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BF4650-A7D8-4B34-B36C-7BE26D9BC917}" name="TimeDfBBoxStudent__4" displayName="TimeDfBBoxStudent__4" ref="A1:F77" tableType="queryTable" totalsRowShown="0">
  <autoFilter ref="A1:F77" xr:uid="{A3BF4650-A7D8-4B34-B36C-7BE26D9BC917}"/>
  <tableColumns count="6">
    <tableColumn id="1" xr3:uid="{595F7664-EDE5-45B4-BFF7-2AFD776509B7}" uniqueName="1" name="Column1" queryTableFieldId="1" dataDxfId="8"/>
    <tableColumn id="2" xr3:uid="{9183870E-2684-42E6-B041-EFC6B3C7E7F0}" uniqueName="2" name="Column2" queryTableFieldId="2" dataDxfId="7"/>
    <tableColumn id="3" xr3:uid="{A19AB180-000C-453C-A5E0-6976EC148B97}" uniqueName="3" name="Column3" queryTableFieldId="3" dataDxfId="6"/>
    <tableColumn id="4" xr3:uid="{C6889CC9-D16A-441C-AAEF-32916F115F4C}" uniqueName="4" name="Column4" queryTableFieldId="4" dataDxfId="5"/>
    <tableColumn id="5" xr3:uid="{0DAA7453-D6A2-494C-AC7F-76A5C43C3E53}" uniqueName="5" name="Column5" queryTableFieldId="5" dataDxfId="4"/>
    <tableColumn id="6" xr3:uid="{7DCBEAA6-8DF4-4685-869D-4EEE94229AD4}" uniqueName="6" name="Column6" queryTableFieldId="6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7B8E6-AEA8-48BC-B9F6-D13E565C7486}" name="Tabella1" displayName="Tabella1" ref="H6:M82" totalsRowCount="1">
  <autoFilter ref="H6:M81" xr:uid="{ECB7B8E6-AEA8-48BC-B9F6-D13E565C7486}"/>
  <tableColumns count="6">
    <tableColumn id="1" xr3:uid="{49C027DF-5280-47BE-92D7-05BF8F5B028A}" name="time" totalsRowFunction="custom">
      <totalsRowFormula>AVERAGE(Tabella1[time])</totalsRowFormula>
    </tableColumn>
    <tableColumn id="2" xr3:uid="{8AC2A2F4-E840-4990-A370-025C12676FD3}" name="index"/>
    <tableColumn id="3" xr3:uid="{141BFD5F-5687-46E5-AC9F-06BEBF008C98}" name="iou" totalsRowFunction="custom" dataDxfId="21">
      <totalsRowFormula>AVERAGE(Tabella1[iou])</totalsRowFormula>
    </tableColumn>
    <tableColumn id="4" xr3:uid="{905FC6F9-8BDD-4CF1-B647-6A3314AB3C3B}" name="dice" totalsRowFunction="average" dataDxfId="20"/>
    <tableColumn id="5" xr3:uid="{6C92CFA6-FE10-42CE-B29A-BE7B1B46EAE0}" name="sensitivity" totalsRowFunction="average" dataDxfId="19"/>
    <tableColumn id="6" xr3:uid="{8F356546-2FEA-49A0-9C09-FEB27BFC2150}" name="specificity" totalsRowFunction="average" dataDxfId="18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5E837-80E0-4A5C-8FA4-56CB9F4FAAFB}" name="Tabella2" displayName="Tabella2" ref="N4:S81" totalsRowCount="1">
  <autoFilter ref="N4:S80" xr:uid="{8175E837-80E0-4A5C-8FA4-56CB9F4FAAFB}"/>
  <tableColumns count="6">
    <tableColumn id="1" xr3:uid="{C2775660-BA65-4A61-86CA-5F353299F640}" name="time" totalsRowFunction="custom">
      <totalsRowFormula>AVERAGE(N5:N79)</totalsRowFormula>
    </tableColumn>
    <tableColumn id="2" xr3:uid="{CE0729C2-8312-49E5-A278-1A4096F2A5DD}" name="index"/>
    <tableColumn id="3" xr3:uid="{2BAE231F-DEF4-41DD-BEBD-26653620F639}" name="iou" totalsRowFunction="custom">
      <totalsRowFormula>AVERAGE(P5:P79)</totalsRowFormula>
    </tableColumn>
    <tableColumn id="4" xr3:uid="{C1DABDCC-9103-4F83-8B8B-435779417633}" name="dice" totalsRowFunction="average" dataDxfId="2"/>
    <tableColumn id="5" xr3:uid="{60AF5FD9-0689-4BDC-8B0E-70CE3C8B9F46}" name="sensitivity" totalsRowFunction="average" dataDxfId="1"/>
    <tableColumn id="6" xr3:uid="{261807BC-FE39-4CBD-93DE-852B59B792AB}" name="specificity" totalsRowFunction="average" dataDxfId="0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4D125E-DDA9-4FC5-AA01-94433A24B1E6}" name="Tabella4" displayName="Tabella4" ref="T4:Y80" totalsRowShown="0">
  <autoFilter ref="T4:Y80" xr:uid="{A84D125E-DDA9-4FC5-AA01-94433A24B1E6}"/>
  <tableColumns count="6">
    <tableColumn id="1" xr3:uid="{2E868941-8CD9-47C6-B923-22FDE89F1F26}" name="time"/>
    <tableColumn id="2" xr3:uid="{D07ED79E-7367-466A-A126-FFFB50C59124}" name="index"/>
    <tableColumn id="3" xr3:uid="{9D0B8EF3-E135-4376-BCD0-596B719296D8}" name="iou"/>
    <tableColumn id="4" xr3:uid="{5D473D0E-D085-42D7-922E-83EF8DB03D9C}" name="dice" dataDxfId="11"/>
    <tableColumn id="5" xr3:uid="{EB9353DB-0B5F-4FB8-8832-2FBCF57CEBF1}" name="sensitivity" dataDxfId="10"/>
    <tableColumn id="6" xr3:uid="{F6E11D9E-B2BC-4AEB-A390-D94F97443344}" name="specificity" dataDxfId="9"/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23C45-71A7-46CD-8A68-3278DBF46482}" name="Tabella5" displayName="Tabella5" ref="A5:F81" totalsRowCount="1">
  <autoFilter ref="A5:F80" xr:uid="{E0D23C45-71A7-46CD-8A68-3278DBF46482}"/>
  <tableColumns count="6">
    <tableColumn id="1" xr3:uid="{C73F8A24-5FE7-48AB-BD6C-F0168DF7E87A}" name="time" totalsRowFunction="average"/>
    <tableColumn id="2" xr3:uid="{98A9FAF6-2F84-4187-ACAA-CBA36F662C1A}" name="index"/>
    <tableColumn id="3" xr3:uid="{5EFCB5AB-31B7-427A-8D96-1DB16CA53A17}" name="iou" totalsRowFunction="average" dataDxfId="31"/>
    <tableColumn id="4" xr3:uid="{1E104368-A6C9-42EA-81E4-159D07E1BCEC}" name="dice" totalsRowFunction="average" dataDxfId="30"/>
    <tableColumn id="5" xr3:uid="{C8ADED76-7596-4111-912A-9357DC5BD053}" name="sensitivity" totalsRowFunction="average" dataDxfId="29"/>
    <tableColumn id="6" xr3:uid="{AAE45360-6BF8-4811-B948-ACBB408DAE2C}" name="specificity" totalsRowFunction="average" dataDxfId="28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34D800-7C28-4C5B-B0DF-7761FC93DEC4}" name="Tabella6" displayName="Tabella6" ref="Z6:AB82" totalsRowCount="1">
  <autoFilter ref="Z6:AB81" xr:uid="{CF34D800-7C28-4C5B-B0DF-7761FC93DEC4}"/>
  <tableColumns count="3">
    <tableColumn id="1" xr3:uid="{2F412B4D-8BAE-4FA0-8726-385FC5B9B741}" name="time" totalsRowFunction="average"/>
    <tableColumn id="2" xr3:uid="{C50AB6E1-D1E2-4DD4-8DA8-39AD47DEE4D9}" name="index"/>
    <tableColumn id="3" xr3:uid="{B198643F-B580-41DA-833D-1CA994A3B134}" name="iou" totalsRowFunction="average"/>
  </tableColumns>
  <tableStyleInfo name="TableStyleLight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1B5C19-9648-421C-92B6-C59AAD292B26}" name="Tabella7" displayName="Tabella7" ref="AE4:AG80" totalsRowCount="1">
  <autoFilter ref="AE4:AG79" xr:uid="{121B5C19-9648-421C-92B6-C59AAD292B26}"/>
  <tableColumns count="3">
    <tableColumn id="1" xr3:uid="{D0B8CF32-9C69-4C27-B8AA-A0DC004FC2A1}" name="time" totalsRowFunction="custom">
      <totalsRowFormula>AVERAGE(Tabella7[time])</totalsRowFormula>
    </tableColumn>
    <tableColumn id="2" xr3:uid="{8B94BFC8-083F-486C-BEE3-40BE9F1729F6}" name="index"/>
    <tableColumn id="3" xr3:uid="{ED09C3F8-BA16-4A32-8E0A-0C454F1C6A74}" name="iou" totalsRowFunction="averag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AAAF-3C62-4989-B140-B8B2D6DA8FCB}">
  <dimension ref="A1:F77"/>
  <sheetViews>
    <sheetView topLeftCell="A41" workbookViewId="0">
      <selection activeCell="C2" sqref="C2:F77"/>
    </sheetView>
  </sheetViews>
  <sheetFormatPr defaultRowHeight="14.4"/>
  <cols>
    <col min="1" max="1" width="18.77734375" bestFit="1" customWidth="1"/>
    <col min="2" max="2" width="10.77734375" bestFit="1" customWidth="1"/>
    <col min="3" max="6" width="18.77734375" bestFit="1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s="10" t="s">
        <v>0</v>
      </c>
      <c r="B2" s="10" t="s">
        <v>1</v>
      </c>
      <c r="C2" s="10" t="s">
        <v>2</v>
      </c>
      <c r="D2" s="10" t="s">
        <v>21</v>
      </c>
      <c r="E2" s="10" t="s">
        <v>22</v>
      </c>
      <c r="F2" s="10" t="s">
        <v>23</v>
      </c>
    </row>
    <row r="3" spans="1:6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</row>
    <row r="4" spans="1:6">
      <c r="A4" s="10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</row>
    <row r="5" spans="1:6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</row>
    <row r="6" spans="1:6">
      <c r="A6" s="10" t="s">
        <v>42</v>
      </c>
      <c r="B6" s="10" t="s">
        <v>43</v>
      </c>
      <c r="C6" s="10" t="s">
        <v>44</v>
      </c>
      <c r="D6" s="10" t="s">
        <v>45</v>
      </c>
      <c r="E6" s="10" t="s">
        <v>46</v>
      </c>
      <c r="F6" s="10" t="s">
        <v>47</v>
      </c>
    </row>
    <row r="7" spans="1:6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0" t="s">
        <v>53</v>
      </c>
    </row>
    <row r="8" spans="1:6">
      <c r="A8" s="10" t="s">
        <v>54</v>
      </c>
      <c r="B8" s="10" t="s">
        <v>55</v>
      </c>
      <c r="C8" s="10" t="s">
        <v>56</v>
      </c>
      <c r="D8" s="10" t="s">
        <v>57</v>
      </c>
      <c r="E8" s="10" t="s">
        <v>58</v>
      </c>
      <c r="F8" s="10" t="s">
        <v>59</v>
      </c>
    </row>
    <row r="9" spans="1:6">
      <c r="A9" s="10" t="s">
        <v>60</v>
      </c>
      <c r="B9" s="10" t="s">
        <v>61</v>
      </c>
      <c r="C9" s="10" t="s">
        <v>62</v>
      </c>
      <c r="D9" s="10" t="s">
        <v>63</v>
      </c>
      <c r="E9" s="10" t="s">
        <v>64</v>
      </c>
      <c r="F9" s="10" t="s">
        <v>65</v>
      </c>
    </row>
    <row r="10" spans="1:6">
      <c r="A10" s="10" t="s">
        <v>66</v>
      </c>
      <c r="B10" s="10" t="s">
        <v>67</v>
      </c>
      <c r="C10" s="10" t="s">
        <v>68</v>
      </c>
      <c r="D10" s="10" t="s">
        <v>69</v>
      </c>
      <c r="E10" s="10" t="s">
        <v>70</v>
      </c>
      <c r="F10" s="10" t="s">
        <v>71</v>
      </c>
    </row>
    <row r="11" spans="1:6">
      <c r="A11" s="10" t="s">
        <v>72</v>
      </c>
      <c r="B11" s="10" t="s">
        <v>73</v>
      </c>
      <c r="C11" s="10" t="s">
        <v>74</v>
      </c>
      <c r="D11" s="10" t="s">
        <v>75</v>
      </c>
      <c r="E11" s="10" t="s">
        <v>76</v>
      </c>
      <c r="F11" s="10" t="s">
        <v>77</v>
      </c>
    </row>
    <row r="12" spans="1:6">
      <c r="A12" s="10" t="s">
        <v>78</v>
      </c>
      <c r="B12" s="10" t="s">
        <v>79</v>
      </c>
      <c r="C12" s="10" t="s">
        <v>80</v>
      </c>
      <c r="D12" s="10" t="s">
        <v>81</v>
      </c>
      <c r="E12" s="10" t="s">
        <v>82</v>
      </c>
      <c r="F12" s="10" t="s">
        <v>83</v>
      </c>
    </row>
    <row r="13" spans="1:6">
      <c r="A13" s="10" t="s">
        <v>84</v>
      </c>
      <c r="B13" s="10" t="s">
        <v>85</v>
      </c>
      <c r="C13" s="10" t="s">
        <v>86</v>
      </c>
      <c r="D13" s="10" t="s">
        <v>87</v>
      </c>
      <c r="E13" s="10" t="s">
        <v>88</v>
      </c>
      <c r="F13" s="10" t="s">
        <v>89</v>
      </c>
    </row>
    <row r="14" spans="1:6">
      <c r="A14" s="10" t="s">
        <v>90</v>
      </c>
      <c r="B14" s="10" t="s">
        <v>91</v>
      </c>
      <c r="C14" s="10" t="s">
        <v>92</v>
      </c>
      <c r="D14" s="10" t="s">
        <v>93</v>
      </c>
      <c r="E14" s="10" t="s">
        <v>94</v>
      </c>
      <c r="F14" s="10" t="s">
        <v>95</v>
      </c>
    </row>
    <row r="15" spans="1:6">
      <c r="A15" s="10" t="s">
        <v>96</v>
      </c>
      <c r="B15" s="10" t="s">
        <v>97</v>
      </c>
      <c r="C15" s="10" t="s">
        <v>98</v>
      </c>
      <c r="D15" s="10" t="s">
        <v>99</v>
      </c>
      <c r="E15" s="10" t="s">
        <v>100</v>
      </c>
      <c r="F15" s="10" t="s">
        <v>101</v>
      </c>
    </row>
    <row r="16" spans="1:6">
      <c r="A16" s="10" t="s">
        <v>102</v>
      </c>
      <c r="B16" s="10" t="s">
        <v>103</v>
      </c>
      <c r="C16" s="10" t="s">
        <v>104</v>
      </c>
      <c r="D16" s="10" t="s">
        <v>105</v>
      </c>
      <c r="E16" s="10" t="s">
        <v>106</v>
      </c>
      <c r="F16" s="10" t="s">
        <v>107</v>
      </c>
    </row>
    <row r="17" spans="1:6">
      <c r="A17" s="10" t="s">
        <v>108</v>
      </c>
      <c r="B17" s="10" t="s">
        <v>109</v>
      </c>
      <c r="C17" s="10" t="s">
        <v>110</v>
      </c>
      <c r="D17" s="10" t="s">
        <v>111</v>
      </c>
      <c r="E17" s="10" t="s">
        <v>112</v>
      </c>
      <c r="F17" s="10" t="s">
        <v>113</v>
      </c>
    </row>
    <row r="18" spans="1:6">
      <c r="A18" s="10" t="s">
        <v>114</v>
      </c>
      <c r="B18" s="10" t="s">
        <v>115</v>
      </c>
      <c r="C18" s="10" t="s">
        <v>116</v>
      </c>
      <c r="D18" s="10" t="s">
        <v>117</v>
      </c>
      <c r="E18" s="10" t="s">
        <v>118</v>
      </c>
      <c r="F18" s="10" t="s">
        <v>119</v>
      </c>
    </row>
    <row r="19" spans="1:6">
      <c r="A19" s="10" t="s">
        <v>120</v>
      </c>
      <c r="B19" s="10" t="s">
        <v>121</v>
      </c>
      <c r="C19" s="10" t="s">
        <v>122</v>
      </c>
      <c r="D19" s="10" t="s">
        <v>123</v>
      </c>
      <c r="E19" s="10" t="s">
        <v>124</v>
      </c>
      <c r="F19" s="10" t="s">
        <v>125</v>
      </c>
    </row>
    <row r="20" spans="1:6">
      <c r="A20" s="10" t="s">
        <v>126</v>
      </c>
      <c r="B20" s="10" t="s">
        <v>127</v>
      </c>
      <c r="C20" s="10" t="s">
        <v>128</v>
      </c>
      <c r="D20" s="10" t="s">
        <v>129</v>
      </c>
      <c r="E20" s="10" t="s">
        <v>130</v>
      </c>
      <c r="F20" s="10" t="s">
        <v>131</v>
      </c>
    </row>
    <row r="21" spans="1:6">
      <c r="A21" s="10" t="s">
        <v>132</v>
      </c>
      <c r="B21" s="10" t="s">
        <v>133</v>
      </c>
      <c r="C21" s="10" t="s">
        <v>134</v>
      </c>
      <c r="D21" s="10" t="s">
        <v>135</v>
      </c>
      <c r="E21" s="10" t="s">
        <v>136</v>
      </c>
      <c r="F21" s="10" t="s">
        <v>137</v>
      </c>
    </row>
    <row r="22" spans="1:6">
      <c r="A22" s="10" t="s">
        <v>138</v>
      </c>
      <c r="B22" s="10" t="s">
        <v>139</v>
      </c>
      <c r="C22" s="10" t="s">
        <v>140</v>
      </c>
      <c r="D22" s="10" t="s">
        <v>141</v>
      </c>
      <c r="E22" s="10" t="s">
        <v>142</v>
      </c>
      <c r="F22" s="10" t="s">
        <v>143</v>
      </c>
    </row>
    <row r="23" spans="1:6">
      <c r="A23" s="10" t="s">
        <v>144</v>
      </c>
      <c r="B23" s="10" t="s">
        <v>145</v>
      </c>
      <c r="C23" s="10" t="s">
        <v>146</v>
      </c>
      <c r="D23" s="10" t="s">
        <v>147</v>
      </c>
      <c r="E23" s="10" t="s">
        <v>148</v>
      </c>
      <c r="F23" s="10" t="s">
        <v>149</v>
      </c>
    </row>
    <row r="24" spans="1:6">
      <c r="A24" s="10" t="s">
        <v>150</v>
      </c>
      <c r="B24" s="10" t="s">
        <v>151</v>
      </c>
      <c r="C24" s="10" t="s">
        <v>152</v>
      </c>
      <c r="D24" s="10" t="s">
        <v>153</v>
      </c>
      <c r="E24" s="10" t="s">
        <v>154</v>
      </c>
      <c r="F24" s="10" t="s">
        <v>155</v>
      </c>
    </row>
    <row r="25" spans="1:6">
      <c r="A25" s="10" t="s">
        <v>156</v>
      </c>
      <c r="B25" s="10" t="s">
        <v>157</v>
      </c>
      <c r="C25" s="10" t="s">
        <v>158</v>
      </c>
      <c r="D25" s="10" t="s">
        <v>159</v>
      </c>
      <c r="E25" s="10" t="s">
        <v>160</v>
      </c>
      <c r="F25" s="10" t="s">
        <v>161</v>
      </c>
    </row>
    <row r="26" spans="1:6">
      <c r="A26" s="10" t="s">
        <v>162</v>
      </c>
      <c r="B26" s="10" t="s">
        <v>163</v>
      </c>
      <c r="C26" s="10" t="s">
        <v>164</v>
      </c>
      <c r="D26" s="10" t="s">
        <v>165</v>
      </c>
      <c r="E26" s="10" t="s">
        <v>166</v>
      </c>
      <c r="F26" s="10" t="s">
        <v>167</v>
      </c>
    </row>
    <row r="27" spans="1:6">
      <c r="A27" s="10" t="s">
        <v>168</v>
      </c>
      <c r="B27" s="10" t="s">
        <v>169</v>
      </c>
      <c r="C27" s="10" t="s">
        <v>170</v>
      </c>
      <c r="D27" s="10" t="s">
        <v>171</v>
      </c>
      <c r="E27" s="10" t="s">
        <v>172</v>
      </c>
      <c r="F27" s="10" t="s">
        <v>173</v>
      </c>
    </row>
    <row r="28" spans="1:6">
      <c r="A28" s="10" t="s">
        <v>174</v>
      </c>
      <c r="B28" s="10" t="s">
        <v>175</v>
      </c>
      <c r="C28" s="10" t="s">
        <v>176</v>
      </c>
      <c r="D28" s="10" t="s">
        <v>177</v>
      </c>
      <c r="E28" s="10" t="s">
        <v>178</v>
      </c>
      <c r="F28" s="10" t="s">
        <v>179</v>
      </c>
    </row>
    <row r="29" spans="1:6">
      <c r="A29" s="10" t="s">
        <v>180</v>
      </c>
      <c r="B29" s="10" t="s">
        <v>181</v>
      </c>
      <c r="C29" s="10" t="s">
        <v>182</v>
      </c>
      <c r="D29" s="10" t="s">
        <v>183</v>
      </c>
      <c r="E29" s="10" t="s">
        <v>184</v>
      </c>
      <c r="F29" s="10" t="s">
        <v>185</v>
      </c>
    </row>
    <row r="30" spans="1:6">
      <c r="A30" s="10" t="s">
        <v>186</v>
      </c>
      <c r="B30" s="10" t="s">
        <v>187</v>
      </c>
      <c r="C30" s="10" t="s">
        <v>188</v>
      </c>
      <c r="D30" s="10" t="s">
        <v>189</v>
      </c>
      <c r="E30" s="10" t="s">
        <v>190</v>
      </c>
      <c r="F30" s="10" t="s">
        <v>191</v>
      </c>
    </row>
    <row r="31" spans="1:6">
      <c r="A31" s="10" t="s">
        <v>192</v>
      </c>
      <c r="B31" s="10" t="s">
        <v>193</v>
      </c>
      <c r="C31" s="10" t="s">
        <v>194</v>
      </c>
      <c r="D31" s="10" t="s">
        <v>195</v>
      </c>
      <c r="E31" s="10" t="s">
        <v>196</v>
      </c>
      <c r="F31" s="10" t="s">
        <v>197</v>
      </c>
    </row>
    <row r="32" spans="1:6">
      <c r="A32" s="10" t="s">
        <v>198</v>
      </c>
      <c r="B32" s="10" t="s">
        <v>199</v>
      </c>
      <c r="C32" s="10" t="s">
        <v>200</v>
      </c>
      <c r="D32" s="10" t="s">
        <v>201</v>
      </c>
      <c r="E32" s="10" t="s">
        <v>202</v>
      </c>
      <c r="F32" s="10" t="s">
        <v>203</v>
      </c>
    </row>
    <row r="33" spans="1:6">
      <c r="A33" s="10" t="s">
        <v>204</v>
      </c>
      <c r="B33" s="10" t="s">
        <v>205</v>
      </c>
      <c r="C33" s="10" t="s">
        <v>206</v>
      </c>
      <c r="D33" s="10" t="s">
        <v>207</v>
      </c>
      <c r="E33" s="10" t="s">
        <v>208</v>
      </c>
      <c r="F33" s="10" t="s">
        <v>209</v>
      </c>
    </row>
    <row r="34" spans="1:6">
      <c r="A34" s="10" t="s">
        <v>210</v>
      </c>
      <c r="B34" s="10" t="s">
        <v>211</v>
      </c>
      <c r="C34" s="10" t="s">
        <v>212</v>
      </c>
      <c r="D34" s="10" t="s">
        <v>213</v>
      </c>
      <c r="E34" s="10" t="s">
        <v>214</v>
      </c>
      <c r="F34" s="10" t="s">
        <v>215</v>
      </c>
    </row>
    <row r="35" spans="1:6">
      <c r="A35" s="10" t="s">
        <v>216</v>
      </c>
      <c r="B35" s="10" t="s">
        <v>217</v>
      </c>
      <c r="C35" s="10" t="s">
        <v>218</v>
      </c>
      <c r="D35" s="10" t="s">
        <v>219</v>
      </c>
      <c r="E35" s="10" t="s">
        <v>220</v>
      </c>
      <c r="F35" s="10" t="s">
        <v>221</v>
      </c>
    </row>
    <row r="36" spans="1:6">
      <c r="A36" s="10" t="s">
        <v>222</v>
      </c>
      <c r="B36" s="10" t="s">
        <v>223</v>
      </c>
      <c r="C36" s="10" t="s">
        <v>224</v>
      </c>
      <c r="D36" s="10" t="s">
        <v>225</v>
      </c>
      <c r="E36" s="10" t="s">
        <v>226</v>
      </c>
      <c r="F36" s="10" t="s">
        <v>227</v>
      </c>
    </row>
    <row r="37" spans="1:6">
      <c r="A37" s="10" t="s">
        <v>228</v>
      </c>
      <c r="B37" s="10" t="s">
        <v>229</v>
      </c>
      <c r="C37" s="10" t="s">
        <v>230</v>
      </c>
      <c r="D37" s="10" t="s">
        <v>231</v>
      </c>
      <c r="E37" s="10" t="s">
        <v>232</v>
      </c>
      <c r="F37" s="10" t="s">
        <v>233</v>
      </c>
    </row>
    <row r="38" spans="1:6">
      <c r="A38" s="10" t="s">
        <v>234</v>
      </c>
      <c r="B38" s="10" t="s">
        <v>235</v>
      </c>
      <c r="C38" s="10" t="s">
        <v>236</v>
      </c>
      <c r="D38" s="10" t="s">
        <v>237</v>
      </c>
      <c r="E38" s="10" t="s">
        <v>238</v>
      </c>
      <c r="F38" s="10" t="s">
        <v>239</v>
      </c>
    </row>
    <row r="39" spans="1:6">
      <c r="A39" s="10" t="s">
        <v>240</v>
      </c>
      <c r="B39" s="10" t="s">
        <v>241</v>
      </c>
      <c r="C39" s="10" t="s">
        <v>242</v>
      </c>
      <c r="D39" s="10" t="s">
        <v>243</v>
      </c>
      <c r="E39" s="10" t="s">
        <v>244</v>
      </c>
      <c r="F39" s="10" t="s">
        <v>245</v>
      </c>
    </row>
    <row r="40" spans="1:6">
      <c r="A40" s="10" t="s">
        <v>246</v>
      </c>
      <c r="B40" s="10" t="s">
        <v>247</v>
      </c>
      <c r="C40" s="10" t="s">
        <v>248</v>
      </c>
      <c r="D40" s="10" t="s">
        <v>249</v>
      </c>
      <c r="E40" s="10" t="s">
        <v>250</v>
      </c>
      <c r="F40" s="10" t="s">
        <v>251</v>
      </c>
    </row>
    <row r="41" spans="1:6">
      <c r="A41" s="10" t="s">
        <v>252</v>
      </c>
      <c r="B41" s="10" t="s">
        <v>253</v>
      </c>
      <c r="C41" s="10" t="s">
        <v>254</v>
      </c>
      <c r="D41" s="10" t="s">
        <v>255</v>
      </c>
      <c r="E41" s="10" t="s">
        <v>256</v>
      </c>
      <c r="F41" s="10" t="s">
        <v>257</v>
      </c>
    </row>
    <row r="42" spans="1:6">
      <c r="A42" s="10" t="s">
        <v>258</v>
      </c>
      <c r="B42" s="10" t="s">
        <v>259</v>
      </c>
      <c r="C42" s="10" t="s">
        <v>260</v>
      </c>
      <c r="D42" s="10" t="s">
        <v>261</v>
      </c>
      <c r="E42" s="10" t="s">
        <v>262</v>
      </c>
      <c r="F42" s="10" t="s">
        <v>263</v>
      </c>
    </row>
    <row r="43" spans="1:6">
      <c r="A43" s="10" t="s">
        <v>264</v>
      </c>
      <c r="B43" s="10" t="s">
        <v>265</v>
      </c>
      <c r="C43" s="10" t="s">
        <v>266</v>
      </c>
      <c r="D43" s="10" t="s">
        <v>267</v>
      </c>
      <c r="E43" s="10" t="s">
        <v>268</v>
      </c>
      <c r="F43" s="10" t="s">
        <v>269</v>
      </c>
    </row>
    <row r="44" spans="1:6">
      <c r="A44" s="10" t="s">
        <v>270</v>
      </c>
      <c r="B44" s="10" t="s">
        <v>271</v>
      </c>
      <c r="C44" s="10" t="s">
        <v>272</v>
      </c>
      <c r="D44" s="10" t="s">
        <v>273</v>
      </c>
      <c r="E44" s="10" t="s">
        <v>274</v>
      </c>
      <c r="F44" s="10" t="s">
        <v>275</v>
      </c>
    </row>
    <row r="45" spans="1:6">
      <c r="A45" s="10" t="s">
        <v>276</v>
      </c>
      <c r="B45" s="10" t="s">
        <v>277</v>
      </c>
      <c r="C45" s="10" t="s">
        <v>278</v>
      </c>
      <c r="D45" s="10" t="s">
        <v>279</v>
      </c>
      <c r="E45" s="10" t="s">
        <v>280</v>
      </c>
      <c r="F45" s="10" t="s">
        <v>281</v>
      </c>
    </row>
    <row r="46" spans="1:6">
      <c r="A46" s="10" t="s">
        <v>282</v>
      </c>
      <c r="B46" s="10" t="s">
        <v>283</v>
      </c>
      <c r="C46" s="10" t="s">
        <v>284</v>
      </c>
      <c r="D46" s="10" t="s">
        <v>285</v>
      </c>
      <c r="E46" s="10" t="s">
        <v>286</v>
      </c>
      <c r="F46" s="10" t="s">
        <v>287</v>
      </c>
    </row>
    <row r="47" spans="1:6">
      <c r="A47" s="10" t="s">
        <v>288</v>
      </c>
      <c r="B47" s="10" t="s">
        <v>289</v>
      </c>
      <c r="C47" s="10" t="s">
        <v>290</v>
      </c>
      <c r="D47" s="10" t="s">
        <v>291</v>
      </c>
      <c r="E47" s="10" t="s">
        <v>292</v>
      </c>
      <c r="F47" s="10" t="s">
        <v>293</v>
      </c>
    </row>
    <row r="48" spans="1:6">
      <c r="A48" s="10" t="s">
        <v>294</v>
      </c>
      <c r="B48" s="10" t="s">
        <v>295</v>
      </c>
      <c r="C48" s="10" t="s">
        <v>296</v>
      </c>
      <c r="D48" s="10" t="s">
        <v>297</v>
      </c>
      <c r="E48" s="10" t="s">
        <v>298</v>
      </c>
      <c r="F48" s="10" t="s">
        <v>299</v>
      </c>
    </row>
    <row r="49" spans="1:6">
      <c r="A49" s="10" t="s">
        <v>300</v>
      </c>
      <c r="B49" s="10" t="s">
        <v>301</v>
      </c>
      <c r="C49" s="10" t="s">
        <v>302</v>
      </c>
      <c r="D49" s="10" t="s">
        <v>303</v>
      </c>
      <c r="E49" s="10" t="s">
        <v>304</v>
      </c>
      <c r="F49" s="10" t="s">
        <v>305</v>
      </c>
    </row>
    <row r="50" spans="1:6">
      <c r="A50" s="10" t="s">
        <v>306</v>
      </c>
      <c r="B50" s="10" t="s">
        <v>307</v>
      </c>
      <c r="C50" s="10" t="s">
        <v>308</v>
      </c>
      <c r="D50" s="10" t="s">
        <v>309</v>
      </c>
      <c r="E50" s="10" t="s">
        <v>310</v>
      </c>
      <c r="F50" s="10" t="s">
        <v>311</v>
      </c>
    </row>
    <row r="51" spans="1:6">
      <c r="A51" s="10" t="s">
        <v>312</v>
      </c>
      <c r="B51" s="10" t="s">
        <v>313</v>
      </c>
      <c r="C51" s="10" t="s">
        <v>314</v>
      </c>
      <c r="D51" s="10" t="s">
        <v>315</v>
      </c>
      <c r="E51" s="10" t="s">
        <v>316</v>
      </c>
      <c r="F51" s="10" t="s">
        <v>317</v>
      </c>
    </row>
    <row r="52" spans="1:6">
      <c r="A52" s="10" t="s">
        <v>318</v>
      </c>
      <c r="B52" s="10" t="s">
        <v>319</v>
      </c>
      <c r="C52" s="10" t="s">
        <v>320</v>
      </c>
      <c r="D52" s="10" t="s">
        <v>321</v>
      </c>
      <c r="E52" s="10" t="s">
        <v>322</v>
      </c>
      <c r="F52" s="10" t="s">
        <v>323</v>
      </c>
    </row>
    <row r="53" spans="1:6">
      <c r="A53" s="10" t="s">
        <v>324</v>
      </c>
      <c r="B53" s="10" t="s">
        <v>325</v>
      </c>
      <c r="C53" s="10" t="s">
        <v>326</v>
      </c>
      <c r="D53" s="10" t="s">
        <v>327</v>
      </c>
      <c r="E53" s="10" t="s">
        <v>328</v>
      </c>
      <c r="F53" s="10" t="s">
        <v>329</v>
      </c>
    </row>
    <row r="54" spans="1:6">
      <c r="A54" s="10" t="s">
        <v>330</v>
      </c>
      <c r="B54" s="10" t="s">
        <v>331</v>
      </c>
      <c r="C54" s="10" t="s">
        <v>332</v>
      </c>
      <c r="D54" s="10" t="s">
        <v>333</v>
      </c>
      <c r="E54" s="10" t="s">
        <v>334</v>
      </c>
      <c r="F54" s="10" t="s">
        <v>335</v>
      </c>
    </row>
    <row r="55" spans="1:6">
      <c r="A55" s="10" t="s">
        <v>336</v>
      </c>
      <c r="B55" s="10" t="s">
        <v>337</v>
      </c>
      <c r="C55" s="10" t="s">
        <v>338</v>
      </c>
      <c r="D55" s="10" t="s">
        <v>339</v>
      </c>
      <c r="E55" s="10" t="s">
        <v>340</v>
      </c>
      <c r="F55" s="10" t="s">
        <v>341</v>
      </c>
    </row>
    <row r="56" spans="1:6">
      <c r="A56" s="10" t="s">
        <v>342</v>
      </c>
      <c r="B56" s="10" t="s">
        <v>343</v>
      </c>
      <c r="C56" s="10" t="s">
        <v>344</v>
      </c>
      <c r="D56" s="10" t="s">
        <v>345</v>
      </c>
      <c r="E56" s="10" t="s">
        <v>346</v>
      </c>
      <c r="F56" s="10" t="s">
        <v>347</v>
      </c>
    </row>
    <row r="57" spans="1:6">
      <c r="A57" s="10" t="s">
        <v>348</v>
      </c>
      <c r="B57" s="10" t="s">
        <v>349</v>
      </c>
      <c r="C57" s="10" t="s">
        <v>350</v>
      </c>
      <c r="D57" s="10" t="s">
        <v>351</v>
      </c>
      <c r="E57" s="10" t="s">
        <v>352</v>
      </c>
      <c r="F57" s="10" t="s">
        <v>353</v>
      </c>
    </row>
    <row r="58" spans="1:6">
      <c r="A58" s="10" t="s">
        <v>354</v>
      </c>
      <c r="B58" s="10" t="s">
        <v>355</v>
      </c>
      <c r="C58" s="10" t="s">
        <v>356</v>
      </c>
      <c r="D58" s="10" t="s">
        <v>357</v>
      </c>
      <c r="E58" s="10" t="s">
        <v>358</v>
      </c>
      <c r="F58" s="10" t="s">
        <v>359</v>
      </c>
    </row>
    <row r="59" spans="1:6">
      <c r="A59" s="10" t="s">
        <v>360</v>
      </c>
      <c r="B59" s="10" t="s">
        <v>361</v>
      </c>
      <c r="C59" s="10" t="s">
        <v>362</v>
      </c>
      <c r="D59" s="10" t="s">
        <v>363</v>
      </c>
      <c r="E59" s="10" t="s">
        <v>364</v>
      </c>
      <c r="F59" s="10" t="s">
        <v>365</v>
      </c>
    </row>
    <row r="60" spans="1:6">
      <c r="A60" s="10" t="s">
        <v>366</v>
      </c>
      <c r="B60" s="10" t="s">
        <v>367</v>
      </c>
      <c r="C60" s="10" t="s">
        <v>368</v>
      </c>
      <c r="D60" s="10" t="s">
        <v>369</v>
      </c>
      <c r="E60" s="10" t="s">
        <v>370</v>
      </c>
      <c r="F60" s="10" t="s">
        <v>371</v>
      </c>
    </row>
    <row r="61" spans="1:6">
      <c r="A61" s="10" t="s">
        <v>372</v>
      </c>
      <c r="B61" s="10" t="s">
        <v>373</v>
      </c>
      <c r="C61" s="10" t="s">
        <v>374</v>
      </c>
      <c r="D61" s="10" t="s">
        <v>375</v>
      </c>
      <c r="E61" s="10" t="s">
        <v>376</v>
      </c>
      <c r="F61" s="10" t="s">
        <v>377</v>
      </c>
    </row>
    <row r="62" spans="1:6">
      <c r="A62" s="10" t="s">
        <v>378</v>
      </c>
      <c r="B62" s="10" t="s">
        <v>379</v>
      </c>
      <c r="C62" s="10" t="s">
        <v>380</v>
      </c>
      <c r="D62" s="10" t="s">
        <v>381</v>
      </c>
      <c r="E62" s="10" t="s">
        <v>382</v>
      </c>
      <c r="F62" s="10" t="s">
        <v>383</v>
      </c>
    </row>
    <row r="63" spans="1:6">
      <c r="A63" s="10" t="s">
        <v>384</v>
      </c>
      <c r="B63" s="10" t="s">
        <v>385</v>
      </c>
      <c r="C63" s="10" t="s">
        <v>386</v>
      </c>
      <c r="D63" s="10" t="s">
        <v>387</v>
      </c>
      <c r="E63" s="10" t="s">
        <v>388</v>
      </c>
      <c r="F63" s="10" t="s">
        <v>389</v>
      </c>
    </row>
    <row r="64" spans="1:6">
      <c r="A64" s="10" t="s">
        <v>390</v>
      </c>
      <c r="B64" s="10" t="s">
        <v>391</v>
      </c>
      <c r="C64" s="10" t="s">
        <v>392</v>
      </c>
      <c r="D64" s="10" t="s">
        <v>393</v>
      </c>
      <c r="E64" s="10" t="s">
        <v>394</v>
      </c>
      <c r="F64" s="10" t="s">
        <v>395</v>
      </c>
    </row>
    <row r="65" spans="1:6">
      <c r="A65" s="10" t="s">
        <v>396</v>
      </c>
      <c r="B65" s="10" t="s">
        <v>397</v>
      </c>
      <c r="C65" s="10" t="s">
        <v>398</v>
      </c>
      <c r="D65" s="10" t="s">
        <v>399</v>
      </c>
      <c r="E65" s="10" t="s">
        <v>400</v>
      </c>
      <c r="F65" s="10" t="s">
        <v>401</v>
      </c>
    </row>
    <row r="66" spans="1:6">
      <c r="A66" s="10" t="s">
        <v>402</v>
      </c>
      <c r="B66" s="10" t="s">
        <v>403</v>
      </c>
      <c r="C66" s="10" t="s">
        <v>404</v>
      </c>
      <c r="D66" s="10" t="s">
        <v>405</v>
      </c>
      <c r="E66" s="10" t="s">
        <v>406</v>
      </c>
      <c r="F66" s="10" t="s">
        <v>407</v>
      </c>
    </row>
    <row r="67" spans="1:6">
      <c r="A67" s="10" t="s">
        <v>408</v>
      </c>
      <c r="B67" s="10" t="s">
        <v>409</v>
      </c>
      <c r="C67" s="10" t="s">
        <v>410</v>
      </c>
      <c r="D67" s="10" t="s">
        <v>411</v>
      </c>
      <c r="E67" s="10" t="s">
        <v>412</v>
      </c>
      <c r="F67" s="10" t="s">
        <v>413</v>
      </c>
    </row>
    <row r="68" spans="1:6">
      <c r="A68" s="10" t="s">
        <v>414</v>
      </c>
      <c r="B68" s="10" t="s">
        <v>415</v>
      </c>
      <c r="C68" s="10" t="s">
        <v>416</v>
      </c>
      <c r="D68" s="10" t="s">
        <v>417</v>
      </c>
      <c r="E68" s="10" t="s">
        <v>418</v>
      </c>
      <c r="F68" s="10" t="s">
        <v>419</v>
      </c>
    </row>
    <row r="69" spans="1:6">
      <c r="A69" s="10" t="s">
        <v>420</v>
      </c>
      <c r="B69" s="10" t="s">
        <v>421</v>
      </c>
      <c r="C69" s="10" t="s">
        <v>422</v>
      </c>
      <c r="D69" s="10" t="s">
        <v>423</v>
      </c>
      <c r="E69" s="10" t="s">
        <v>424</v>
      </c>
      <c r="F69" s="10" t="s">
        <v>425</v>
      </c>
    </row>
    <row r="70" spans="1:6">
      <c r="A70" s="10" t="s">
        <v>426</v>
      </c>
      <c r="B70" s="10" t="s">
        <v>427</v>
      </c>
      <c r="C70" s="10" t="s">
        <v>428</v>
      </c>
      <c r="D70" s="10" t="s">
        <v>429</v>
      </c>
      <c r="E70" s="10" t="s">
        <v>430</v>
      </c>
      <c r="F70" s="10" t="s">
        <v>431</v>
      </c>
    </row>
    <row r="71" spans="1:6">
      <c r="A71" s="10" t="s">
        <v>432</v>
      </c>
      <c r="B71" s="10" t="s">
        <v>433</v>
      </c>
      <c r="C71" s="10" t="s">
        <v>434</v>
      </c>
      <c r="D71" s="10" t="s">
        <v>435</v>
      </c>
      <c r="E71" s="10" t="s">
        <v>436</v>
      </c>
      <c r="F71" s="10" t="s">
        <v>437</v>
      </c>
    </row>
    <row r="72" spans="1:6">
      <c r="A72" s="10" t="s">
        <v>438</v>
      </c>
      <c r="B72" s="10" t="s">
        <v>439</v>
      </c>
      <c r="C72" s="10" t="s">
        <v>440</v>
      </c>
      <c r="D72" s="10" t="s">
        <v>441</v>
      </c>
      <c r="E72" s="10" t="s">
        <v>442</v>
      </c>
      <c r="F72" s="10" t="s">
        <v>443</v>
      </c>
    </row>
    <row r="73" spans="1:6">
      <c r="A73" s="10" t="s">
        <v>444</v>
      </c>
      <c r="B73" s="10" t="s">
        <v>445</v>
      </c>
      <c r="C73" s="10" t="s">
        <v>446</v>
      </c>
      <c r="D73" s="10" t="s">
        <v>447</v>
      </c>
      <c r="E73" s="10" t="s">
        <v>448</v>
      </c>
      <c r="F73" s="10" t="s">
        <v>449</v>
      </c>
    </row>
    <row r="74" spans="1:6">
      <c r="A74" s="10" t="s">
        <v>450</v>
      </c>
      <c r="B74" s="10" t="s">
        <v>451</v>
      </c>
      <c r="C74" s="10" t="s">
        <v>452</v>
      </c>
      <c r="D74" s="10" t="s">
        <v>453</v>
      </c>
      <c r="E74" s="10" t="s">
        <v>454</v>
      </c>
      <c r="F74" s="10" t="s">
        <v>455</v>
      </c>
    </row>
    <row r="75" spans="1:6">
      <c r="A75" s="10" t="s">
        <v>456</v>
      </c>
      <c r="B75" s="10" t="s">
        <v>457</v>
      </c>
      <c r="C75" s="10" t="s">
        <v>458</v>
      </c>
      <c r="D75" s="10" t="s">
        <v>459</v>
      </c>
      <c r="E75" s="10" t="s">
        <v>460</v>
      </c>
      <c r="F75" s="10" t="s">
        <v>461</v>
      </c>
    </row>
    <row r="76" spans="1:6">
      <c r="A76" s="10" t="s">
        <v>462</v>
      </c>
      <c r="B76" s="10" t="s">
        <v>463</v>
      </c>
      <c r="C76" s="10" t="s">
        <v>464</v>
      </c>
      <c r="D76" s="10" t="s">
        <v>465</v>
      </c>
      <c r="E76" s="10" t="s">
        <v>466</v>
      </c>
      <c r="F76" s="10" t="s">
        <v>467</v>
      </c>
    </row>
    <row r="77" spans="1:6">
      <c r="A77" s="10" t="s">
        <v>468</v>
      </c>
      <c r="B77" s="10" t="s">
        <v>469</v>
      </c>
      <c r="C77" s="10" t="s">
        <v>470</v>
      </c>
      <c r="D77" s="10" t="s">
        <v>471</v>
      </c>
      <c r="E77" s="10" t="s">
        <v>472</v>
      </c>
      <c r="F77" s="10" t="s">
        <v>473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81B9-765F-4598-A9FF-77288D73BB24}">
  <dimension ref="A1:F77"/>
  <sheetViews>
    <sheetView topLeftCell="A41" workbookViewId="0">
      <selection activeCell="C2" sqref="C2:F77"/>
    </sheetView>
  </sheetViews>
  <sheetFormatPr defaultRowHeight="14.4"/>
  <cols>
    <col min="1" max="1" width="18.77734375" bestFit="1" customWidth="1"/>
    <col min="2" max="2" width="10.77734375" bestFit="1" customWidth="1"/>
    <col min="3" max="6" width="18.77734375" bestFit="1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s="10" t="s">
        <v>0</v>
      </c>
      <c r="B2" s="10" t="s">
        <v>1</v>
      </c>
      <c r="C2" s="10" t="s">
        <v>2</v>
      </c>
      <c r="D2" s="10" t="s">
        <v>21</v>
      </c>
      <c r="E2" s="10" t="s">
        <v>22</v>
      </c>
      <c r="F2" s="10" t="s">
        <v>23</v>
      </c>
    </row>
    <row r="3" spans="1:6">
      <c r="A3" s="10" t="s">
        <v>474</v>
      </c>
      <c r="B3" s="10" t="s">
        <v>25</v>
      </c>
      <c r="C3" s="10" t="s">
        <v>475</v>
      </c>
      <c r="D3" s="10" t="s">
        <v>476</v>
      </c>
      <c r="E3" s="10" t="s">
        <v>477</v>
      </c>
      <c r="F3" s="10" t="s">
        <v>478</v>
      </c>
    </row>
    <row r="4" spans="1:6">
      <c r="A4" s="10" t="s">
        <v>479</v>
      </c>
      <c r="B4" s="10" t="s">
        <v>31</v>
      </c>
      <c r="C4" s="10" t="s">
        <v>480</v>
      </c>
      <c r="D4" s="10" t="s">
        <v>481</v>
      </c>
      <c r="E4" s="10" t="s">
        <v>482</v>
      </c>
      <c r="F4" s="10" t="s">
        <v>483</v>
      </c>
    </row>
    <row r="5" spans="1:6">
      <c r="A5" s="10" t="s">
        <v>484</v>
      </c>
      <c r="B5" s="10" t="s">
        <v>37</v>
      </c>
      <c r="C5" s="10" t="s">
        <v>485</v>
      </c>
      <c r="D5" s="10" t="s">
        <v>486</v>
      </c>
      <c r="E5" s="10" t="s">
        <v>487</v>
      </c>
      <c r="F5" s="10" t="s">
        <v>488</v>
      </c>
    </row>
    <row r="6" spans="1:6">
      <c r="A6" s="10" t="s">
        <v>489</v>
      </c>
      <c r="B6" s="10" t="s">
        <v>43</v>
      </c>
      <c r="C6" s="10" t="s">
        <v>490</v>
      </c>
      <c r="D6" s="10" t="s">
        <v>491</v>
      </c>
      <c r="E6" s="10" t="s">
        <v>492</v>
      </c>
      <c r="F6" s="10" t="s">
        <v>493</v>
      </c>
    </row>
    <row r="7" spans="1:6">
      <c r="A7" s="10" t="s">
        <v>494</v>
      </c>
      <c r="B7" s="10" t="s">
        <v>49</v>
      </c>
      <c r="C7" s="10" t="s">
        <v>495</v>
      </c>
      <c r="D7" s="10" t="s">
        <v>496</v>
      </c>
      <c r="E7" s="10" t="s">
        <v>497</v>
      </c>
      <c r="F7" s="10" t="s">
        <v>498</v>
      </c>
    </row>
    <row r="8" spans="1:6">
      <c r="A8" s="10" t="s">
        <v>499</v>
      </c>
      <c r="B8" s="10" t="s">
        <v>55</v>
      </c>
      <c r="C8" s="10" t="s">
        <v>500</v>
      </c>
      <c r="D8" s="10" t="s">
        <v>501</v>
      </c>
      <c r="E8" s="10" t="s">
        <v>502</v>
      </c>
      <c r="F8" s="10" t="s">
        <v>503</v>
      </c>
    </row>
    <row r="9" spans="1:6">
      <c r="A9" s="10" t="s">
        <v>504</v>
      </c>
      <c r="B9" s="10" t="s">
        <v>61</v>
      </c>
      <c r="C9" s="10" t="s">
        <v>505</v>
      </c>
      <c r="D9" s="10" t="s">
        <v>506</v>
      </c>
      <c r="E9" s="10" t="s">
        <v>507</v>
      </c>
      <c r="F9" s="10" t="s">
        <v>508</v>
      </c>
    </row>
    <row r="10" spans="1:6">
      <c r="A10" s="10" t="s">
        <v>509</v>
      </c>
      <c r="B10" s="10" t="s">
        <v>67</v>
      </c>
      <c r="C10" s="10" t="s">
        <v>510</v>
      </c>
      <c r="D10" s="10" t="s">
        <v>511</v>
      </c>
      <c r="E10" s="10" t="s">
        <v>512</v>
      </c>
      <c r="F10" s="10" t="s">
        <v>513</v>
      </c>
    </row>
    <row r="11" spans="1:6">
      <c r="A11" s="10" t="s">
        <v>514</v>
      </c>
      <c r="B11" s="10" t="s">
        <v>73</v>
      </c>
      <c r="C11" s="10" t="s">
        <v>515</v>
      </c>
      <c r="D11" s="10" t="s">
        <v>516</v>
      </c>
      <c r="E11" s="10" t="s">
        <v>517</v>
      </c>
      <c r="F11" s="10" t="s">
        <v>518</v>
      </c>
    </row>
    <row r="12" spans="1:6">
      <c r="A12" s="10" t="s">
        <v>519</v>
      </c>
      <c r="B12" s="10" t="s">
        <v>79</v>
      </c>
      <c r="C12" s="10" t="s">
        <v>520</v>
      </c>
      <c r="D12" s="10" t="s">
        <v>521</v>
      </c>
      <c r="E12" s="10" t="s">
        <v>522</v>
      </c>
      <c r="F12" s="10" t="s">
        <v>523</v>
      </c>
    </row>
    <row r="13" spans="1:6">
      <c r="A13" s="10" t="s">
        <v>524</v>
      </c>
      <c r="B13" s="10" t="s">
        <v>85</v>
      </c>
      <c r="C13" s="10" t="s">
        <v>525</v>
      </c>
      <c r="D13" s="10" t="s">
        <v>526</v>
      </c>
      <c r="E13" s="10" t="s">
        <v>527</v>
      </c>
      <c r="F13" s="10" t="s">
        <v>528</v>
      </c>
    </row>
    <row r="14" spans="1:6">
      <c r="A14" s="10" t="s">
        <v>529</v>
      </c>
      <c r="B14" s="10" t="s">
        <v>91</v>
      </c>
      <c r="C14" s="10" t="s">
        <v>530</v>
      </c>
      <c r="D14" s="10" t="s">
        <v>531</v>
      </c>
      <c r="E14" s="10" t="s">
        <v>532</v>
      </c>
      <c r="F14" s="10" t="s">
        <v>533</v>
      </c>
    </row>
    <row r="15" spans="1:6">
      <c r="A15" s="10" t="s">
        <v>534</v>
      </c>
      <c r="B15" s="10" t="s">
        <v>97</v>
      </c>
      <c r="C15" s="10" t="s">
        <v>535</v>
      </c>
      <c r="D15" s="10" t="s">
        <v>536</v>
      </c>
      <c r="E15" s="10" t="s">
        <v>537</v>
      </c>
      <c r="F15" s="10" t="s">
        <v>538</v>
      </c>
    </row>
    <row r="16" spans="1:6">
      <c r="A16" s="10" t="s">
        <v>539</v>
      </c>
      <c r="B16" s="10" t="s">
        <v>103</v>
      </c>
      <c r="C16" s="10" t="s">
        <v>540</v>
      </c>
      <c r="D16" s="10" t="s">
        <v>541</v>
      </c>
      <c r="E16" s="10" t="s">
        <v>542</v>
      </c>
      <c r="F16" s="10" t="s">
        <v>543</v>
      </c>
    </row>
    <row r="17" spans="1:6">
      <c r="A17" s="10" t="s">
        <v>544</v>
      </c>
      <c r="B17" s="10" t="s">
        <v>109</v>
      </c>
      <c r="C17" s="10" t="s">
        <v>545</v>
      </c>
      <c r="D17" s="10" t="s">
        <v>546</v>
      </c>
      <c r="E17" s="10" t="s">
        <v>547</v>
      </c>
      <c r="F17" s="10" t="s">
        <v>548</v>
      </c>
    </row>
    <row r="18" spans="1:6">
      <c r="A18" s="10" t="s">
        <v>549</v>
      </c>
      <c r="B18" s="10" t="s">
        <v>115</v>
      </c>
      <c r="C18" s="10" t="s">
        <v>550</v>
      </c>
      <c r="D18" s="10" t="s">
        <v>551</v>
      </c>
      <c r="E18" s="10" t="s">
        <v>552</v>
      </c>
      <c r="F18" s="10" t="s">
        <v>553</v>
      </c>
    </row>
    <row r="19" spans="1:6">
      <c r="A19" s="10" t="s">
        <v>554</v>
      </c>
      <c r="B19" s="10" t="s">
        <v>121</v>
      </c>
      <c r="C19" s="10" t="s">
        <v>555</v>
      </c>
      <c r="D19" s="10" t="s">
        <v>556</v>
      </c>
      <c r="E19" s="10" t="s">
        <v>557</v>
      </c>
      <c r="F19" s="10" t="s">
        <v>558</v>
      </c>
    </row>
    <row r="20" spans="1:6">
      <c r="A20" s="10" t="s">
        <v>559</v>
      </c>
      <c r="B20" s="10" t="s">
        <v>127</v>
      </c>
      <c r="C20" s="10" t="s">
        <v>560</v>
      </c>
      <c r="D20" s="10" t="s">
        <v>561</v>
      </c>
      <c r="E20" s="10" t="s">
        <v>562</v>
      </c>
      <c r="F20" s="10" t="s">
        <v>563</v>
      </c>
    </row>
    <row r="21" spans="1:6">
      <c r="A21" s="10" t="s">
        <v>564</v>
      </c>
      <c r="B21" s="10" t="s">
        <v>133</v>
      </c>
      <c r="C21" s="10" t="s">
        <v>565</v>
      </c>
      <c r="D21" s="10" t="s">
        <v>566</v>
      </c>
      <c r="E21" s="10" t="s">
        <v>567</v>
      </c>
      <c r="F21" s="10" t="s">
        <v>568</v>
      </c>
    </row>
    <row r="22" spans="1:6">
      <c r="A22" s="10" t="s">
        <v>569</v>
      </c>
      <c r="B22" s="10" t="s">
        <v>139</v>
      </c>
      <c r="C22" s="10" t="s">
        <v>570</v>
      </c>
      <c r="D22" s="10" t="s">
        <v>571</v>
      </c>
      <c r="E22" s="10" t="s">
        <v>572</v>
      </c>
      <c r="F22" s="10" t="s">
        <v>573</v>
      </c>
    </row>
    <row r="23" spans="1:6">
      <c r="A23" s="10" t="s">
        <v>574</v>
      </c>
      <c r="B23" s="10" t="s">
        <v>145</v>
      </c>
      <c r="C23" s="10" t="s">
        <v>575</v>
      </c>
      <c r="D23" s="10" t="s">
        <v>576</v>
      </c>
      <c r="E23" s="10" t="s">
        <v>577</v>
      </c>
      <c r="F23" s="10" t="s">
        <v>578</v>
      </c>
    </row>
    <row r="24" spans="1:6">
      <c r="A24" s="10" t="s">
        <v>579</v>
      </c>
      <c r="B24" s="10" t="s">
        <v>151</v>
      </c>
      <c r="C24" s="10" t="s">
        <v>580</v>
      </c>
      <c r="D24" s="10" t="s">
        <v>581</v>
      </c>
      <c r="E24" s="10" t="s">
        <v>582</v>
      </c>
      <c r="F24" s="10" t="s">
        <v>583</v>
      </c>
    </row>
    <row r="25" spans="1:6">
      <c r="A25" s="10" t="s">
        <v>584</v>
      </c>
      <c r="B25" s="10" t="s">
        <v>157</v>
      </c>
      <c r="C25" s="10" t="s">
        <v>585</v>
      </c>
      <c r="D25" s="10" t="s">
        <v>586</v>
      </c>
      <c r="E25" s="10" t="s">
        <v>587</v>
      </c>
      <c r="F25" s="10" t="s">
        <v>588</v>
      </c>
    </row>
    <row r="26" spans="1:6">
      <c r="A26" s="10" t="s">
        <v>589</v>
      </c>
      <c r="B26" s="10" t="s">
        <v>163</v>
      </c>
      <c r="C26" s="10" t="s">
        <v>590</v>
      </c>
      <c r="D26" s="10" t="s">
        <v>591</v>
      </c>
      <c r="E26" s="10" t="s">
        <v>592</v>
      </c>
      <c r="F26" s="10" t="s">
        <v>593</v>
      </c>
    </row>
    <row r="27" spans="1:6">
      <c r="A27" s="10" t="s">
        <v>594</v>
      </c>
      <c r="B27" s="10" t="s">
        <v>169</v>
      </c>
      <c r="C27" s="10" t="s">
        <v>595</v>
      </c>
      <c r="D27" s="10" t="s">
        <v>596</v>
      </c>
      <c r="E27" s="10" t="s">
        <v>597</v>
      </c>
      <c r="F27" s="10" t="s">
        <v>598</v>
      </c>
    </row>
    <row r="28" spans="1:6">
      <c r="A28" s="10" t="s">
        <v>599</v>
      </c>
      <c r="B28" s="10" t="s">
        <v>175</v>
      </c>
      <c r="C28" s="10" t="s">
        <v>600</v>
      </c>
      <c r="D28" s="10" t="s">
        <v>601</v>
      </c>
      <c r="E28" s="10" t="s">
        <v>602</v>
      </c>
      <c r="F28" s="10" t="s">
        <v>603</v>
      </c>
    </row>
    <row r="29" spans="1:6">
      <c r="A29" s="10" t="s">
        <v>604</v>
      </c>
      <c r="B29" s="10" t="s">
        <v>181</v>
      </c>
      <c r="C29" s="10" t="s">
        <v>605</v>
      </c>
      <c r="D29" s="10" t="s">
        <v>606</v>
      </c>
      <c r="E29" s="10" t="s">
        <v>607</v>
      </c>
      <c r="F29" s="10" t="s">
        <v>413</v>
      </c>
    </row>
    <row r="30" spans="1:6">
      <c r="A30" s="10" t="s">
        <v>608</v>
      </c>
      <c r="B30" s="10" t="s">
        <v>187</v>
      </c>
      <c r="C30" s="10" t="s">
        <v>609</v>
      </c>
      <c r="D30" s="10" t="s">
        <v>610</v>
      </c>
      <c r="E30" s="10" t="s">
        <v>611</v>
      </c>
      <c r="F30" s="10" t="s">
        <v>612</v>
      </c>
    </row>
    <row r="31" spans="1:6">
      <c r="A31" s="10" t="s">
        <v>613</v>
      </c>
      <c r="B31" s="10" t="s">
        <v>193</v>
      </c>
      <c r="C31" s="10" t="s">
        <v>614</v>
      </c>
      <c r="D31" s="10" t="s">
        <v>615</v>
      </c>
      <c r="E31" s="10" t="s">
        <v>616</v>
      </c>
      <c r="F31" s="10" t="s">
        <v>617</v>
      </c>
    </row>
    <row r="32" spans="1:6">
      <c r="A32" s="10" t="s">
        <v>618</v>
      </c>
      <c r="B32" s="10" t="s">
        <v>199</v>
      </c>
      <c r="C32" s="10" t="s">
        <v>619</v>
      </c>
      <c r="D32" s="10" t="s">
        <v>620</v>
      </c>
      <c r="E32" s="10" t="s">
        <v>621</v>
      </c>
      <c r="F32" s="10" t="s">
        <v>622</v>
      </c>
    </row>
    <row r="33" spans="1:6">
      <c r="A33" s="10" t="s">
        <v>623</v>
      </c>
      <c r="B33" s="10" t="s">
        <v>205</v>
      </c>
      <c r="C33" s="10" t="s">
        <v>624</v>
      </c>
      <c r="D33" s="10" t="s">
        <v>625</v>
      </c>
      <c r="E33" s="10" t="s">
        <v>626</v>
      </c>
      <c r="F33" s="10" t="s">
        <v>627</v>
      </c>
    </row>
    <row r="34" spans="1:6">
      <c r="A34" s="10" t="s">
        <v>628</v>
      </c>
      <c r="B34" s="10" t="s">
        <v>211</v>
      </c>
      <c r="C34" s="10" t="s">
        <v>629</v>
      </c>
      <c r="D34" s="10" t="s">
        <v>630</v>
      </c>
      <c r="E34" s="10" t="s">
        <v>631</v>
      </c>
      <c r="F34" s="10" t="s">
        <v>632</v>
      </c>
    </row>
    <row r="35" spans="1:6">
      <c r="A35" s="10" t="s">
        <v>633</v>
      </c>
      <c r="B35" s="10" t="s">
        <v>217</v>
      </c>
      <c r="C35" s="10" t="s">
        <v>634</v>
      </c>
      <c r="D35" s="10" t="s">
        <v>635</v>
      </c>
      <c r="E35" s="10" t="s">
        <v>636</v>
      </c>
      <c r="F35" s="10" t="s">
        <v>637</v>
      </c>
    </row>
    <row r="36" spans="1:6">
      <c r="A36" s="10" t="s">
        <v>638</v>
      </c>
      <c r="B36" s="10" t="s">
        <v>223</v>
      </c>
      <c r="C36" s="10" t="s">
        <v>639</v>
      </c>
      <c r="D36" s="10" t="s">
        <v>640</v>
      </c>
      <c r="E36" s="10" t="s">
        <v>641</v>
      </c>
      <c r="F36" s="10" t="s">
        <v>642</v>
      </c>
    </row>
    <row r="37" spans="1:6">
      <c r="A37" s="10" t="s">
        <v>643</v>
      </c>
      <c r="B37" s="10" t="s">
        <v>229</v>
      </c>
      <c r="C37" s="10" t="s">
        <v>644</v>
      </c>
      <c r="D37" s="10" t="s">
        <v>645</v>
      </c>
      <c r="E37" s="10" t="s">
        <v>646</v>
      </c>
      <c r="F37" s="10" t="s">
        <v>647</v>
      </c>
    </row>
    <row r="38" spans="1:6">
      <c r="A38" s="10" t="s">
        <v>648</v>
      </c>
      <c r="B38" s="10" t="s">
        <v>235</v>
      </c>
      <c r="C38" s="10" t="s">
        <v>649</v>
      </c>
      <c r="D38" s="10" t="s">
        <v>650</v>
      </c>
      <c r="E38" s="10" t="s">
        <v>651</v>
      </c>
      <c r="F38" s="10" t="s">
        <v>652</v>
      </c>
    </row>
    <row r="39" spans="1:6">
      <c r="A39" s="10" t="s">
        <v>653</v>
      </c>
      <c r="B39" s="10" t="s">
        <v>241</v>
      </c>
      <c r="C39" s="10" t="s">
        <v>654</v>
      </c>
      <c r="D39" s="10" t="s">
        <v>655</v>
      </c>
      <c r="E39" s="10" t="s">
        <v>656</v>
      </c>
      <c r="F39" s="10" t="s">
        <v>47</v>
      </c>
    </row>
    <row r="40" spans="1:6">
      <c r="A40" s="10" t="s">
        <v>657</v>
      </c>
      <c r="B40" s="10" t="s">
        <v>247</v>
      </c>
      <c r="C40" s="10" t="s">
        <v>658</v>
      </c>
      <c r="D40" s="10" t="s">
        <v>659</v>
      </c>
      <c r="E40" s="10" t="s">
        <v>660</v>
      </c>
      <c r="F40" s="10" t="s">
        <v>661</v>
      </c>
    </row>
    <row r="41" spans="1:6">
      <c r="A41" s="10" t="s">
        <v>662</v>
      </c>
      <c r="B41" s="10" t="s">
        <v>253</v>
      </c>
      <c r="C41" s="10" t="s">
        <v>663</v>
      </c>
      <c r="D41" s="10" t="s">
        <v>664</v>
      </c>
      <c r="E41" s="10" t="s">
        <v>665</v>
      </c>
      <c r="F41" s="10" t="s">
        <v>666</v>
      </c>
    </row>
    <row r="42" spans="1:6">
      <c r="A42" s="10" t="s">
        <v>667</v>
      </c>
      <c r="B42" s="10" t="s">
        <v>259</v>
      </c>
      <c r="C42" s="10" t="s">
        <v>668</v>
      </c>
      <c r="D42" s="10" t="s">
        <v>669</v>
      </c>
      <c r="E42" s="10" t="s">
        <v>670</v>
      </c>
      <c r="F42" s="10" t="s">
        <v>671</v>
      </c>
    </row>
    <row r="43" spans="1:6">
      <c r="A43" s="10" t="s">
        <v>672</v>
      </c>
      <c r="B43" s="10" t="s">
        <v>265</v>
      </c>
      <c r="C43" s="10" t="s">
        <v>673</v>
      </c>
      <c r="D43" s="10" t="s">
        <v>674</v>
      </c>
      <c r="E43" s="10" t="s">
        <v>675</v>
      </c>
      <c r="F43" s="10" t="s">
        <v>676</v>
      </c>
    </row>
    <row r="44" spans="1:6">
      <c r="A44" s="10" t="s">
        <v>677</v>
      </c>
      <c r="B44" s="10" t="s">
        <v>271</v>
      </c>
      <c r="C44" s="10" t="s">
        <v>678</v>
      </c>
      <c r="D44" s="10" t="s">
        <v>679</v>
      </c>
      <c r="E44" s="10" t="s">
        <v>680</v>
      </c>
      <c r="F44" s="10" t="s">
        <v>269</v>
      </c>
    </row>
    <row r="45" spans="1:6">
      <c r="A45" s="10" t="s">
        <v>681</v>
      </c>
      <c r="B45" s="10" t="s">
        <v>277</v>
      </c>
      <c r="C45" s="10" t="s">
        <v>682</v>
      </c>
      <c r="D45" s="10" t="s">
        <v>683</v>
      </c>
      <c r="E45" s="10" t="s">
        <v>684</v>
      </c>
      <c r="F45" s="10" t="s">
        <v>685</v>
      </c>
    </row>
    <row r="46" spans="1:6">
      <c r="A46" s="10" t="s">
        <v>686</v>
      </c>
      <c r="B46" s="10" t="s">
        <v>283</v>
      </c>
      <c r="C46" s="10" t="s">
        <v>687</v>
      </c>
      <c r="D46" s="10" t="s">
        <v>688</v>
      </c>
      <c r="E46" s="10" t="s">
        <v>689</v>
      </c>
      <c r="F46" s="10" t="s">
        <v>690</v>
      </c>
    </row>
    <row r="47" spans="1:6">
      <c r="A47" s="10" t="s">
        <v>691</v>
      </c>
      <c r="B47" s="10" t="s">
        <v>289</v>
      </c>
      <c r="C47" s="10" t="s">
        <v>692</v>
      </c>
      <c r="D47" s="10" t="s">
        <v>693</v>
      </c>
      <c r="E47" s="10" t="s">
        <v>694</v>
      </c>
      <c r="F47" s="10" t="s">
        <v>695</v>
      </c>
    </row>
    <row r="48" spans="1:6">
      <c r="A48" s="10" t="s">
        <v>696</v>
      </c>
      <c r="B48" s="10" t="s">
        <v>295</v>
      </c>
      <c r="C48" s="10" t="s">
        <v>697</v>
      </c>
      <c r="D48" s="10" t="s">
        <v>698</v>
      </c>
      <c r="E48" s="10" t="s">
        <v>699</v>
      </c>
      <c r="F48" s="10" t="s">
        <v>700</v>
      </c>
    </row>
    <row r="49" spans="1:6">
      <c r="A49" s="10" t="s">
        <v>701</v>
      </c>
      <c r="B49" s="10" t="s">
        <v>301</v>
      </c>
      <c r="C49" s="10" t="s">
        <v>702</v>
      </c>
      <c r="D49" s="10" t="s">
        <v>703</v>
      </c>
      <c r="E49" s="10" t="s">
        <v>704</v>
      </c>
      <c r="F49" s="10" t="s">
        <v>705</v>
      </c>
    </row>
    <row r="50" spans="1:6">
      <c r="A50" s="10" t="s">
        <v>706</v>
      </c>
      <c r="B50" s="10" t="s">
        <v>307</v>
      </c>
      <c r="C50" s="10" t="s">
        <v>707</v>
      </c>
      <c r="D50" s="10" t="s">
        <v>708</v>
      </c>
      <c r="E50" s="10" t="s">
        <v>709</v>
      </c>
      <c r="F50" s="10" t="s">
        <v>710</v>
      </c>
    </row>
    <row r="51" spans="1:6">
      <c r="A51" s="10" t="s">
        <v>711</v>
      </c>
      <c r="B51" s="10" t="s">
        <v>313</v>
      </c>
      <c r="C51" s="10" t="s">
        <v>712</v>
      </c>
      <c r="D51" s="10" t="s">
        <v>713</v>
      </c>
      <c r="E51" s="10" t="s">
        <v>714</v>
      </c>
      <c r="F51" s="10" t="s">
        <v>715</v>
      </c>
    </row>
    <row r="52" spans="1:6">
      <c r="A52" s="10" t="s">
        <v>716</v>
      </c>
      <c r="B52" s="10" t="s">
        <v>319</v>
      </c>
      <c r="C52" s="10" t="s">
        <v>717</v>
      </c>
      <c r="D52" s="10" t="s">
        <v>718</v>
      </c>
      <c r="E52" s="10" t="s">
        <v>719</v>
      </c>
      <c r="F52" s="10" t="s">
        <v>720</v>
      </c>
    </row>
    <row r="53" spans="1:6">
      <c r="A53" s="10" t="s">
        <v>721</v>
      </c>
      <c r="B53" s="10" t="s">
        <v>325</v>
      </c>
      <c r="C53" s="10" t="s">
        <v>722</v>
      </c>
      <c r="D53" s="10" t="s">
        <v>723</v>
      </c>
      <c r="E53" s="10" t="s">
        <v>724</v>
      </c>
      <c r="F53" s="10" t="s">
        <v>725</v>
      </c>
    </row>
    <row r="54" spans="1:6">
      <c r="A54" s="10" t="s">
        <v>726</v>
      </c>
      <c r="B54" s="10" t="s">
        <v>331</v>
      </c>
      <c r="C54" s="10" t="s">
        <v>727</v>
      </c>
      <c r="D54" s="10" t="s">
        <v>728</v>
      </c>
      <c r="E54" s="10" t="s">
        <v>729</v>
      </c>
      <c r="F54" s="10" t="s">
        <v>730</v>
      </c>
    </row>
    <row r="55" spans="1:6">
      <c r="A55" s="10" t="s">
        <v>731</v>
      </c>
      <c r="B55" s="10" t="s">
        <v>337</v>
      </c>
      <c r="C55" s="10" t="s">
        <v>732</v>
      </c>
      <c r="D55" s="10" t="s">
        <v>733</v>
      </c>
      <c r="E55" s="10" t="s">
        <v>734</v>
      </c>
      <c r="F55" s="10" t="s">
        <v>735</v>
      </c>
    </row>
    <row r="56" spans="1:6">
      <c r="A56" s="10" t="s">
        <v>736</v>
      </c>
      <c r="B56" s="10" t="s">
        <v>343</v>
      </c>
      <c r="C56" s="10" t="s">
        <v>737</v>
      </c>
      <c r="D56" s="10" t="s">
        <v>738</v>
      </c>
      <c r="E56" s="10" t="s">
        <v>739</v>
      </c>
      <c r="F56" s="10" t="s">
        <v>740</v>
      </c>
    </row>
    <row r="57" spans="1:6">
      <c r="A57" s="10" t="s">
        <v>741</v>
      </c>
      <c r="B57" s="10" t="s">
        <v>349</v>
      </c>
      <c r="C57" s="10" t="s">
        <v>742</v>
      </c>
      <c r="D57" s="10" t="s">
        <v>743</v>
      </c>
      <c r="E57" s="10" t="s">
        <v>744</v>
      </c>
      <c r="F57" s="10" t="s">
        <v>745</v>
      </c>
    </row>
    <row r="58" spans="1:6">
      <c r="A58" s="10" t="s">
        <v>746</v>
      </c>
      <c r="B58" s="10" t="s">
        <v>355</v>
      </c>
      <c r="C58" s="10" t="s">
        <v>747</v>
      </c>
      <c r="D58" s="10" t="s">
        <v>748</v>
      </c>
      <c r="E58" s="10" t="s">
        <v>749</v>
      </c>
      <c r="F58" s="10" t="s">
        <v>750</v>
      </c>
    </row>
    <row r="59" spans="1:6">
      <c r="A59" s="10" t="s">
        <v>751</v>
      </c>
      <c r="B59" s="10" t="s">
        <v>361</v>
      </c>
      <c r="C59" s="10" t="s">
        <v>752</v>
      </c>
      <c r="D59" s="10" t="s">
        <v>753</v>
      </c>
      <c r="E59" s="10" t="s">
        <v>754</v>
      </c>
      <c r="F59" s="10" t="s">
        <v>755</v>
      </c>
    </row>
    <row r="60" spans="1:6">
      <c r="A60" s="10" t="s">
        <v>756</v>
      </c>
      <c r="B60" s="10" t="s">
        <v>367</v>
      </c>
      <c r="C60" s="10" t="s">
        <v>757</v>
      </c>
      <c r="D60" s="10" t="s">
        <v>758</v>
      </c>
      <c r="E60" s="10" t="s">
        <v>759</v>
      </c>
      <c r="F60" s="10" t="s">
        <v>760</v>
      </c>
    </row>
    <row r="61" spans="1:6">
      <c r="A61" s="10" t="s">
        <v>761</v>
      </c>
      <c r="B61" s="10" t="s">
        <v>373</v>
      </c>
      <c r="C61" s="10" t="s">
        <v>762</v>
      </c>
      <c r="D61" s="10" t="s">
        <v>763</v>
      </c>
      <c r="E61" s="10" t="s">
        <v>764</v>
      </c>
      <c r="F61" s="10" t="s">
        <v>765</v>
      </c>
    </row>
    <row r="62" spans="1:6">
      <c r="A62" s="10" t="s">
        <v>766</v>
      </c>
      <c r="B62" s="10" t="s">
        <v>379</v>
      </c>
      <c r="C62" s="10" t="s">
        <v>767</v>
      </c>
      <c r="D62" s="10" t="s">
        <v>768</v>
      </c>
      <c r="E62" s="10" t="s">
        <v>769</v>
      </c>
      <c r="F62" s="10" t="s">
        <v>770</v>
      </c>
    </row>
    <row r="63" spans="1:6">
      <c r="A63" s="10" t="s">
        <v>771</v>
      </c>
      <c r="B63" s="10" t="s">
        <v>385</v>
      </c>
      <c r="C63" s="10" t="s">
        <v>772</v>
      </c>
      <c r="D63" s="10" t="s">
        <v>773</v>
      </c>
      <c r="E63" s="10" t="s">
        <v>774</v>
      </c>
      <c r="F63" s="10" t="s">
        <v>775</v>
      </c>
    </row>
    <row r="64" spans="1:6">
      <c r="A64" s="10" t="s">
        <v>776</v>
      </c>
      <c r="B64" s="10" t="s">
        <v>391</v>
      </c>
      <c r="C64" s="10" t="s">
        <v>777</v>
      </c>
      <c r="D64" s="10" t="s">
        <v>778</v>
      </c>
      <c r="E64" s="10" t="s">
        <v>779</v>
      </c>
      <c r="F64" s="10" t="s">
        <v>377</v>
      </c>
    </row>
    <row r="65" spans="1:6">
      <c r="A65" s="10" t="s">
        <v>780</v>
      </c>
      <c r="B65" s="10" t="s">
        <v>397</v>
      </c>
      <c r="C65" s="10" t="s">
        <v>781</v>
      </c>
      <c r="D65" s="10" t="s">
        <v>782</v>
      </c>
      <c r="E65" s="10" t="s">
        <v>783</v>
      </c>
      <c r="F65" s="10" t="s">
        <v>784</v>
      </c>
    </row>
    <row r="66" spans="1:6">
      <c r="A66" s="10" t="s">
        <v>785</v>
      </c>
      <c r="B66" s="10" t="s">
        <v>403</v>
      </c>
      <c r="C66" s="10" t="s">
        <v>786</v>
      </c>
      <c r="D66" s="10" t="s">
        <v>787</v>
      </c>
      <c r="E66" s="10" t="s">
        <v>788</v>
      </c>
      <c r="F66" s="10" t="s">
        <v>789</v>
      </c>
    </row>
    <row r="67" spans="1:6">
      <c r="A67" s="10" t="s">
        <v>790</v>
      </c>
      <c r="B67" s="10" t="s">
        <v>409</v>
      </c>
      <c r="C67" s="10" t="s">
        <v>791</v>
      </c>
      <c r="D67" s="10" t="s">
        <v>792</v>
      </c>
      <c r="E67" s="10" t="s">
        <v>793</v>
      </c>
      <c r="F67" s="10" t="s">
        <v>794</v>
      </c>
    </row>
    <row r="68" spans="1:6">
      <c r="A68" s="10" t="s">
        <v>795</v>
      </c>
      <c r="B68" s="10" t="s">
        <v>415</v>
      </c>
      <c r="C68" s="10" t="s">
        <v>796</v>
      </c>
      <c r="D68" s="10" t="s">
        <v>797</v>
      </c>
      <c r="E68" s="10" t="s">
        <v>798</v>
      </c>
      <c r="F68" s="10" t="s">
        <v>799</v>
      </c>
    </row>
    <row r="69" spans="1:6">
      <c r="A69" s="10" t="s">
        <v>800</v>
      </c>
      <c r="B69" s="10" t="s">
        <v>421</v>
      </c>
      <c r="C69" s="10" t="s">
        <v>801</v>
      </c>
      <c r="D69" s="10" t="s">
        <v>802</v>
      </c>
      <c r="E69" s="10" t="s">
        <v>803</v>
      </c>
      <c r="F69" s="10" t="s">
        <v>804</v>
      </c>
    </row>
    <row r="70" spans="1:6">
      <c r="A70" s="10" t="s">
        <v>805</v>
      </c>
      <c r="B70" s="10" t="s">
        <v>427</v>
      </c>
      <c r="C70" s="10" t="s">
        <v>806</v>
      </c>
      <c r="D70" s="10" t="s">
        <v>807</v>
      </c>
      <c r="E70" s="10" t="s">
        <v>808</v>
      </c>
      <c r="F70" s="10" t="s">
        <v>809</v>
      </c>
    </row>
    <row r="71" spans="1:6">
      <c r="A71" s="10" t="s">
        <v>810</v>
      </c>
      <c r="B71" s="10" t="s">
        <v>433</v>
      </c>
      <c r="C71" s="10" t="s">
        <v>811</v>
      </c>
      <c r="D71" s="10" t="s">
        <v>812</v>
      </c>
      <c r="E71" s="10" t="s">
        <v>813</v>
      </c>
      <c r="F71" s="10" t="s">
        <v>814</v>
      </c>
    </row>
    <row r="72" spans="1:6">
      <c r="A72" s="10" t="s">
        <v>815</v>
      </c>
      <c r="B72" s="10" t="s">
        <v>439</v>
      </c>
      <c r="C72" s="10" t="s">
        <v>816</v>
      </c>
      <c r="D72" s="10" t="s">
        <v>817</v>
      </c>
      <c r="E72" s="10" t="s">
        <v>818</v>
      </c>
      <c r="F72" s="10" t="s">
        <v>819</v>
      </c>
    </row>
    <row r="73" spans="1:6">
      <c r="A73" s="10" t="s">
        <v>820</v>
      </c>
      <c r="B73" s="10" t="s">
        <v>445</v>
      </c>
      <c r="C73" s="10" t="s">
        <v>821</v>
      </c>
      <c r="D73" s="10" t="s">
        <v>822</v>
      </c>
      <c r="E73" s="10" t="s">
        <v>823</v>
      </c>
      <c r="F73" s="10" t="s">
        <v>824</v>
      </c>
    </row>
    <row r="74" spans="1:6">
      <c r="A74" s="10" t="s">
        <v>825</v>
      </c>
      <c r="B74" s="10" t="s">
        <v>451</v>
      </c>
      <c r="C74" s="10" t="s">
        <v>826</v>
      </c>
      <c r="D74" s="10" t="s">
        <v>827</v>
      </c>
      <c r="E74" s="10" t="s">
        <v>828</v>
      </c>
      <c r="F74" s="10" t="s">
        <v>829</v>
      </c>
    </row>
    <row r="75" spans="1:6">
      <c r="A75" s="10" t="s">
        <v>830</v>
      </c>
      <c r="B75" s="10" t="s">
        <v>457</v>
      </c>
      <c r="C75" s="10" t="s">
        <v>831</v>
      </c>
      <c r="D75" s="10" t="s">
        <v>832</v>
      </c>
      <c r="E75" s="10" t="s">
        <v>833</v>
      </c>
      <c r="F75" s="10" t="s">
        <v>834</v>
      </c>
    </row>
    <row r="76" spans="1:6">
      <c r="A76" s="10" t="s">
        <v>835</v>
      </c>
      <c r="B76" s="10" t="s">
        <v>463</v>
      </c>
      <c r="C76" s="10" t="s">
        <v>836</v>
      </c>
      <c r="D76" s="10" t="s">
        <v>837</v>
      </c>
      <c r="E76" s="10" t="s">
        <v>838</v>
      </c>
      <c r="F76" s="10" t="s">
        <v>839</v>
      </c>
    </row>
    <row r="77" spans="1:6">
      <c r="A77" s="10" t="s">
        <v>840</v>
      </c>
      <c r="B77" s="10" t="s">
        <v>469</v>
      </c>
      <c r="C77" s="10" t="s">
        <v>841</v>
      </c>
      <c r="D77" s="10" t="s">
        <v>842</v>
      </c>
      <c r="E77" s="10" t="s">
        <v>843</v>
      </c>
      <c r="F77" s="10" t="s">
        <v>844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A27B-F379-46E7-A9B7-7FF691ADC59E}">
  <dimension ref="A1:F77"/>
  <sheetViews>
    <sheetView topLeftCell="A76" workbookViewId="0">
      <selection activeCell="C2" sqref="C2:F77"/>
    </sheetView>
  </sheetViews>
  <sheetFormatPr defaultRowHeight="14.4"/>
  <cols>
    <col min="1" max="1" width="18.77734375" bestFit="1" customWidth="1"/>
    <col min="2" max="2" width="10.77734375" bestFit="1" customWidth="1"/>
    <col min="3" max="6" width="18.77734375" bestFit="1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s="10" t="s">
        <v>0</v>
      </c>
      <c r="B2" s="10" t="s">
        <v>1</v>
      </c>
      <c r="C2" s="10" t="s">
        <v>2</v>
      </c>
      <c r="D2" s="10" t="s">
        <v>21</v>
      </c>
      <c r="E2" s="10" t="s">
        <v>22</v>
      </c>
      <c r="F2" s="10" t="s">
        <v>23</v>
      </c>
    </row>
    <row r="3" spans="1:6">
      <c r="A3" s="10" t="s">
        <v>845</v>
      </c>
      <c r="B3" s="10" t="s">
        <v>25</v>
      </c>
      <c r="C3" s="10" t="s">
        <v>846</v>
      </c>
      <c r="D3" s="10" t="s">
        <v>847</v>
      </c>
      <c r="E3" s="10" t="s">
        <v>848</v>
      </c>
      <c r="F3" s="10" t="s">
        <v>849</v>
      </c>
    </row>
    <row r="4" spans="1:6">
      <c r="A4" s="10" t="s">
        <v>850</v>
      </c>
      <c r="B4" s="10" t="s">
        <v>31</v>
      </c>
      <c r="C4" s="10" t="s">
        <v>851</v>
      </c>
      <c r="D4" s="10" t="s">
        <v>852</v>
      </c>
      <c r="E4" s="10" t="s">
        <v>853</v>
      </c>
      <c r="F4" s="10" t="s">
        <v>854</v>
      </c>
    </row>
    <row r="5" spans="1:6">
      <c r="A5" s="10" t="s">
        <v>855</v>
      </c>
      <c r="B5" s="10" t="s">
        <v>37</v>
      </c>
      <c r="C5" s="10" t="s">
        <v>856</v>
      </c>
      <c r="D5" s="10" t="s">
        <v>857</v>
      </c>
      <c r="E5" s="10" t="s">
        <v>858</v>
      </c>
      <c r="F5" s="10" t="s">
        <v>859</v>
      </c>
    </row>
    <row r="6" spans="1:6">
      <c r="A6" s="10" t="s">
        <v>860</v>
      </c>
      <c r="B6" s="10" t="s">
        <v>43</v>
      </c>
      <c r="C6" s="10" t="s">
        <v>861</v>
      </c>
      <c r="D6" s="10" t="s">
        <v>862</v>
      </c>
      <c r="E6" s="10" t="s">
        <v>863</v>
      </c>
      <c r="F6" s="10" t="s">
        <v>864</v>
      </c>
    </row>
    <row r="7" spans="1:6">
      <c r="A7" s="10" t="s">
        <v>865</v>
      </c>
      <c r="B7" s="10" t="s">
        <v>49</v>
      </c>
      <c r="C7" s="10" t="s">
        <v>866</v>
      </c>
      <c r="D7" s="10" t="s">
        <v>867</v>
      </c>
      <c r="E7" s="10" t="s">
        <v>868</v>
      </c>
      <c r="F7" s="10" t="s">
        <v>869</v>
      </c>
    </row>
    <row r="8" spans="1:6">
      <c r="A8" s="10" t="s">
        <v>870</v>
      </c>
      <c r="B8" s="10" t="s">
        <v>55</v>
      </c>
      <c r="C8" s="10" t="s">
        <v>871</v>
      </c>
      <c r="D8" s="10" t="s">
        <v>872</v>
      </c>
      <c r="E8" s="10" t="s">
        <v>873</v>
      </c>
      <c r="F8" s="10" t="s">
        <v>874</v>
      </c>
    </row>
    <row r="9" spans="1:6">
      <c r="A9" s="10" t="s">
        <v>875</v>
      </c>
      <c r="B9" s="10" t="s">
        <v>61</v>
      </c>
      <c r="C9" s="10" t="s">
        <v>876</v>
      </c>
      <c r="D9" s="10" t="s">
        <v>877</v>
      </c>
      <c r="E9" s="10" t="s">
        <v>878</v>
      </c>
      <c r="F9" s="10" t="s">
        <v>879</v>
      </c>
    </row>
    <row r="10" spans="1:6">
      <c r="A10" s="10" t="s">
        <v>880</v>
      </c>
      <c r="B10" s="10" t="s">
        <v>67</v>
      </c>
      <c r="C10" s="10" t="s">
        <v>881</v>
      </c>
      <c r="D10" s="10" t="s">
        <v>882</v>
      </c>
      <c r="E10" s="10" t="s">
        <v>883</v>
      </c>
      <c r="F10" s="10" t="s">
        <v>884</v>
      </c>
    </row>
    <row r="11" spans="1:6">
      <c r="A11" s="10" t="s">
        <v>885</v>
      </c>
      <c r="B11" s="10" t="s">
        <v>73</v>
      </c>
      <c r="C11" s="10" t="s">
        <v>886</v>
      </c>
      <c r="D11" s="10" t="s">
        <v>887</v>
      </c>
      <c r="E11" s="10" t="s">
        <v>888</v>
      </c>
      <c r="F11" s="10" t="s">
        <v>889</v>
      </c>
    </row>
    <row r="12" spans="1:6">
      <c r="A12" s="10" t="s">
        <v>890</v>
      </c>
      <c r="B12" s="10" t="s">
        <v>79</v>
      </c>
      <c r="C12" s="10" t="s">
        <v>891</v>
      </c>
      <c r="D12" s="10" t="s">
        <v>892</v>
      </c>
      <c r="E12" s="10" t="s">
        <v>893</v>
      </c>
      <c r="F12" s="10" t="s">
        <v>894</v>
      </c>
    </row>
    <row r="13" spans="1:6">
      <c r="A13" s="10" t="s">
        <v>895</v>
      </c>
      <c r="B13" s="10" t="s">
        <v>85</v>
      </c>
      <c r="C13" s="10" t="s">
        <v>896</v>
      </c>
      <c r="D13" s="10" t="s">
        <v>897</v>
      </c>
      <c r="E13" s="10" t="s">
        <v>898</v>
      </c>
      <c r="F13" s="10" t="s">
        <v>899</v>
      </c>
    </row>
    <row r="14" spans="1:6">
      <c r="A14" s="10" t="s">
        <v>900</v>
      </c>
      <c r="B14" s="10" t="s">
        <v>91</v>
      </c>
      <c r="C14" s="10" t="s">
        <v>901</v>
      </c>
      <c r="D14" s="10" t="s">
        <v>902</v>
      </c>
      <c r="E14" s="10" t="s">
        <v>903</v>
      </c>
      <c r="F14" s="10" t="s">
        <v>904</v>
      </c>
    </row>
    <row r="15" spans="1:6">
      <c r="A15" s="10" t="s">
        <v>905</v>
      </c>
      <c r="B15" s="10" t="s">
        <v>97</v>
      </c>
      <c r="C15" s="10" t="s">
        <v>906</v>
      </c>
      <c r="D15" s="10" t="s">
        <v>907</v>
      </c>
      <c r="E15" s="10" t="s">
        <v>908</v>
      </c>
      <c r="F15" s="10" t="s">
        <v>909</v>
      </c>
    </row>
    <row r="16" spans="1:6">
      <c r="A16" s="10" t="s">
        <v>910</v>
      </c>
      <c r="B16" s="10" t="s">
        <v>103</v>
      </c>
      <c r="C16" s="10" t="s">
        <v>911</v>
      </c>
      <c r="D16" s="10" t="s">
        <v>912</v>
      </c>
      <c r="E16" s="10" t="s">
        <v>913</v>
      </c>
      <c r="F16" s="10" t="s">
        <v>914</v>
      </c>
    </row>
    <row r="17" spans="1:6">
      <c r="A17" s="10" t="s">
        <v>915</v>
      </c>
      <c r="B17" s="10" t="s">
        <v>109</v>
      </c>
      <c r="C17" s="10" t="s">
        <v>916</v>
      </c>
      <c r="D17" s="10" t="s">
        <v>917</v>
      </c>
      <c r="E17" s="10" t="s">
        <v>918</v>
      </c>
      <c r="F17" s="10" t="s">
        <v>919</v>
      </c>
    </row>
    <row r="18" spans="1:6">
      <c r="A18" s="10" t="s">
        <v>920</v>
      </c>
      <c r="B18" s="10" t="s">
        <v>115</v>
      </c>
      <c r="C18" s="10" t="s">
        <v>921</v>
      </c>
      <c r="D18" s="10" t="s">
        <v>922</v>
      </c>
      <c r="E18" s="10" t="s">
        <v>923</v>
      </c>
      <c r="F18" s="10" t="s">
        <v>924</v>
      </c>
    </row>
    <row r="19" spans="1:6">
      <c r="A19" s="10" t="s">
        <v>925</v>
      </c>
      <c r="B19" s="10" t="s">
        <v>121</v>
      </c>
      <c r="C19" s="10" t="s">
        <v>926</v>
      </c>
      <c r="D19" s="10" t="s">
        <v>927</v>
      </c>
      <c r="E19" s="10" t="s">
        <v>928</v>
      </c>
      <c r="F19" s="10" t="s">
        <v>929</v>
      </c>
    </row>
    <row r="20" spans="1:6">
      <c r="A20" s="10" t="s">
        <v>930</v>
      </c>
      <c r="B20" s="10" t="s">
        <v>127</v>
      </c>
      <c r="C20" s="10" t="s">
        <v>931</v>
      </c>
      <c r="D20" s="10" t="s">
        <v>932</v>
      </c>
      <c r="E20" s="10" t="s">
        <v>933</v>
      </c>
      <c r="F20" s="10" t="s">
        <v>934</v>
      </c>
    </row>
    <row r="21" spans="1:6">
      <c r="A21" s="10" t="s">
        <v>935</v>
      </c>
      <c r="B21" s="10" t="s">
        <v>133</v>
      </c>
      <c r="C21" s="10" t="s">
        <v>936</v>
      </c>
      <c r="D21" s="10" t="s">
        <v>937</v>
      </c>
      <c r="E21" s="10" t="s">
        <v>938</v>
      </c>
      <c r="F21" s="10" t="s">
        <v>939</v>
      </c>
    </row>
    <row r="22" spans="1:6">
      <c r="A22" s="10" t="s">
        <v>940</v>
      </c>
      <c r="B22" s="10" t="s">
        <v>139</v>
      </c>
      <c r="C22" s="10" t="s">
        <v>941</v>
      </c>
      <c r="D22" s="10" t="s">
        <v>942</v>
      </c>
      <c r="E22" s="10" t="s">
        <v>943</v>
      </c>
      <c r="F22" s="10" t="s">
        <v>944</v>
      </c>
    </row>
    <row r="23" spans="1:6">
      <c r="A23" s="10" t="s">
        <v>945</v>
      </c>
      <c r="B23" s="10" t="s">
        <v>145</v>
      </c>
      <c r="C23" s="10" t="s">
        <v>946</v>
      </c>
      <c r="D23" s="10" t="s">
        <v>947</v>
      </c>
      <c r="E23" s="10" t="s">
        <v>948</v>
      </c>
      <c r="F23" s="10" t="s">
        <v>949</v>
      </c>
    </row>
    <row r="24" spans="1:6">
      <c r="A24" s="10" t="s">
        <v>950</v>
      </c>
      <c r="B24" s="10" t="s">
        <v>151</v>
      </c>
      <c r="C24" s="10" t="s">
        <v>951</v>
      </c>
      <c r="D24" s="10" t="s">
        <v>952</v>
      </c>
      <c r="E24" s="10" t="s">
        <v>953</v>
      </c>
      <c r="F24" s="10" t="s">
        <v>954</v>
      </c>
    </row>
    <row r="25" spans="1:6">
      <c r="A25" s="10" t="s">
        <v>955</v>
      </c>
      <c r="B25" s="10" t="s">
        <v>157</v>
      </c>
      <c r="C25" s="10" t="s">
        <v>956</v>
      </c>
      <c r="D25" s="10" t="s">
        <v>957</v>
      </c>
      <c r="E25" s="10" t="s">
        <v>958</v>
      </c>
      <c r="F25" s="10" t="s">
        <v>959</v>
      </c>
    </row>
    <row r="26" spans="1:6">
      <c r="A26" s="10" t="s">
        <v>960</v>
      </c>
      <c r="B26" s="10" t="s">
        <v>163</v>
      </c>
      <c r="C26" s="10" t="s">
        <v>961</v>
      </c>
      <c r="D26" s="10" t="s">
        <v>962</v>
      </c>
      <c r="E26" s="10" t="s">
        <v>963</v>
      </c>
      <c r="F26" s="10" t="s">
        <v>964</v>
      </c>
    </row>
    <row r="27" spans="1:6">
      <c r="A27" s="10" t="s">
        <v>965</v>
      </c>
      <c r="B27" s="10" t="s">
        <v>169</v>
      </c>
      <c r="C27" s="10" t="s">
        <v>966</v>
      </c>
      <c r="D27" s="10" t="s">
        <v>967</v>
      </c>
      <c r="E27" s="10" t="s">
        <v>968</v>
      </c>
      <c r="F27" s="10" t="s">
        <v>969</v>
      </c>
    </row>
    <row r="28" spans="1:6">
      <c r="A28" s="10" t="s">
        <v>970</v>
      </c>
      <c r="B28" s="10" t="s">
        <v>175</v>
      </c>
      <c r="C28" s="10" t="s">
        <v>971</v>
      </c>
      <c r="D28" s="10" t="s">
        <v>972</v>
      </c>
      <c r="E28" s="10" t="s">
        <v>973</v>
      </c>
      <c r="F28" s="10" t="s">
        <v>974</v>
      </c>
    </row>
    <row r="29" spans="1:6">
      <c r="A29" s="10" t="s">
        <v>975</v>
      </c>
      <c r="B29" s="10" t="s">
        <v>181</v>
      </c>
      <c r="C29" s="10" t="s">
        <v>976</v>
      </c>
      <c r="D29" s="10" t="s">
        <v>977</v>
      </c>
      <c r="E29" s="10" t="s">
        <v>978</v>
      </c>
      <c r="F29" s="10" t="s">
        <v>979</v>
      </c>
    </row>
    <row r="30" spans="1:6">
      <c r="A30" s="10" t="s">
        <v>980</v>
      </c>
      <c r="B30" s="10" t="s">
        <v>187</v>
      </c>
      <c r="C30" s="10" t="s">
        <v>981</v>
      </c>
      <c r="D30" s="10" t="s">
        <v>982</v>
      </c>
      <c r="E30" s="10" t="s">
        <v>983</v>
      </c>
      <c r="F30" s="10" t="s">
        <v>984</v>
      </c>
    </row>
    <row r="31" spans="1:6">
      <c r="A31" s="10" t="s">
        <v>985</v>
      </c>
      <c r="B31" s="10" t="s">
        <v>193</v>
      </c>
      <c r="C31" s="10" t="s">
        <v>986</v>
      </c>
      <c r="D31" s="10" t="s">
        <v>987</v>
      </c>
      <c r="E31" s="10" t="s">
        <v>988</v>
      </c>
      <c r="F31" s="10" t="s">
        <v>989</v>
      </c>
    </row>
    <row r="32" spans="1:6">
      <c r="A32" s="10" t="s">
        <v>990</v>
      </c>
      <c r="B32" s="10" t="s">
        <v>199</v>
      </c>
      <c r="C32" s="10" t="s">
        <v>991</v>
      </c>
      <c r="D32" s="10" t="s">
        <v>992</v>
      </c>
      <c r="E32" s="10" t="s">
        <v>993</v>
      </c>
      <c r="F32" s="10" t="s">
        <v>994</v>
      </c>
    </row>
    <row r="33" spans="1:6">
      <c r="A33" s="10" t="s">
        <v>995</v>
      </c>
      <c r="B33" s="10" t="s">
        <v>205</v>
      </c>
      <c r="C33" s="10" t="s">
        <v>996</v>
      </c>
      <c r="D33" s="10" t="s">
        <v>997</v>
      </c>
      <c r="E33" s="10" t="s">
        <v>998</v>
      </c>
      <c r="F33" s="10" t="s">
        <v>999</v>
      </c>
    </row>
    <row r="34" spans="1:6">
      <c r="A34" s="10" t="s">
        <v>1000</v>
      </c>
      <c r="B34" s="10" t="s">
        <v>211</v>
      </c>
      <c r="C34" s="10" t="s">
        <v>1001</v>
      </c>
      <c r="D34" s="10" t="s">
        <v>1002</v>
      </c>
      <c r="E34" s="10" t="s">
        <v>1003</v>
      </c>
      <c r="F34" s="10" t="s">
        <v>1004</v>
      </c>
    </row>
    <row r="35" spans="1:6">
      <c r="A35" s="10" t="s">
        <v>1005</v>
      </c>
      <c r="B35" s="10" t="s">
        <v>217</v>
      </c>
      <c r="C35" s="10" t="s">
        <v>1006</v>
      </c>
      <c r="D35" s="10" t="s">
        <v>1007</v>
      </c>
      <c r="E35" s="10" t="s">
        <v>1008</v>
      </c>
      <c r="F35" s="10" t="s">
        <v>1009</v>
      </c>
    </row>
    <row r="36" spans="1:6">
      <c r="A36" s="10" t="s">
        <v>1010</v>
      </c>
      <c r="B36" s="10" t="s">
        <v>223</v>
      </c>
      <c r="C36" s="10" t="s">
        <v>1011</v>
      </c>
      <c r="D36" s="10" t="s">
        <v>1012</v>
      </c>
      <c r="E36" s="10" t="s">
        <v>1013</v>
      </c>
      <c r="F36" s="10" t="s">
        <v>1014</v>
      </c>
    </row>
    <row r="37" spans="1:6">
      <c r="A37" s="10" t="s">
        <v>1015</v>
      </c>
      <c r="B37" s="10" t="s">
        <v>229</v>
      </c>
      <c r="C37" s="10" t="s">
        <v>1016</v>
      </c>
      <c r="D37" s="10" t="s">
        <v>1017</v>
      </c>
      <c r="E37" s="10" t="s">
        <v>1018</v>
      </c>
      <c r="F37" s="10" t="s">
        <v>1019</v>
      </c>
    </row>
    <row r="38" spans="1:6">
      <c r="A38" s="10" t="s">
        <v>1020</v>
      </c>
      <c r="B38" s="10" t="s">
        <v>235</v>
      </c>
      <c r="C38" s="10" t="s">
        <v>1021</v>
      </c>
      <c r="D38" s="10" t="s">
        <v>1022</v>
      </c>
      <c r="E38" s="10" t="s">
        <v>1023</v>
      </c>
      <c r="F38" s="10" t="s">
        <v>1024</v>
      </c>
    </row>
    <row r="39" spans="1:6">
      <c r="A39" s="10" t="s">
        <v>1025</v>
      </c>
      <c r="B39" s="10" t="s">
        <v>241</v>
      </c>
      <c r="C39" s="10" t="s">
        <v>1026</v>
      </c>
      <c r="D39" s="10" t="s">
        <v>1027</v>
      </c>
      <c r="E39" s="10" t="s">
        <v>1028</v>
      </c>
      <c r="F39" s="10" t="s">
        <v>1029</v>
      </c>
    </row>
    <row r="40" spans="1:6">
      <c r="A40" s="10" t="s">
        <v>1030</v>
      </c>
      <c r="B40" s="10" t="s">
        <v>247</v>
      </c>
      <c r="C40" s="10" t="s">
        <v>1031</v>
      </c>
      <c r="D40" s="10" t="s">
        <v>1032</v>
      </c>
      <c r="E40" s="10" t="s">
        <v>1033</v>
      </c>
      <c r="F40" s="10" t="s">
        <v>1034</v>
      </c>
    </row>
    <row r="41" spans="1:6">
      <c r="A41" s="10" t="s">
        <v>1035</v>
      </c>
      <c r="B41" s="10" t="s">
        <v>253</v>
      </c>
      <c r="C41" s="10" t="s">
        <v>1036</v>
      </c>
      <c r="D41" s="10" t="s">
        <v>1037</v>
      </c>
      <c r="E41" s="10" t="s">
        <v>1038</v>
      </c>
      <c r="F41" s="10" t="s">
        <v>1039</v>
      </c>
    </row>
    <row r="42" spans="1:6">
      <c r="A42" s="10" t="s">
        <v>1040</v>
      </c>
      <c r="B42" s="10" t="s">
        <v>259</v>
      </c>
      <c r="C42" s="10" t="s">
        <v>1041</v>
      </c>
      <c r="D42" s="10" t="s">
        <v>1042</v>
      </c>
      <c r="E42" s="10" t="s">
        <v>1043</v>
      </c>
      <c r="F42" s="10" t="s">
        <v>1044</v>
      </c>
    </row>
    <row r="43" spans="1:6">
      <c r="A43" s="10" t="s">
        <v>1045</v>
      </c>
      <c r="B43" s="10" t="s">
        <v>265</v>
      </c>
      <c r="C43" s="10" t="s">
        <v>1046</v>
      </c>
      <c r="D43" s="10" t="s">
        <v>1047</v>
      </c>
      <c r="E43" s="10" t="s">
        <v>1048</v>
      </c>
      <c r="F43" s="10" t="s">
        <v>1049</v>
      </c>
    </row>
    <row r="44" spans="1:6">
      <c r="A44" s="10" t="s">
        <v>1050</v>
      </c>
      <c r="B44" s="10" t="s">
        <v>271</v>
      </c>
      <c r="C44" s="10" t="s">
        <v>1051</v>
      </c>
      <c r="D44" s="10" t="s">
        <v>1052</v>
      </c>
      <c r="E44" s="10" t="s">
        <v>1053</v>
      </c>
      <c r="F44" s="10" t="s">
        <v>1054</v>
      </c>
    </row>
    <row r="45" spans="1:6">
      <c r="A45" s="10" t="s">
        <v>1055</v>
      </c>
      <c r="B45" s="10" t="s">
        <v>277</v>
      </c>
      <c r="C45" s="10" t="s">
        <v>1056</v>
      </c>
      <c r="D45" s="10" t="s">
        <v>1057</v>
      </c>
      <c r="E45" s="10" t="s">
        <v>1057</v>
      </c>
      <c r="F45" s="10" t="s">
        <v>1058</v>
      </c>
    </row>
    <row r="46" spans="1:6">
      <c r="A46" s="10" t="s">
        <v>1059</v>
      </c>
      <c r="B46" s="10" t="s">
        <v>283</v>
      </c>
      <c r="C46" s="10" t="s">
        <v>1060</v>
      </c>
      <c r="D46" s="10" t="s">
        <v>1061</v>
      </c>
      <c r="E46" s="10" t="s">
        <v>1062</v>
      </c>
      <c r="F46" s="10" t="s">
        <v>1063</v>
      </c>
    </row>
    <row r="47" spans="1:6">
      <c r="A47" s="10" t="s">
        <v>1064</v>
      </c>
      <c r="B47" s="10" t="s">
        <v>289</v>
      </c>
      <c r="C47" s="10" t="s">
        <v>1065</v>
      </c>
      <c r="D47" s="10" t="s">
        <v>1066</v>
      </c>
      <c r="E47" s="10" t="s">
        <v>1067</v>
      </c>
      <c r="F47" s="10" t="s">
        <v>1068</v>
      </c>
    </row>
    <row r="48" spans="1:6">
      <c r="A48" s="10" t="s">
        <v>1069</v>
      </c>
      <c r="B48" s="10" t="s">
        <v>295</v>
      </c>
      <c r="C48" s="10" t="s">
        <v>1070</v>
      </c>
      <c r="D48" s="10" t="s">
        <v>1071</v>
      </c>
      <c r="E48" s="10" t="s">
        <v>1072</v>
      </c>
      <c r="F48" s="10" t="s">
        <v>1073</v>
      </c>
    </row>
    <row r="49" spans="1:6">
      <c r="A49" s="10" t="s">
        <v>1074</v>
      </c>
      <c r="B49" s="10" t="s">
        <v>301</v>
      </c>
      <c r="C49" s="10" t="s">
        <v>1075</v>
      </c>
      <c r="D49" s="10" t="s">
        <v>1076</v>
      </c>
      <c r="E49" s="10" t="s">
        <v>1077</v>
      </c>
      <c r="F49" s="10" t="s">
        <v>1078</v>
      </c>
    </row>
    <row r="50" spans="1:6">
      <c r="A50" s="10" t="s">
        <v>1079</v>
      </c>
      <c r="B50" s="10" t="s">
        <v>307</v>
      </c>
      <c r="C50" s="10" t="s">
        <v>1080</v>
      </c>
      <c r="D50" s="10" t="s">
        <v>1081</v>
      </c>
      <c r="E50" s="10" t="s">
        <v>1082</v>
      </c>
      <c r="F50" s="10" t="s">
        <v>1083</v>
      </c>
    </row>
    <row r="51" spans="1:6">
      <c r="A51" s="10" t="s">
        <v>1084</v>
      </c>
      <c r="B51" s="10" t="s">
        <v>313</v>
      </c>
      <c r="C51" s="10" t="s">
        <v>1085</v>
      </c>
      <c r="D51" s="10" t="s">
        <v>1086</v>
      </c>
      <c r="E51" s="10" t="s">
        <v>1087</v>
      </c>
      <c r="F51" s="10" t="s">
        <v>1088</v>
      </c>
    </row>
    <row r="52" spans="1:6">
      <c r="A52" s="10" t="s">
        <v>1089</v>
      </c>
      <c r="B52" s="10" t="s">
        <v>319</v>
      </c>
      <c r="C52" s="10" t="s">
        <v>1090</v>
      </c>
      <c r="D52" s="10" t="s">
        <v>1091</v>
      </c>
      <c r="E52" s="10" t="s">
        <v>1092</v>
      </c>
      <c r="F52" s="10" t="s">
        <v>1093</v>
      </c>
    </row>
    <row r="53" spans="1:6">
      <c r="A53" s="10" t="s">
        <v>1094</v>
      </c>
      <c r="B53" s="10" t="s">
        <v>325</v>
      </c>
      <c r="C53" s="10" t="s">
        <v>1095</v>
      </c>
      <c r="D53" s="10" t="s">
        <v>1096</v>
      </c>
      <c r="E53" s="10" t="s">
        <v>1097</v>
      </c>
      <c r="F53" s="10" t="s">
        <v>1098</v>
      </c>
    </row>
    <row r="54" spans="1:6">
      <c r="A54" s="10" t="s">
        <v>1099</v>
      </c>
      <c r="B54" s="10" t="s">
        <v>331</v>
      </c>
      <c r="C54" s="10" t="s">
        <v>1100</v>
      </c>
      <c r="D54" s="10" t="s">
        <v>1101</v>
      </c>
      <c r="E54" s="10" t="s">
        <v>1102</v>
      </c>
      <c r="F54" s="10" t="s">
        <v>1103</v>
      </c>
    </row>
    <row r="55" spans="1:6">
      <c r="A55" s="10" t="s">
        <v>1104</v>
      </c>
      <c r="B55" s="10" t="s">
        <v>337</v>
      </c>
      <c r="C55" s="10" t="s">
        <v>1105</v>
      </c>
      <c r="D55" s="10" t="s">
        <v>1106</v>
      </c>
      <c r="E55" s="10" t="s">
        <v>1107</v>
      </c>
      <c r="F55" s="10" t="s">
        <v>1108</v>
      </c>
    </row>
    <row r="56" spans="1:6">
      <c r="A56" s="10" t="s">
        <v>1109</v>
      </c>
      <c r="B56" s="10" t="s">
        <v>343</v>
      </c>
      <c r="C56" s="10" t="s">
        <v>1110</v>
      </c>
      <c r="D56" s="10" t="s">
        <v>1111</v>
      </c>
      <c r="E56" s="10" t="s">
        <v>1112</v>
      </c>
      <c r="F56" s="10" t="s">
        <v>1113</v>
      </c>
    </row>
    <row r="57" spans="1:6">
      <c r="A57" s="10" t="s">
        <v>1114</v>
      </c>
      <c r="B57" s="10" t="s">
        <v>349</v>
      </c>
      <c r="C57" s="10" t="s">
        <v>1115</v>
      </c>
      <c r="D57" s="10" t="s">
        <v>1116</v>
      </c>
      <c r="E57" s="10" t="s">
        <v>1117</v>
      </c>
      <c r="F57" s="10" t="s">
        <v>1118</v>
      </c>
    </row>
    <row r="58" spans="1:6">
      <c r="A58" s="10" t="s">
        <v>1119</v>
      </c>
      <c r="B58" s="10" t="s">
        <v>355</v>
      </c>
      <c r="C58" s="10" t="s">
        <v>1120</v>
      </c>
      <c r="D58" s="10" t="s">
        <v>1121</v>
      </c>
      <c r="E58" s="10" t="s">
        <v>1122</v>
      </c>
      <c r="F58" s="10" t="s">
        <v>1123</v>
      </c>
    </row>
    <row r="59" spans="1:6">
      <c r="A59" s="10" t="s">
        <v>1124</v>
      </c>
      <c r="B59" s="10" t="s">
        <v>361</v>
      </c>
      <c r="C59" s="10" t="s">
        <v>1125</v>
      </c>
      <c r="D59" s="10" t="s">
        <v>1126</v>
      </c>
      <c r="E59" s="10" t="s">
        <v>1127</v>
      </c>
      <c r="F59" s="10" t="s">
        <v>1128</v>
      </c>
    </row>
    <row r="60" spans="1:6">
      <c r="A60" s="10" t="s">
        <v>1129</v>
      </c>
      <c r="B60" s="10" t="s">
        <v>367</v>
      </c>
      <c r="C60" s="10" t="s">
        <v>1130</v>
      </c>
      <c r="D60" s="10" t="s">
        <v>1131</v>
      </c>
      <c r="E60" s="10" t="s">
        <v>1132</v>
      </c>
      <c r="F60" s="10" t="s">
        <v>1133</v>
      </c>
    </row>
    <row r="61" spans="1:6">
      <c r="A61" s="10" t="s">
        <v>1134</v>
      </c>
      <c r="B61" s="10" t="s">
        <v>373</v>
      </c>
      <c r="C61" s="10" t="s">
        <v>1135</v>
      </c>
      <c r="D61" s="10" t="s">
        <v>1136</v>
      </c>
      <c r="E61" s="10" t="s">
        <v>1137</v>
      </c>
      <c r="F61" s="10" t="s">
        <v>1138</v>
      </c>
    </row>
    <row r="62" spans="1:6">
      <c r="A62" s="10" t="s">
        <v>1139</v>
      </c>
      <c r="B62" s="10" t="s">
        <v>379</v>
      </c>
      <c r="C62" s="10" t="s">
        <v>1140</v>
      </c>
      <c r="D62" s="10" t="s">
        <v>1141</v>
      </c>
      <c r="E62" s="10" t="s">
        <v>1142</v>
      </c>
      <c r="F62" s="10" t="s">
        <v>1143</v>
      </c>
    </row>
    <row r="63" spans="1:6">
      <c r="A63" s="10" t="s">
        <v>1144</v>
      </c>
      <c r="B63" s="10" t="s">
        <v>385</v>
      </c>
      <c r="C63" s="10" t="s">
        <v>1145</v>
      </c>
      <c r="D63" s="10" t="s">
        <v>1146</v>
      </c>
      <c r="E63" s="10" t="s">
        <v>1147</v>
      </c>
      <c r="F63" s="10" t="s">
        <v>1148</v>
      </c>
    </row>
    <row r="64" spans="1:6">
      <c r="A64" s="10" t="s">
        <v>1149</v>
      </c>
      <c r="B64" s="10" t="s">
        <v>391</v>
      </c>
      <c r="C64" s="10" t="s">
        <v>1150</v>
      </c>
      <c r="D64" s="10" t="s">
        <v>1151</v>
      </c>
      <c r="E64" s="10" t="s">
        <v>1152</v>
      </c>
      <c r="F64" s="10" t="s">
        <v>1153</v>
      </c>
    </row>
    <row r="65" spans="1:6">
      <c r="A65" s="10" t="s">
        <v>1154</v>
      </c>
      <c r="B65" s="10" t="s">
        <v>397</v>
      </c>
      <c r="C65" s="10" t="s">
        <v>1155</v>
      </c>
      <c r="D65" s="10" t="s">
        <v>1156</v>
      </c>
      <c r="E65" s="10" t="s">
        <v>1157</v>
      </c>
      <c r="F65" s="10" t="s">
        <v>1158</v>
      </c>
    </row>
    <row r="66" spans="1:6">
      <c r="A66" s="10" t="s">
        <v>1159</v>
      </c>
      <c r="B66" s="10" t="s">
        <v>403</v>
      </c>
      <c r="C66" s="10" t="s">
        <v>1160</v>
      </c>
      <c r="D66" s="10" t="s">
        <v>1161</v>
      </c>
      <c r="E66" s="10" t="s">
        <v>1162</v>
      </c>
      <c r="F66" s="10" t="s">
        <v>1163</v>
      </c>
    </row>
    <row r="67" spans="1:6">
      <c r="A67" s="10" t="s">
        <v>1164</v>
      </c>
      <c r="B67" s="10" t="s">
        <v>409</v>
      </c>
      <c r="C67" s="10" t="s">
        <v>1165</v>
      </c>
      <c r="D67" s="10" t="s">
        <v>1166</v>
      </c>
      <c r="E67" s="10" t="s">
        <v>1167</v>
      </c>
      <c r="F67" s="10" t="s">
        <v>1168</v>
      </c>
    </row>
    <row r="68" spans="1:6">
      <c r="A68" s="10" t="s">
        <v>1169</v>
      </c>
      <c r="B68" s="10" t="s">
        <v>415</v>
      </c>
      <c r="C68" s="10" t="s">
        <v>1170</v>
      </c>
      <c r="D68" s="10" t="s">
        <v>1171</v>
      </c>
      <c r="E68" s="10" t="s">
        <v>1172</v>
      </c>
      <c r="F68" s="10" t="s">
        <v>1173</v>
      </c>
    </row>
    <row r="69" spans="1:6">
      <c r="A69" s="10" t="s">
        <v>1174</v>
      </c>
      <c r="B69" s="10" t="s">
        <v>421</v>
      </c>
      <c r="C69" s="10" t="s">
        <v>1175</v>
      </c>
      <c r="D69" s="10" t="s">
        <v>1176</v>
      </c>
      <c r="E69" s="10" t="s">
        <v>1177</v>
      </c>
      <c r="F69" s="10" t="s">
        <v>1178</v>
      </c>
    </row>
    <row r="70" spans="1:6">
      <c r="A70" s="10" t="s">
        <v>1179</v>
      </c>
      <c r="B70" s="10" t="s">
        <v>427</v>
      </c>
      <c r="C70" s="10" t="s">
        <v>1180</v>
      </c>
      <c r="D70" s="10" t="s">
        <v>1181</v>
      </c>
      <c r="E70" s="10" t="s">
        <v>1182</v>
      </c>
      <c r="F70" s="10" t="s">
        <v>1183</v>
      </c>
    </row>
    <row r="71" spans="1:6">
      <c r="A71" s="10" t="s">
        <v>1184</v>
      </c>
      <c r="B71" s="10" t="s">
        <v>433</v>
      </c>
      <c r="C71" s="10" t="s">
        <v>1185</v>
      </c>
      <c r="D71" s="10" t="s">
        <v>1186</v>
      </c>
      <c r="E71" s="10" t="s">
        <v>1187</v>
      </c>
      <c r="F71" s="10" t="s">
        <v>1188</v>
      </c>
    </row>
    <row r="72" spans="1:6">
      <c r="A72" s="10" t="s">
        <v>1189</v>
      </c>
      <c r="B72" s="10" t="s">
        <v>439</v>
      </c>
      <c r="C72" s="10" t="s">
        <v>1190</v>
      </c>
      <c r="D72" s="10" t="s">
        <v>1191</v>
      </c>
      <c r="E72" s="10" t="s">
        <v>1192</v>
      </c>
      <c r="F72" s="10" t="s">
        <v>1193</v>
      </c>
    </row>
    <row r="73" spans="1:6">
      <c r="A73" s="10" t="s">
        <v>1194</v>
      </c>
      <c r="B73" s="10" t="s">
        <v>445</v>
      </c>
      <c r="C73" s="10" t="s">
        <v>1195</v>
      </c>
      <c r="D73" s="10" t="s">
        <v>1196</v>
      </c>
      <c r="E73" s="10" t="s">
        <v>1197</v>
      </c>
      <c r="F73" s="10" t="s">
        <v>1198</v>
      </c>
    </row>
    <row r="74" spans="1:6">
      <c r="A74" s="10" t="s">
        <v>1199</v>
      </c>
      <c r="B74" s="10" t="s">
        <v>451</v>
      </c>
      <c r="C74" s="10" t="s">
        <v>1200</v>
      </c>
      <c r="D74" s="10" t="s">
        <v>1201</v>
      </c>
      <c r="E74" s="10" t="s">
        <v>1202</v>
      </c>
      <c r="F74" s="10" t="s">
        <v>1203</v>
      </c>
    </row>
    <row r="75" spans="1:6">
      <c r="A75" s="10" t="s">
        <v>1204</v>
      </c>
      <c r="B75" s="10" t="s">
        <v>457</v>
      </c>
      <c r="C75" s="10" t="s">
        <v>1205</v>
      </c>
      <c r="D75" s="10" t="s">
        <v>1206</v>
      </c>
      <c r="E75" s="10" t="s">
        <v>1207</v>
      </c>
      <c r="F75" s="10" t="s">
        <v>1208</v>
      </c>
    </row>
    <row r="76" spans="1:6">
      <c r="A76" s="10" t="s">
        <v>1209</v>
      </c>
      <c r="B76" s="10" t="s">
        <v>463</v>
      </c>
      <c r="C76" s="10" t="s">
        <v>1210</v>
      </c>
      <c r="D76" s="10" t="s">
        <v>1211</v>
      </c>
      <c r="E76" s="10" t="s">
        <v>1212</v>
      </c>
      <c r="F76" s="10" t="s">
        <v>1213</v>
      </c>
    </row>
    <row r="77" spans="1:6">
      <c r="A77" s="10" t="s">
        <v>1214</v>
      </c>
      <c r="B77" s="10" t="s">
        <v>469</v>
      </c>
      <c r="C77" s="10" t="s">
        <v>1215</v>
      </c>
      <c r="D77" s="10" t="s">
        <v>1216</v>
      </c>
      <c r="E77" s="10" t="s">
        <v>1217</v>
      </c>
      <c r="F77" s="10" t="s">
        <v>1218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C740-9A9F-464A-A7C0-574C00107EFC}">
  <dimension ref="A1:F77"/>
  <sheetViews>
    <sheetView topLeftCell="A42" workbookViewId="0">
      <selection activeCell="C2" sqref="C2:F77"/>
    </sheetView>
  </sheetViews>
  <sheetFormatPr defaultRowHeight="14.4"/>
  <cols>
    <col min="1" max="1" width="18.77734375" bestFit="1" customWidth="1"/>
    <col min="2" max="2" width="10.77734375" bestFit="1" customWidth="1"/>
    <col min="3" max="6" width="18.77734375" bestFit="1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s="10" t="s">
        <v>0</v>
      </c>
      <c r="B2" s="10" t="s">
        <v>1</v>
      </c>
      <c r="C2" s="10" t="s">
        <v>2</v>
      </c>
      <c r="D2" s="10" t="s">
        <v>21</v>
      </c>
      <c r="E2" s="10" t="s">
        <v>22</v>
      </c>
      <c r="F2" s="10" t="s">
        <v>23</v>
      </c>
    </row>
    <row r="3" spans="1:6">
      <c r="A3" s="10" t="s">
        <v>1219</v>
      </c>
      <c r="B3" s="10" t="s">
        <v>25</v>
      </c>
      <c r="C3" s="10" t="s">
        <v>1220</v>
      </c>
      <c r="D3" s="10" t="s">
        <v>1221</v>
      </c>
      <c r="E3" s="10" t="s">
        <v>1222</v>
      </c>
      <c r="F3" s="10" t="s">
        <v>1223</v>
      </c>
    </row>
    <row r="4" spans="1:6">
      <c r="A4" s="10" t="s">
        <v>1224</v>
      </c>
      <c r="B4" s="10" t="s">
        <v>31</v>
      </c>
      <c r="C4" s="10" t="s">
        <v>1011</v>
      </c>
      <c r="D4" s="10" t="s">
        <v>1012</v>
      </c>
      <c r="E4" s="10" t="s">
        <v>1013</v>
      </c>
      <c r="F4" s="10" t="s">
        <v>1014</v>
      </c>
    </row>
    <row r="5" spans="1:6">
      <c r="A5" s="10" t="s">
        <v>1225</v>
      </c>
      <c r="B5" s="10" t="s">
        <v>37</v>
      </c>
      <c r="C5" s="10" t="s">
        <v>1226</v>
      </c>
      <c r="D5" s="10" t="s">
        <v>1227</v>
      </c>
      <c r="E5" s="10" t="s">
        <v>1228</v>
      </c>
      <c r="F5" s="10" t="s">
        <v>1229</v>
      </c>
    </row>
    <row r="6" spans="1:6">
      <c r="A6" s="10" t="s">
        <v>1230</v>
      </c>
      <c r="B6" s="10" t="s">
        <v>43</v>
      </c>
      <c r="C6" s="10" t="s">
        <v>1231</v>
      </c>
      <c r="D6" s="10" t="s">
        <v>1232</v>
      </c>
      <c r="E6" s="10" t="s">
        <v>1233</v>
      </c>
      <c r="F6" s="10" t="s">
        <v>1234</v>
      </c>
    </row>
    <row r="7" spans="1:6">
      <c r="A7" s="10" t="s">
        <v>1235</v>
      </c>
      <c r="B7" s="10" t="s">
        <v>49</v>
      </c>
      <c r="C7" s="10" t="s">
        <v>1236</v>
      </c>
      <c r="D7" s="10" t="s">
        <v>1237</v>
      </c>
      <c r="E7" s="10" t="s">
        <v>1008</v>
      </c>
      <c r="F7" s="10" t="s">
        <v>1238</v>
      </c>
    </row>
    <row r="8" spans="1:6">
      <c r="A8" s="10" t="s">
        <v>1239</v>
      </c>
      <c r="B8" s="10" t="s">
        <v>55</v>
      </c>
      <c r="C8" s="10" t="s">
        <v>1240</v>
      </c>
      <c r="D8" s="10" t="s">
        <v>1241</v>
      </c>
      <c r="E8" s="10" t="s">
        <v>1242</v>
      </c>
      <c r="F8" s="10" t="s">
        <v>1243</v>
      </c>
    </row>
    <row r="9" spans="1:6">
      <c r="A9" s="10" t="s">
        <v>1244</v>
      </c>
      <c r="B9" s="10" t="s">
        <v>61</v>
      </c>
      <c r="C9" s="10" t="s">
        <v>1245</v>
      </c>
      <c r="D9" s="10" t="s">
        <v>1246</v>
      </c>
      <c r="E9" s="10" t="s">
        <v>1247</v>
      </c>
      <c r="F9" s="10" t="s">
        <v>1248</v>
      </c>
    </row>
    <row r="10" spans="1:6">
      <c r="A10" s="10" t="s">
        <v>1249</v>
      </c>
      <c r="B10" s="10" t="s">
        <v>67</v>
      </c>
      <c r="C10" s="10" t="s">
        <v>1250</v>
      </c>
      <c r="D10" s="10" t="s">
        <v>1251</v>
      </c>
      <c r="E10" s="10" t="s">
        <v>1252</v>
      </c>
      <c r="F10" s="10" t="s">
        <v>1253</v>
      </c>
    </row>
    <row r="11" spans="1:6">
      <c r="A11" s="10" t="s">
        <v>1254</v>
      </c>
      <c r="B11" s="10" t="s">
        <v>73</v>
      </c>
      <c r="C11" s="10" t="s">
        <v>1255</v>
      </c>
      <c r="D11" s="10" t="s">
        <v>1256</v>
      </c>
      <c r="E11" s="10" t="s">
        <v>1257</v>
      </c>
      <c r="F11" s="10" t="s">
        <v>1258</v>
      </c>
    </row>
    <row r="12" spans="1:6">
      <c r="A12" s="10" t="s">
        <v>1259</v>
      </c>
      <c r="B12" s="10" t="s">
        <v>79</v>
      </c>
      <c r="C12" s="10" t="s">
        <v>1260</v>
      </c>
      <c r="D12" s="10" t="s">
        <v>1261</v>
      </c>
      <c r="E12" s="10" t="s">
        <v>1262</v>
      </c>
      <c r="F12" s="10" t="s">
        <v>1263</v>
      </c>
    </row>
    <row r="13" spans="1:6">
      <c r="A13" s="10" t="s">
        <v>1264</v>
      </c>
      <c r="B13" s="10" t="s">
        <v>85</v>
      </c>
      <c r="C13" s="10" t="s">
        <v>1265</v>
      </c>
      <c r="D13" s="10" t="s">
        <v>1266</v>
      </c>
      <c r="E13" s="10" t="s">
        <v>1267</v>
      </c>
      <c r="F13" s="10" t="s">
        <v>1268</v>
      </c>
    </row>
    <row r="14" spans="1:6">
      <c r="A14" s="10" t="s">
        <v>1269</v>
      </c>
      <c r="B14" s="10" t="s">
        <v>91</v>
      </c>
      <c r="C14" s="10" t="s">
        <v>1270</v>
      </c>
      <c r="D14" s="10" t="s">
        <v>1271</v>
      </c>
      <c r="E14" s="10" t="s">
        <v>1272</v>
      </c>
      <c r="F14" s="10" t="s">
        <v>1273</v>
      </c>
    </row>
    <row r="15" spans="1:6">
      <c r="A15" s="10" t="s">
        <v>1274</v>
      </c>
      <c r="B15" s="10" t="s">
        <v>97</v>
      </c>
      <c r="C15" s="10" t="s">
        <v>1275</v>
      </c>
      <c r="D15" s="10" t="s">
        <v>1276</v>
      </c>
      <c r="E15" s="10" t="s">
        <v>1277</v>
      </c>
      <c r="F15" s="10" t="s">
        <v>1213</v>
      </c>
    </row>
    <row r="16" spans="1:6">
      <c r="A16" s="10" t="s">
        <v>1278</v>
      </c>
      <c r="B16" s="10" t="s">
        <v>103</v>
      </c>
      <c r="C16" s="10" t="s">
        <v>1279</v>
      </c>
      <c r="D16" s="10" t="s">
        <v>1280</v>
      </c>
      <c r="E16" s="10" t="s">
        <v>898</v>
      </c>
      <c r="F16" s="10" t="s">
        <v>1281</v>
      </c>
    </row>
    <row r="17" spans="1:6">
      <c r="A17" s="10" t="s">
        <v>1282</v>
      </c>
      <c r="B17" s="10" t="s">
        <v>109</v>
      </c>
      <c r="C17" s="10" t="s">
        <v>1283</v>
      </c>
      <c r="D17" s="10" t="s">
        <v>1284</v>
      </c>
      <c r="E17" s="10" t="s">
        <v>1285</v>
      </c>
      <c r="F17" s="10" t="s">
        <v>1286</v>
      </c>
    </row>
    <row r="18" spans="1:6">
      <c r="A18" s="10" t="s">
        <v>1287</v>
      </c>
      <c r="B18" s="10" t="s">
        <v>115</v>
      </c>
      <c r="C18" s="10" t="s">
        <v>1288</v>
      </c>
      <c r="D18" s="10" t="s">
        <v>1289</v>
      </c>
      <c r="E18" s="10" t="s">
        <v>1290</v>
      </c>
      <c r="F18" s="10" t="s">
        <v>1291</v>
      </c>
    </row>
    <row r="19" spans="1:6">
      <c r="A19" s="10" t="s">
        <v>1292</v>
      </c>
      <c r="B19" s="10" t="s">
        <v>121</v>
      </c>
      <c r="C19" s="10" t="s">
        <v>1293</v>
      </c>
      <c r="D19" s="10" t="s">
        <v>1294</v>
      </c>
      <c r="E19" s="10" t="s">
        <v>1295</v>
      </c>
      <c r="F19" s="10" t="s">
        <v>1296</v>
      </c>
    </row>
    <row r="20" spans="1:6">
      <c r="A20" s="10" t="s">
        <v>1297</v>
      </c>
      <c r="B20" s="10" t="s">
        <v>127</v>
      </c>
      <c r="C20" s="10" t="s">
        <v>1298</v>
      </c>
      <c r="D20" s="10" t="s">
        <v>1299</v>
      </c>
      <c r="E20" s="10" t="s">
        <v>1300</v>
      </c>
      <c r="F20" s="10" t="s">
        <v>914</v>
      </c>
    </row>
    <row r="21" spans="1:6">
      <c r="A21" s="10" t="s">
        <v>1301</v>
      </c>
      <c r="B21" s="10" t="s">
        <v>133</v>
      </c>
      <c r="C21" s="10" t="s">
        <v>1302</v>
      </c>
      <c r="D21" s="10" t="s">
        <v>1303</v>
      </c>
      <c r="E21" s="10" t="s">
        <v>1304</v>
      </c>
      <c r="F21" s="10" t="s">
        <v>869</v>
      </c>
    </row>
    <row r="22" spans="1:6">
      <c r="A22" s="10" t="s">
        <v>1305</v>
      </c>
      <c r="B22" s="10" t="s">
        <v>139</v>
      </c>
      <c r="C22" s="10" t="s">
        <v>1306</v>
      </c>
      <c r="D22" s="10" t="s">
        <v>1307</v>
      </c>
      <c r="E22" s="10" t="s">
        <v>1308</v>
      </c>
      <c r="F22" s="10" t="s">
        <v>1309</v>
      </c>
    </row>
    <row r="23" spans="1:6">
      <c r="A23" s="10" t="s">
        <v>1310</v>
      </c>
      <c r="B23" s="10" t="s">
        <v>145</v>
      </c>
      <c r="C23" s="10" t="s">
        <v>1311</v>
      </c>
      <c r="D23" s="10" t="s">
        <v>1312</v>
      </c>
      <c r="E23" s="10" t="s">
        <v>1313</v>
      </c>
      <c r="F23" s="10" t="s">
        <v>1314</v>
      </c>
    </row>
    <row r="24" spans="1:6">
      <c r="A24" s="10" t="s">
        <v>1315</v>
      </c>
      <c r="B24" s="10" t="s">
        <v>151</v>
      </c>
      <c r="C24" s="10" t="s">
        <v>1316</v>
      </c>
      <c r="D24" s="10" t="s">
        <v>1317</v>
      </c>
      <c r="E24" s="10" t="s">
        <v>1318</v>
      </c>
      <c r="F24" s="10" t="s">
        <v>1319</v>
      </c>
    </row>
    <row r="25" spans="1:6">
      <c r="A25" s="10" t="s">
        <v>1320</v>
      </c>
      <c r="B25" s="10" t="s">
        <v>157</v>
      </c>
      <c r="C25" s="10" t="s">
        <v>1321</v>
      </c>
      <c r="D25" s="10" t="s">
        <v>1322</v>
      </c>
      <c r="E25" s="10" t="s">
        <v>1323</v>
      </c>
      <c r="F25" s="10" t="s">
        <v>1324</v>
      </c>
    </row>
    <row r="26" spans="1:6">
      <c r="A26" s="10" t="s">
        <v>1325</v>
      </c>
      <c r="B26" s="10" t="s">
        <v>163</v>
      </c>
      <c r="C26" s="10" t="s">
        <v>1115</v>
      </c>
      <c r="D26" s="10" t="s">
        <v>1116</v>
      </c>
      <c r="E26" s="10" t="s">
        <v>1117</v>
      </c>
      <c r="F26" s="10" t="s">
        <v>1118</v>
      </c>
    </row>
    <row r="27" spans="1:6">
      <c r="A27" s="10" t="s">
        <v>1326</v>
      </c>
      <c r="B27" s="10" t="s">
        <v>169</v>
      </c>
      <c r="C27" s="10" t="s">
        <v>1327</v>
      </c>
      <c r="D27" s="10" t="s">
        <v>1328</v>
      </c>
      <c r="E27" s="10" t="s">
        <v>1329</v>
      </c>
      <c r="F27" s="10" t="s">
        <v>924</v>
      </c>
    </row>
    <row r="28" spans="1:6">
      <c r="A28" s="10" t="s">
        <v>1330</v>
      </c>
      <c r="B28" s="10" t="s">
        <v>175</v>
      </c>
      <c r="C28" s="10" t="s">
        <v>1331</v>
      </c>
      <c r="D28" s="10" t="s">
        <v>1332</v>
      </c>
      <c r="E28" s="10" t="s">
        <v>1333</v>
      </c>
      <c r="F28" s="10" t="s">
        <v>1143</v>
      </c>
    </row>
    <row r="29" spans="1:6">
      <c r="A29" s="10" t="s">
        <v>1334</v>
      </c>
      <c r="B29" s="10" t="s">
        <v>181</v>
      </c>
      <c r="C29" s="10" t="s">
        <v>1335</v>
      </c>
      <c r="D29" s="10" t="s">
        <v>1336</v>
      </c>
      <c r="E29" s="10" t="s">
        <v>1038</v>
      </c>
      <c r="F29" s="10" t="s">
        <v>1337</v>
      </c>
    </row>
    <row r="30" spans="1:6">
      <c r="A30" s="10" t="s">
        <v>1338</v>
      </c>
      <c r="B30" s="10" t="s">
        <v>187</v>
      </c>
      <c r="C30" s="10" t="s">
        <v>1339</v>
      </c>
      <c r="D30" s="10" t="s">
        <v>1340</v>
      </c>
      <c r="E30" s="10" t="s">
        <v>883</v>
      </c>
      <c r="F30" s="10" t="s">
        <v>1341</v>
      </c>
    </row>
    <row r="31" spans="1:6">
      <c r="A31" s="10" t="s">
        <v>1342</v>
      </c>
      <c r="B31" s="10" t="s">
        <v>193</v>
      </c>
      <c r="C31" s="10" t="s">
        <v>1343</v>
      </c>
      <c r="D31" s="10" t="s">
        <v>1344</v>
      </c>
      <c r="E31" s="10" t="s">
        <v>1345</v>
      </c>
      <c r="F31" s="10" t="s">
        <v>1346</v>
      </c>
    </row>
    <row r="32" spans="1:6">
      <c r="A32" s="10" t="s">
        <v>1347</v>
      </c>
      <c r="B32" s="10" t="s">
        <v>199</v>
      </c>
      <c r="C32" s="10" t="s">
        <v>1348</v>
      </c>
      <c r="D32" s="10" t="s">
        <v>1349</v>
      </c>
      <c r="E32" s="10" t="s">
        <v>1350</v>
      </c>
      <c r="F32" s="10" t="s">
        <v>1351</v>
      </c>
    </row>
    <row r="33" spans="1:6">
      <c r="A33" s="10" t="s">
        <v>1352</v>
      </c>
      <c r="B33" s="10" t="s">
        <v>205</v>
      </c>
      <c r="C33" s="10" t="s">
        <v>1353</v>
      </c>
      <c r="D33" s="10" t="s">
        <v>1354</v>
      </c>
      <c r="E33" s="10" t="s">
        <v>1355</v>
      </c>
      <c r="F33" s="10" t="s">
        <v>1356</v>
      </c>
    </row>
    <row r="34" spans="1:6">
      <c r="A34" s="10" t="s">
        <v>1357</v>
      </c>
      <c r="B34" s="10" t="s">
        <v>211</v>
      </c>
      <c r="C34" s="10" t="s">
        <v>1358</v>
      </c>
      <c r="D34" s="10" t="s">
        <v>1359</v>
      </c>
      <c r="E34" s="10" t="s">
        <v>1360</v>
      </c>
      <c r="F34" s="10" t="s">
        <v>1361</v>
      </c>
    </row>
    <row r="35" spans="1:6">
      <c r="A35" s="10" t="s">
        <v>1362</v>
      </c>
      <c r="B35" s="10" t="s">
        <v>217</v>
      </c>
      <c r="C35" s="10" t="s">
        <v>1363</v>
      </c>
      <c r="D35" s="10" t="s">
        <v>1364</v>
      </c>
      <c r="E35" s="10" t="s">
        <v>1365</v>
      </c>
      <c r="F35" s="10" t="s">
        <v>1366</v>
      </c>
    </row>
    <row r="36" spans="1:6">
      <c r="A36" s="10" t="s">
        <v>1367</v>
      </c>
      <c r="B36" s="10" t="s">
        <v>223</v>
      </c>
      <c r="C36" s="10" t="s">
        <v>1368</v>
      </c>
      <c r="D36" s="10" t="s">
        <v>1369</v>
      </c>
      <c r="E36" s="10" t="s">
        <v>1370</v>
      </c>
      <c r="F36" s="10" t="s">
        <v>1371</v>
      </c>
    </row>
    <row r="37" spans="1:6">
      <c r="A37" s="10" t="s">
        <v>1372</v>
      </c>
      <c r="B37" s="10" t="s">
        <v>229</v>
      </c>
      <c r="C37" s="10" t="s">
        <v>1373</v>
      </c>
      <c r="D37" s="10" t="s">
        <v>1374</v>
      </c>
      <c r="E37" s="10" t="s">
        <v>1375</v>
      </c>
      <c r="F37" s="10" t="s">
        <v>1376</v>
      </c>
    </row>
    <row r="38" spans="1:6">
      <c r="A38" s="10" t="s">
        <v>1377</v>
      </c>
      <c r="B38" s="10" t="s">
        <v>235</v>
      </c>
      <c r="C38" s="10" t="s">
        <v>1378</v>
      </c>
      <c r="D38" s="10" t="s">
        <v>1379</v>
      </c>
      <c r="E38" s="10" t="s">
        <v>1380</v>
      </c>
      <c r="F38" s="10" t="s">
        <v>1381</v>
      </c>
    </row>
    <row r="39" spans="1:6">
      <c r="A39" s="10" t="s">
        <v>1382</v>
      </c>
      <c r="B39" s="10" t="s">
        <v>241</v>
      </c>
      <c r="C39" s="10" t="s">
        <v>1383</v>
      </c>
      <c r="D39" s="10" t="s">
        <v>1384</v>
      </c>
      <c r="E39" s="10" t="s">
        <v>1385</v>
      </c>
      <c r="F39" s="10" t="s">
        <v>1386</v>
      </c>
    </row>
    <row r="40" spans="1:6">
      <c r="A40" s="10" t="s">
        <v>1387</v>
      </c>
      <c r="B40" s="10" t="s">
        <v>247</v>
      </c>
      <c r="C40" s="10" t="s">
        <v>1388</v>
      </c>
      <c r="D40" s="10" t="s">
        <v>1389</v>
      </c>
      <c r="E40" s="10" t="s">
        <v>1390</v>
      </c>
      <c r="F40" s="10" t="s">
        <v>1391</v>
      </c>
    </row>
    <row r="41" spans="1:6">
      <c r="A41" s="10" t="s">
        <v>1392</v>
      </c>
      <c r="B41" s="10" t="s">
        <v>253</v>
      </c>
      <c r="C41" s="10" t="s">
        <v>1393</v>
      </c>
      <c r="D41" s="10" t="s">
        <v>1394</v>
      </c>
      <c r="E41" s="10" t="s">
        <v>1395</v>
      </c>
      <c r="F41" s="10" t="s">
        <v>1396</v>
      </c>
    </row>
    <row r="42" spans="1:6">
      <c r="A42" s="10" t="s">
        <v>1397</v>
      </c>
      <c r="B42" s="10" t="s">
        <v>259</v>
      </c>
      <c r="C42" s="10" t="s">
        <v>1398</v>
      </c>
      <c r="D42" s="10" t="s">
        <v>1399</v>
      </c>
      <c r="E42" s="10" t="s">
        <v>1400</v>
      </c>
      <c r="F42" s="10" t="s">
        <v>969</v>
      </c>
    </row>
    <row r="43" spans="1:6">
      <c r="A43" s="10" t="s">
        <v>1401</v>
      </c>
      <c r="B43" s="10" t="s">
        <v>265</v>
      </c>
      <c r="C43" s="10" t="s">
        <v>1402</v>
      </c>
      <c r="D43" s="10" t="s">
        <v>1403</v>
      </c>
      <c r="E43" s="10" t="s">
        <v>1404</v>
      </c>
      <c r="F43" s="10" t="s">
        <v>1405</v>
      </c>
    </row>
    <row r="44" spans="1:6">
      <c r="A44" s="10" t="s">
        <v>1406</v>
      </c>
      <c r="B44" s="10" t="s">
        <v>271</v>
      </c>
      <c r="C44" s="10" t="s">
        <v>1407</v>
      </c>
      <c r="D44" s="10" t="s">
        <v>1408</v>
      </c>
      <c r="E44" s="10" t="s">
        <v>1409</v>
      </c>
      <c r="F44" s="10" t="s">
        <v>1058</v>
      </c>
    </row>
    <row r="45" spans="1:6">
      <c r="A45" s="10" t="s">
        <v>1410</v>
      </c>
      <c r="B45" s="10" t="s">
        <v>277</v>
      </c>
      <c r="C45" s="10" t="s">
        <v>1411</v>
      </c>
      <c r="D45" s="10" t="s">
        <v>1412</v>
      </c>
      <c r="E45" s="10" t="s">
        <v>1413</v>
      </c>
      <c r="F45" s="10" t="s">
        <v>1414</v>
      </c>
    </row>
    <row r="46" spans="1:6">
      <c r="A46" s="10" t="s">
        <v>1415</v>
      </c>
      <c r="B46" s="10" t="s">
        <v>283</v>
      </c>
      <c r="C46" s="10" t="s">
        <v>1416</v>
      </c>
      <c r="D46" s="10" t="s">
        <v>1417</v>
      </c>
      <c r="E46" s="10" t="s">
        <v>1418</v>
      </c>
      <c r="F46" s="10" t="s">
        <v>1419</v>
      </c>
    </row>
    <row r="47" spans="1:6">
      <c r="A47" s="10" t="s">
        <v>1420</v>
      </c>
      <c r="B47" s="10" t="s">
        <v>289</v>
      </c>
      <c r="C47" s="10" t="s">
        <v>1421</v>
      </c>
      <c r="D47" s="10" t="s">
        <v>1422</v>
      </c>
      <c r="E47" s="10" t="s">
        <v>1067</v>
      </c>
      <c r="F47" s="10" t="s">
        <v>1423</v>
      </c>
    </row>
    <row r="48" spans="1:6">
      <c r="A48" s="10" t="s">
        <v>1424</v>
      </c>
      <c r="B48" s="10" t="s">
        <v>295</v>
      </c>
      <c r="C48" s="10" t="s">
        <v>1425</v>
      </c>
      <c r="D48" s="10" t="s">
        <v>1426</v>
      </c>
      <c r="E48" s="10" t="s">
        <v>1427</v>
      </c>
      <c r="F48" s="10" t="s">
        <v>1428</v>
      </c>
    </row>
    <row r="49" spans="1:6">
      <c r="A49" s="10" t="s">
        <v>1429</v>
      </c>
      <c r="B49" s="10" t="s">
        <v>301</v>
      </c>
      <c r="C49" s="10" t="s">
        <v>1430</v>
      </c>
      <c r="D49" s="10" t="s">
        <v>1431</v>
      </c>
      <c r="E49" s="10" t="s">
        <v>1432</v>
      </c>
      <c r="F49" s="10" t="s">
        <v>1433</v>
      </c>
    </row>
    <row r="50" spans="1:6">
      <c r="A50" s="10" t="s">
        <v>1434</v>
      </c>
      <c r="B50" s="10" t="s">
        <v>307</v>
      </c>
      <c r="C50" s="10" t="s">
        <v>1435</v>
      </c>
      <c r="D50" s="10" t="s">
        <v>1436</v>
      </c>
      <c r="E50" s="10" t="s">
        <v>1437</v>
      </c>
      <c r="F50" s="10" t="s">
        <v>1438</v>
      </c>
    </row>
    <row r="51" spans="1:6">
      <c r="A51" s="10" t="s">
        <v>1439</v>
      </c>
      <c r="B51" s="10" t="s">
        <v>313</v>
      </c>
      <c r="C51" s="10" t="s">
        <v>1440</v>
      </c>
      <c r="D51" s="10" t="s">
        <v>1441</v>
      </c>
      <c r="E51" s="10" t="s">
        <v>1028</v>
      </c>
      <c r="F51" s="10" t="s">
        <v>1442</v>
      </c>
    </row>
    <row r="52" spans="1:6">
      <c r="A52" s="10" t="s">
        <v>1443</v>
      </c>
      <c r="B52" s="10" t="s">
        <v>319</v>
      </c>
      <c r="C52" s="10" t="s">
        <v>1444</v>
      </c>
      <c r="D52" s="10" t="s">
        <v>1445</v>
      </c>
      <c r="E52" s="10" t="s">
        <v>1446</v>
      </c>
      <c r="F52" s="10" t="s">
        <v>1198</v>
      </c>
    </row>
    <row r="53" spans="1:6">
      <c r="A53" s="10" t="s">
        <v>1447</v>
      </c>
      <c r="B53" s="10" t="s">
        <v>325</v>
      </c>
      <c r="C53" s="10" t="s">
        <v>1448</v>
      </c>
      <c r="D53" s="10" t="s">
        <v>1449</v>
      </c>
      <c r="E53" s="10" t="s">
        <v>1450</v>
      </c>
      <c r="F53" s="10" t="s">
        <v>1451</v>
      </c>
    </row>
    <row r="54" spans="1:6">
      <c r="A54" s="10" t="s">
        <v>1452</v>
      </c>
      <c r="B54" s="10" t="s">
        <v>331</v>
      </c>
      <c r="C54" s="10" t="s">
        <v>1453</v>
      </c>
      <c r="D54" s="10" t="s">
        <v>1454</v>
      </c>
      <c r="E54" s="10" t="s">
        <v>1455</v>
      </c>
      <c r="F54" s="10" t="s">
        <v>1456</v>
      </c>
    </row>
    <row r="55" spans="1:6">
      <c r="A55" s="10" t="s">
        <v>1457</v>
      </c>
      <c r="B55" s="10" t="s">
        <v>337</v>
      </c>
      <c r="C55" s="10" t="s">
        <v>1458</v>
      </c>
      <c r="D55" s="10" t="s">
        <v>1459</v>
      </c>
      <c r="E55" s="10" t="s">
        <v>1460</v>
      </c>
      <c r="F55" s="10" t="s">
        <v>1183</v>
      </c>
    </row>
    <row r="56" spans="1:6">
      <c r="A56" s="10" t="s">
        <v>1461</v>
      </c>
      <c r="B56" s="10" t="s">
        <v>343</v>
      </c>
      <c r="C56" s="10" t="s">
        <v>1462</v>
      </c>
      <c r="D56" s="10" t="s">
        <v>1463</v>
      </c>
      <c r="E56" s="10" t="s">
        <v>1464</v>
      </c>
      <c r="F56" s="10" t="s">
        <v>1465</v>
      </c>
    </row>
    <row r="57" spans="1:6">
      <c r="A57" s="10" t="s">
        <v>1466</v>
      </c>
      <c r="B57" s="10" t="s">
        <v>349</v>
      </c>
      <c r="C57" s="10" t="s">
        <v>1200</v>
      </c>
      <c r="D57" s="10" t="s">
        <v>1201</v>
      </c>
      <c r="E57" s="10" t="s">
        <v>1202</v>
      </c>
      <c r="F57" s="10" t="s">
        <v>1203</v>
      </c>
    </row>
    <row r="58" spans="1:6">
      <c r="A58" s="10" t="s">
        <v>1467</v>
      </c>
      <c r="B58" s="10" t="s">
        <v>355</v>
      </c>
      <c r="C58" s="10" t="s">
        <v>1468</v>
      </c>
      <c r="D58" s="10" t="s">
        <v>1469</v>
      </c>
      <c r="E58" s="10" t="s">
        <v>1470</v>
      </c>
      <c r="F58" s="10" t="s">
        <v>1471</v>
      </c>
    </row>
    <row r="59" spans="1:6">
      <c r="A59" s="10" t="s">
        <v>1472</v>
      </c>
      <c r="B59" s="10" t="s">
        <v>361</v>
      </c>
      <c r="C59" s="10" t="s">
        <v>1473</v>
      </c>
      <c r="D59" s="10" t="s">
        <v>1474</v>
      </c>
      <c r="E59" s="10" t="s">
        <v>1187</v>
      </c>
      <c r="F59" s="10" t="s">
        <v>1475</v>
      </c>
    </row>
    <row r="60" spans="1:6">
      <c r="A60" s="10" t="s">
        <v>1476</v>
      </c>
      <c r="B60" s="10" t="s">
        <v>367</v>
      </c>
      <c r="C60" s="10" t="s">
        <v>1477</v>
      </c>
      <c r="D60" s="10" t="s">
        <v>1478</v>
      </c>
      <c r="E60" s="10" t="s">
        <v>1479</v>
      </c>
      <c r="F60" s="10" t="s">
        <v>994</v>
      </c>
    </row>
    <row r="61" spans="1:6">
      <c r="A61" s="10" t="s">
        <v>1480</v>
      </c>
      <c r="B61" s="10" t="s">
        <v>373</v>
      </c>
      <c r="C61" s="10" t="s">
        <v>1481</v>
      </c>
      <c r="D61" s="10" t="s">
        <v>1482</v>
      </c>
      <c r="E61" s="10" t="s">
        <v>1483</v>
      </c>
      <c r="F61" s="10" t="s">
        <v>1123</v>
      </c>
    </row>
    <row r="62" spans="1:6">
      <c r="A62" s="10" t="s">
        <v>1484</v>
      </c>
      <c r="B62" s="10" t="s">
        <v>379</v>
      </c>
      <c r="C62" s="10" t="s">
        <v>1485</v>
      </c>
      <c r="D62" s="10" t="s">
        <v>1486</v>
      </c>
      <c r="E62" s="10" t="s">
        <v>1487</v>
      </c>
      <c r="F62" s="10" t="s">
        <v>1488</v>
      </c>
    </row>
    <row r="63" spans="1:6">
      <c r="A63" s="10" t="s">
        <v>1489</v>
      </c>
      <c r="B63" s="10" t="s">
        <v>385</v>
      </c>
      <c r="C63" s="10" t="s">
        <v>1490</v>
      </c>
      <c r="D63" s="10" t="s">
        <v>1491</v>
      </c>
      <c r="E63" s="10" t="s">
        <v>1492</v>
      </c>
      <c r="F63" s="10" t="s">
        <v>1153</v>
      </c>
    </row>
    <row r="64" spans="1:6">
      <c r="A64" s="10" t="s">
        <v>1493</v>
      </c>
      <c r="B64" s="10" t="s">
        <v>391</v>
      </c>
      <c r="C64" s="10" t="s">
        <v>1494</v>
      </c>
      <c r="D64" s="10" t="s">
        <v>1495</v>
      </c>
      <c r="E64" s="10" t="s">
        <v>1496</v>
      </c>
      <c r="F64" s="10" t="s">
        <v>1497</v>
      </c>
    </row>
    <row r="65" spans="1:6">
      <c r="A65" s="10" t="s">
        <v>1498</v>
      </c>
      <c r="B65" s="10" t="s">
        <v>397</v>
      </c>
      <c r="C65" s="10" t="s">
        <v>1499</v>
      </c>
      <c r="D65" s="10" t="s">
        <v>1500</v>
      </c>
      <c r="E65" s="10" t="s">
        <v>1501</v>
      </c>
      <c r="F65" s="10" t="s">
        <v>1502</v>
      </c>
    </row>
    <row r="66" spans="1:6">
      <c r="A66" s="10" t="s">
        <v>1503</v>
      </c>
      <c r="B66" s="10" t="s">
        <v>403</v>
      </c>
      <c r="C66" s="10" t="s">
        <v>1504</v>
      </c>
      <c r="D66" s="10" t="s">
        <v>1505</v>
      </c>
      <c r="E66" s="10" t="s">
        <v>1506</v>
      </c>
      <c r="F66" s="10" t="s">
        <v>1158</v>
      </c>
    </row>
    <row r="67" spans="1:6">
      <c r="A67" s="10" t="s">
        <v>1507</v>
      </c>
      <c r="B67" s="10" t="s">
        <v>409</v>
      </c>
      <c r="C67" s="10" t="s">
        <v>1508</v>
      </c>
      <c r="D67" s="10" t="s">
        <v>1509</v>
      </c>
      <c r="E67" s="10" t="s">
        <v>1510</v>
      </c>
      <c r="F67" s="10" t="s">
        <v>1511</v>
      </c>
    </row>
    <row r="68" spans="1:6">
      <c r="A68" s="10" t="s">
        <v>1512</v>
      </c>
      <c r="B68" s="10" t="s">
        <v>415</v>
      </c>
      <c r="C68" s="10" t="s">
        <v>1513</v>
      </c>
      <c r="D68" s="10" t="s">
        <v>1514</v>
      </c>
      <c r="E68" s="10" t="s">
        <v>1515</v>
      </c>
      <c r="F68" s="10" t="s">
        <v>1516</v>
      </c>
    </row>
    <row r="69" spans="1:6">
      <c r="A69" s="10" t="s">
        <v>1517</v>
      </c>
      <c r="B69" s="10" t="s">
        <v>421</v>
      </c>
      <c r="C69" s="10" t="s">
        <v>1518</v>
      </c>
      <c r="D69" s="10" t="s">
        <v>1519</v>
      </c>
      <c r="E69" s="10" t="s">
        <v>1520</v>
      </c>
      <c r="F69" s="10" t="s">
        <v>1521</v>
      </c>
    </row>
    <row r="70" spans="1:6">
      <c r="A70" s="10" t="s">
        <v>1522</v>
      </c>
      <c r="B70" s="10" t="s">
        <v>427</v>
      </c>
      <c r="C70" s="10" t="s">
        <v>1523</v>
      </c>
      <c r="D70" s="10" t="s">
        <v>1524</v>
      </c>
      <c r="E70" s="10" t="s">
        <v>1082</v>
      </c>
      <c r="F70" s="10" t="s">
        <v>1525</v>
      </c>
    </row>
    <row r="71" spans="1:6">
      <c r="A71" s="10" t="s">
        <v>1526</v>
      </c>
      <c r="B71" s="10" t="s">
        <v>433</v>
      </c>
      <c r="C71" s="10" t="s">
        <v>1527</v>
      </c>
      <c r="D71" s="10" t="s">
        <v>1528</v>
      </c>
      <c r="E71" s="10" t="s">
        <v>1529</v>
      </c>
      <c r="F71" s="10" t="s">
        <v>864</v>
      </c>
    </row>
    <row r="72" spans="1:6">
      <c r="A72" s="10" t="s">
        <v>1530</v>
      </c>
      <c r="B72" s="10" t="s">
        <v>439</v>
      </c>
      <c r="C72" s="10" t="s">
        <v>1531</v>
      </c>
      <c r="D72" s="10" t="s">
        <v>1532</v>
      </c>
      <c r="E72" s="10" t="s">
        <v>1533</v>
      </c>
      <c r="F72" s="10" t="s">
        <v>894</v>
      </c>
    </row>
    <row r="73" spans="1:6">
      <c r="A73" s="10" t="s">
        <v>1534</v>
      </c>
      <c r="B73" s="10" t="s">
        <v>445</v>
      </c>
      <c r="C73" s="10" t="s">
        <v>1535</v>
      </c>
      <c r="D73" s="10" t="s">
        <v>1536</v>
      </c>
      <c r="E73" s="10" t="s">
        <v>1537</v>
      </c>
      <c r="F73" s="10" t="s">
        <v>1538</v>
      </c>
    </row>
    <row r="74" spans="1:6">
      <c r="A74" s="10" t="s">
        <v>1539</v>
      </c>
      <c r="B74" s="10" t="s">
        <v>451</v>
      </c>
      <c r="C74" s="10" t="s">
        <v>1540</v>
      </c>
      <c r="D74" s="10" t="s">
        <v>1541</v>
      </c>
      <c r="E74" s="10" t="s">
        <v>958</v>
      </c>
      <c r="F74" s="10" t="s">
        <v>1542</v>
      </c>
    </row>
    <row r="75" spans="1:6">
      <c r="A75" s="10" t="s">
        <v>1543</v>
      </c>
      <c r="B75" s="10" t="s">
        <v>457</v>
      </c>
      <c r="C75" s="10" t="s">
        <v>1544</v>
      </c>
      <c r="D75" s="10" t="s">
        <v>1545</v>
      </c>
      <c r="E75" s="10" t="s">
        <v>1546</v>
      </c>
      <c r="F75" s="10" t="s">
        <v>1547</v>
      </c>
    </row>
    <row r="76" spans="1:6">
      <c r="A76" s="10" t="s">
        <v>1548</v>
      </c>
      <c r="B76" s="10" t="s">
        <v>463</v>
      </c>
      <c r="C76" s="10" t="s">
        <v>1549</v>
      </c>
      <c r="D76" s="10" t="s">
        <v>1550</v>
      </c>
      <c r="E76" s="10" t="s">
        <v>1551</v>
      </c>
      <c r="F76" s="10" t="s">
        <v>1552</v>
      </c>
    </row>
    <row r="77" spans="1:6">
      <c r="A77" s="10" t="s">
        <v>1553</v>
      </c>
      <c r="B77" s="10" t="s">
        <v>469</v>
      </c>
      <c r="C77" s="10" t="s">
        <v>1554</v>
      </c>
      <c r="D77" s="10" t="s">
        <v>1555</v>
      </c>
      <c r="E77" s="10" t="s">
        <v>1556</v>
      </c>
      <c r="F77" s="10" t="s">
        <v>1557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6"/>
  <sheetViews>
    <sheetView tabSelected="1" topLeftCell="A46" workbookViewId="0">
      <selection activeCell="C81" sqref="C81"/>
    </sheetView>
  </sheetViews>
  <sheetFormatPr defaultRowHeight="14.4"/>
  <sheetData>
    <row r="1" spans="1:33">
      <c r="F1" s="1" t="s">
        <v>4</v>
      </c>
      <c r="G1" s="2"/>
      <c r="H1" s="2"/>
      <c r="S1" s="3" t="s">
        <v>5</v>
      </c>
    </row>
    <row r="2" spans="1:33">
      <c r="S2" s="4" t="s">
        <v>6</v>
      </c>
      <c r="Y2" s="9" t="s">
        <v>14</v>
      </c>
      <c r="AF2" t="s">
        <v>12</v>
      </c>
    </row>
    <row r="3" spans="1:33">
      <c r="B3" s="5" t="s">
        <v>7</v>
      </c>
      <c r="P3" s="7" t="s">
        <v>8</v>
      </c>
      <c r="U3" s="6" t="s">
        <v>3</v>
      </c>
      <c r="AF3" t="s">
        <v>3</v>
      </c>
    </row>
    <row r="4" spans="1:33">
      <c r="K4" s="6" t="s">
        <v>3</v>
      </c>
      <c r="N4" t="s">
        <v>0</v>
      </c>
      <c r="O4" t="s">
        <v>1</v>
      </c>
      <c r="P4" s="10" t="s">
        <v>2</v>
      </c>
      <c r="Q4" s="10" t="s">
        <v>21</v>
      </c>
      <c r="R4" s="10" t="s">
        <v>22</v>
      </c>
      <c r="S4" s="10" t="s">
        <v>23</v>
      </c>
      <c r="T4" t="s">
        <v>0</v>
      </c>
      <c r="U4" t="s">
        <v>1</v>
      </c>
      <c r="V4" s="10" t="s">
        <v>2</v>
      </c>
      <c r="W4" s="10" t="s">
        <v>21</v>
      </c>
      <c r="X4" s="10" t="s">
        <v>22</v>
      </c>
      <c r="Y4" s="10" t="s">
        <v>23</v>
      </c>
      <c r="AE4" t="s">
        <v>0</v>
      </c>
      <c r="AF4" t="s">
        <v>1</v>
      </c>
      <c r="AG4" t="s">
        <v>2</v>
      </c>
    </row>
    <row r="5" spans="1:33">
      <c r="A5" t="s">
        <v>0</v>
      </c>
      <c r="B5" t="s">
        <v>1</v>
      </c>
      <c r="C5" s="10" t="s">
        <v>2</v>
      </c>
      <c r="D5" s="10" t="s">
        <v>21</v>
      </c>
      <c r="E5" s="10" t="s">
        <v>22</v>
      </c>
      <c r="F5" s="10" t="s">
        <v>23</v>
      </c>
      <c r="N5">
        <v>27154.576539992999</v>
      </c>
      <c r="O5">
        <v>0</v>
      </c>
      <c r="P5" s="10">
        <v>0.91417129878668302</v>
      </c>
      <c r="Q5" s="10">
        <v>0.95516143133703801</v>
      </c>
      <c r="R5" s="10">
        <v>0.96963357423608398</v>
      </c>
      <c r="S5" s="10">
        <v>0.99169976929348302</v>
      </c>
      <c r="T5">
        <v>708.44483375548998</v>
      </c>
      <c r="U5">
        <v>0</v>
      </c>
      <c r="V5" s="10">
        <v>0.92564681624036504</v>
      </c>
      <c r="W5" s="10">
        <v>0.96138794345226697</v>
      </c>
      <c r="X5" s="10">
        <v>0.98253400267504998</v>
      </c>
      <c r="Y5" s="10">
        <v>0.99241942153629903</v>
      </c>
      <c r="AE5">
        <v>534.36255455016999</v>
      </c>
      <c r="AF5">
        <v>0</v>
      </c>
      <c r="AG5">
        <v>0.86106818945246999</v>
      </c>
    </row>
    <row r="6" spans="1:33">
      <c r="A6">
        <v>3522.349357605</v>
      </c>
      <c r="B6">
        <v>0</v>
      </c>
      <c r="C6" s="10">
        <v>0.84727131589525995</v>
      </c>
      <c r="D6" s="10">
        <v>0.91732200744387005</v>
      </c>
      <c r="E6" s="10">
        <v>0.89200706332180402</v>
      </c>
      <c r="F6" s="10">
        <v>0.99206169846302295</v>
      </c>
      <c r="H6" t="s">
        <v>0</v>
      </c>
      <c r="I6" t="s">
        <v>1</v>
      </c>
      <c r="J6" s="11" t="s">
        <v>2</v>
      </c>
      <c r="K6" s="11" t="s">
        <v>21</v>
      </c>
      <c r="L6" s="11" t="s">
        <v>22</v>
      </c>
      <c r="M6" s="12" t="s">
        <v>23</v>
      </c>
      <c r="N6">
        <v>18388.057231903</v>
      </c>
      <c r="O6">
        <v>1</v>
      </c>
      <c r="P6" s="10">
        <v>0.92374510501957996</v>
      </c>
      <c r="Q6" s="10">
        <v>0.96036122728450302</v>
      </c>
      <c r="R6" s="10">
        <v>0.98803520054154603</v>
      </c>
      <c r="S6" s="10">
        <v>0.99115967824453199</v>
      </c>
      <c r="T6">
        <v>237.42008209228999</v>
      </c>
      <c r="U6">
        <v>1</v>
      </c>
      <c r="V6" s="10">
        <v>0.92077893339234296</v>
      </c>
      <c r="W6" s="10">
        <v>0.95875576036866295</v>
      </c>
      <c r="X6" s="10">
        <v>0.96183891166452495</v>
      </c>
      <c r="Y6" s="10">
        <v>0.99272425953062104</v>
      </c>
      <c r="Z6" t="s">
        <v>0</v>
      </c>
      <c r="AA6" t="s">
        <v>1</v>
      </c>
      <c r="AB6" t="s">
        <v>2</v>
      </c>
      <c r="AE6">
        <v>101.4187335968</v>
      </c>
      <c r="AF6">
        <v>1</v>
      </c>
      <c r="AG6">
        <v>0.85637888311796995</v>
      </c>
    </row>
    <row r="7" spans="1:33">
      <c r="A7">
        <v>2810.6081485748</v>
      </c>
      <c r="B7">
        <v>1</v>
      </c>
      <c r="C7" s="10">
        <v>0.88382802960640305</v>
      </c>
      <c r="D7" s="10">
        <v>0.93833196631124005</v>
      </c>
      <c r="E7" s="10">
        <v>0.94066165027515203</v>
      </c>
      <c r="F7" s="10">
        <v>0.99132390536822501</v>
      </c>
      <c r="H7">
        <v>563.27056884766</v>
      </c>
      <c r="I7">
        <v>0</v>
      </c>
      <c r="J7" s="13">
        <v>0.89190456650448402</v>
      </c>
      <c r="K7" s="13">
        <v>0.94286422507281398</v>
      </c>
      <c r="L7" s="13">
        <v>0.919168730743671</v>
      </c>
      <c r="M7" s="14">
        <v>0.99558151922388405</v>
      </c>
      <c r="N7">
        <v>20539.702653885</v>
      </c>
      <c r="O7">
        <v>2</v>
      </c>
      <c r="P7" s="10">
        <v>0.92439993048269398</v>
      </c>
      <c r="Q7" s="10">
        <v>0.96071499051741105</v>
      </c>
      <c r="R7" s="10">
        <v>0.97375950963507396</v>
      </c>
      <c r="S7" s="10">
        <v>0.99126062319802299</v>
      </c>
      <c r="T7">
        <v>249.03869628906</v>
      </c>
      <c r="U7">
        <v>2</v>
      </c>
      <c r="V7" s="10">
        <v>0.88403571631689704</v>
      </c>
      <c r="W7" s="10">
        <v>0.93844899930570203</v>
      </c>
      <c r="X7" s="10">
        <v>0.94140854819172803</v>
      </c>
      <c r="Y7" s="10">
        <v>0.99196030851150396</v>
      </c>
      <c r="Z7">
        <v>793.42269897460994</v>
      </c>
      <c r="AA7">
        <v>0</v>
      </c>
      <c r="AB7">
        <v>0.87583903292508003</v>
      </c>
      <c r="AE7">
        <v>101.74632072449</v>
      </c>
      <c r="AF7">
        <v>2</v>
      </c>
      <c r="AG7">
        <v>0.83995236512684002</v>
      </c>
    </row>
    <row r="8" spans="1:33">
      <c r="A8">
        <v>2732.3336601257001</v>
      </c>
      <c r="B8">
        <v>2</v>
      </c>
      <c r="C8" s="10">
        <v>0.80813127859885303</v>
      </c>
      <c r="D8" s="10">
        <v>0.89388562452731402</v>
      </c>
      <c r="E8" s="10">
        <v>0.89319711084305797</v>
      </c>
      <c r="F8" s="10">
        <v>0.98409805940559203</v>
      </c>
      <c r="H8">
        <v>101.3765335083</v>
      </c>
      <c r="I8">
        <v>1</v>
      </c>
      <c r="J8" s="11">
        <v>0.85523736025362895</v>
      </c>
      <c r="K8" s="11">
        <v>0.92197082548694398</v>
      </c>
      <c r="L8" s="11">
        <v>0.91601322520831896</v>
      </c>
      <c r="M8" s="12">
        <v>0.99336635211928404</v>
      </c>
      <c r="N8">
        <v>16307.573318481</v>
      </c>
      <c r="O8">
        <v>3</v>
      </c>
      <c r="P8" s="10">
        <v>0.92661765851884503</v>
      </c>
      <c r="Q8" s="10">
        <v>0.96191131065539504</v>
      </c>
      <c r="R8" s="10">
        <v>0.98187923773522501</v>
      </c>
      <c r="S8" s="10">
        <v>0.99308205218261203</v>
      </c>
      <c r="T8">
        <v>241.14251136780001</v>
      </c>
      <c r="U8">
        <v>3</v>
      </c>
      <c r="V8" s="10">
        <v>0.84292097776031005</v>
      </c>
      <c r="W8" s="10">
        <v>0.914766273684405</v>
      </c>
      <c r="X8" s="10">
        <v>0.88696496480297704</v>
      </c>
      <c r="Y8" s="10">
        <v>0.99379950818535301</v>
      </c>
      <c r="Z8">
        <v>338.88602256774999</v>
      </c>
      <c r="AA8">
        <v>1</v>
      </c>
      <c r="AB8">
        <v>0.88181367467436</v>
      </c>
      <c r="AE8">
        <v>102.06866264343</v>
      </c>
      <c r="AF8">
        <v>3</v>
      </c>
      <c r="AG8">
        <v>0.86458724338059001</v>
      </c>
    </row>
    <row r="9" spans="1:33">
      <c r="A9">
        <v>2530.9174060822002</v>
      </c>
      <c r="B9">
        <v>3</v>
      </c>
      <c r="C9" s="10">
        <v>0.86079513876023495</v>
      </c>
      <c r="D9" s="10">
        <v>0.92519065729475702</v>
      </c>
      <c r="E9" s="10">
        <v>0.91211401425178096</v>
      </c>
      <c r="F9" s="10">
        <v>0.99358398806795001</v>
      </c>
      <c r="H9">
        <v>103.2133102417</v>
      </c>
      <c r="I9">
        <v>2</v>
      </c>
      <c r="J9" s="13">
        <v>0.87075165539941501</v>
      </c>
      <c r="K9" s="13">
        <v>0.93091100883030398</v>
      </c>
      <c r="L9" s="13">
        <v>0.92613696922988598</v>
      </c>
      <c r="M9" s="14">
        <v>0.99162751846251895</v>
      </c>
      <c r="N9">
        <v>14554.762363434</v>
      </c>
      <c r="O9">
        <v>4</v>
      </c>
      <c r="P9" s="10">
        <v>0.90325913263220403</v>
      </c>
      <c r="Q9" s="10">
        <v>0.94917094277435399</v>
      </c>
      <c r="R9" s="10">
        <v>0.94393655774503404</v>
      </c>
      <c r="S9" s="10">
        <v>0.99369665448686595</v>
      </c>
      <c r="T9">
        <v>243.49617958069001</v>
      </c>
      <c r="U9">
        <v>4</v>
      </c>
      <c r="V9" s="10">
        <v>0.87381112700951102</v>
      </c>
      <c r="W9" s="10">
        <v>0.93265656758486704</v>
      </c>
      <c r="X9" s="10">
        <v>0.90904513812880305</v>
      </c>
      <c r="Y9" s="10">
        <v>0.99393766524414995</v>
      </c>
      <c r="Z9">
        <v>339.25676345825002</v>
      </c>
      <c r="AA9">
        <v>2</v>
      </c>
      <c r="AB9">
        <v>0.84473632298790002</v>
      </c>
      <c r="AE9">
        <v>101.53555870056</v>
      </c>
      <c r="AF9">
        <v>4</v>
      </c>
      <c r="AG9">
        <v>0.82773536670587999</v>
      </c>
    </row>
    <row r="10" spans="1:33">
      <c r="A10">
        <v>2693.9463615416998</v>
      </c>
      <c r="B10">
        <v>4</v>
      </c>
      <c r="C10" s="10">
        <v>0.85008242531462297</v>
      </c>
      <c r="D10" s="10">
        <v>0.91896708350176204</v>
      </c>
      <c r="E10" s="10">
        <v>0.91813302298111799</v>
      </c>
      <c r="F10" s="10">
        <v>0.99012575018372895</v>
      </c>
      <c r="H10">
        <v>101.44662857055999</v>
      </c>
      <c r="I10">
        <v>3</v>
      </c>
      <c r="J10" s="11">
        <v>0.82006477817588797</v>
      </c>
      <c r="K10" s="11">
        <v>0.90113801223907697</v>
      </c>
      <c r="L10" s="11">
        <v>0.94853780930956899</v>
      </c>
      <c r="M10" s="12">
        <v>0.98059262847857798</v>
      </c>
      <c r="N10">
        <v>14396.610498427999</v>
      </c>
      <c r="O10">
        <v>5</v>
      </c>
      <c r="P10" s="10">
        <v>0.928517571338624</v>
      </c>
      <c r="Q10" s="10">
        <v>0.96293400188635103</v>
      </c>
      <c r="R10" s="10">
        <v>0.98554491225464702</v>
      </c>
      <c r="S10" s="10">
        <v>0.99197302487779904</v>
      </c>
      <c r="T10">
        <v>243.15214157104</v>
      </c>
      <c r="U10">
        <v>5</v>
      </c>
      <c r="V10" s="10">
        <v>0.91356715606307703</v>
      </c>
      <c r="W10" s="10">
        <v>0.954831559653883</v>
      </c>
      <c r="X10" s="10">
        <v>0.96807744389063299</v>
      </c>
      <c r="Y10" s="10">
        <v>0.99342156114305802</v>
      </c>
      <c r="Z10">
        <v>338.39416503906</v>
      </c>
      <c r="AA10">
        <v>3</v>
      </c>
      <c r="AB10">
        <v>0.90480196939951996</v>
      </c>
      <c r="AE10">
        <v>101.56059265137</v>
      </c>
      <c r="AF10">
        <v>5</v>
      </c>
      <c r="AG10">
        <v>0.86253372811365003</v>
      </c>
    </row>
    <row r="11" spans="1:33">
      <c r="A11">
        <v>3055.0439357758</v>
      </c>
      <c r="B11">
        <v>5</v>
      </c>
      <c r="C11" s="10">
        <v>0.84980296542162603</v>
      </c>
      <c r="D11" s="10">
        <v>0.918803765922097</v>
      </c>
      <c r="E11" s="10">
        <v>0.88019665405156799</v>
      </c>
      <c r="F11" s="10">
        <v>0.994426875335506</v>
      </c>
      <c r="H11">
        <v>104.72249984741001</v>
      </c>
      <c r="I11">
        <v>4</v>
      </c>
      <c r="J11" s="13">
        <v>0.84972270790077498</v>
      </c>
      <c r="K11" s="13">
        <v>0.91875685395581697</v>
      </c>
      <c r="L11" s="13">
        <v>0.88008347186361502</v>
      </c>
      <c r="M11" s="14">
        <v>0.99443238673252399</v>
      </c>
      <c r="N11">
        <v>15602.219581604</v>
      </c>
      <c r="O11">
        <v>6</v>
      </c>
      <c r="P11" s="10">
        <v>0.895300820235161</v>
      </c>
      <c r="Q11" s="10">
        <v>0.94475854247145397</v>
      </c>
      <c r="R11" s="10">
        <v>0.95633896432363297</v>
      </c>
      <c r="S11" s="10">
        <v>0.99153237435525199</v>
      </c>
      <c r="T11">
        <v>242.94734001160001</v>
      </c>
      <c r="U11">
        <v>6</v>
      </c>
      <c r="V11" s="10">
        <v>0.89371033360455598</v>
      </c>
      <c r="W11" s="10">
        <v>0.94387226783880496</v>
      </c>
      <c r="X11" s="10">
        <v>0.96121432759541003</v>
      </c>
      <c r="Y11" s="10">
        <v>0.99076213707057703</v>
      </c>
      <c r="Z11">
        <v>338.42372894287001</v>
      </c>
      <c r="AA11">
        <v>4</v>
      </c>
      <c r="AB11">
        <v>0.87975757575757996</v>
      </c>
      <c r="AE11">
        <v>101.59206390381</v>
      </c>
      <c r="AF11">
        <v>6</v>
      </c>
      <c r="AG11">
        <v>0.84906534325889005</v>
      </c>
    </row>
    <row r="12" spans="1:33">
      <c r="A12">
        <v>2854.0508747100998</v>
      </c>
      <c r="B12">
        <v>6</v>
      </c>
      <c r="C12" s="10">
        <v>0.88124154493912299</v>
      </c>
      <c r="D12" s="10">
        <v>0.93687229830727503</v>
      </c>
      <c r="E12" s="10">
        <v>0.92934085662990495</v>
      </c>
      <c r="F12" s="10">
        <v>0.99262833835602204</v>
      </c>
      <c r="H12">
        <v>101.72843933105</v>
      </c>
      <c r="I12">
        <v>5</v>
      </c>
      <c r="J12" s="11">
        <v>0.81301479408236699</v>
      </c>
      <c r="K12" s="11">
        <v>0.89686504129588496</v>
      </c>
      <c r="L12" s="11">
        <v>0.90554231891157599</v>
      </c>
      <c r="M12" s="12">
        <v>0.98933828974569105</v>
      </c>
      <c r="N12">
        <v>13114.931344986</v>
      </c>
      <c r="O12">
        <v>7</v>
      </c>
      <c r="P12" s="10">
        <v>0.88878360330381101</v>
      </c>
      <c r="Q12" s="10">
        <v>0.94111744908116901</v>
      </c>
      <c r="R12" s="10">
        <v>0.93090917616167301</v>
      </c>
      <c r="S12" s="10">
        <v>0.99341200546591701</v>
      </c>
      <c r="T12">
        <v>245.44429779052999</v>
      </c>
      <c r="U12">
        <v>7</v>
      </c>
      <c r="V12" s="10">
        <v>0.90428746050416198</v>
      </c>
      <c r="W12" s="10">
        <v>0.94973839744210797</v>
      </c>
      <c r="X12" s="10">
        <v>0.964400790364764</v>
      </c>
      <c r="Y12" s="10">
        <v>0.99124979629983301</v>
      </c>
      <c r="Z12">
        <v>337.84198760985998</v>
      </c>
      <c r="AA12">
        <v>5</v>
      </c>
      <c r="AB12">
        <v>0.81152206301364005</v>
      </c>
      <c r="AE12">
        <v>102.22101211547999</v>
      </c>
      <c r="AF12">
        <v>7</v>
      </c>
      <c r="AG12">
        <v>0.86080124896129995</v>
      </c>
    </row>
    <row r="13" spans="1:33">
      <c r="A13">
        <v>2832.6518535614</v>
      </c>
      <c r="B13">
        <v>7</v>
      </c>
      <c r="C13" s="10">
        <v>0.86802386057273795</v>
      </c>
      <c r="D13" s="10">
        <v>0.92934986419991505</v>
      </c>
      <c r="E13" s="10">
        <v>0.92581830806270204</v>
      </c>
      <c r="F13" s="10">
        <v>0.99036980515829998</v>
      </c>
      <c r="H13">
        <v>103.58142852783</v>
      </c>
      <c r="I13">
        <v>6</v>
      </c>
      <c r="J13" s="13">
        <v>0.83406320675605805</v>
      </c>
      <c r="K13" s="13">
        <v>0.90952504110398802</v>
      </c>
      <c r="L13" s="13">
        <v>0.88524781760480398</v>
      </c>
      <c r="M13" s="14">
        <v>0.99271772933124902</v>
      </c>
      <c r="N13">
        <v>15649.169206619001</v>
      </c>
      <c r="O13">
        <v>8</v>
      </c>
      <c r="P13" s="10">
        <v>0.91132735361994699</v>
      </c>
      <c r="Q13" s="10">
        <v>0.95360677164374097</v>
      </c>
      <c r="R13" s="10">
        <v>0.96165497849264403</v>
      </c>
      <c r="S13" s="10">
        <v>0.99289729001315197</v>
      </c>
      <c r="T13">
        <v>244.09079551696999</v>
      </c>
      <c r="U13">
        <v>8</v>
      </c>
      <c r="V13" s="10">
        <v>0.911037170974626</v>
      </c>
      <c r="W13" s="10">
        <v>0.95344788140358205</v>
      </c>
      <c r="X13" s="10">
        <v>0.96858036509174505</v>
      </c>
      <c r="Y13" s="10">
        <v>0.99130146075132697</v>
      </c>
      <c r="Z13">
        <v>338.90438079834001</v>
      </c>
      <c r="AA13">
        <v>6</v>
      </c>
      <c r="AB13">
        <v>0.85571696074307002</v>
      </c>
      <c r="AE13">
        <v>103.71804237366</v>
      </c>
      <c r="AF13">
        <v>8</v>
      </c>
      <c r="AG13">
        <v>0.75842569873368004</v>
      </c>
    </row>
    <row r="14" spans="1:33">
      <c r="A14">
        <v>2775.7468223572</v>
      </c>
      <c r="B14">
        <v>8</v>
      </c>
      <c r="C14" s="10">
        <v>0.84883886963407196</v>
      </c>
      <c r="D14" s="10">
        <v>0.918239965175631</v>
      </c>
      <c r="E14" s="10">
        <v>0.93033711062264801</v>
      </c>
      <c r="F14" s="10">
        <v>0.98513544618441196</v>
      </c>
      <c r="H14">
        <v>103.55353355408</v>
      </c>
      <c r="I14">
        <v>7</v>
      </c>
      <c r="J14" s="11">
        <v>0.842147725692029</v>
      </c>
      <c r="K14" s="11">
        <v>0.91431074060649997</v>
      </c>
      <c r="L14" s="11">
        <v>0.91005020593452102</v>
      </c>
      <c r="M14" s="12">
        <v>0.99151969830952502</v>
      </c>
      <c r="N14">
        <v>22408.123254776001</v>
      </c>
      <c r="O14">
        <v>9</v>
      </c>
      <c r="P14" s="10">
        <v>0.92424909518301501</v>
      </c>
      <c r="Q14" s="10">
        <v>0.96063352452309203</v>
      </c>
      <c r="R14" s="10">
        <v>0.98040053827277696</v>
      </c>
      <c r="S14" s="10">
        <v>0.99167792541252497</v>
      </c>
      <c r="T14">
        <v>241.32394790648999</v>
      </c>
      <c r="U14">
        <v>9</v>
      </c>
      <c r="V14" s="10">
        <v>0.90074899210883297</v>
      </c>
      <c r="W14" s="10">
        <v>0.94778321161646295</v>
      </c>
      <c r="X14" s="10">
        <v>0.96000529461476503</v>
      </c>
      <c r="Y14" s="10">
        <v>0.99320154509382197</v>
      </c>
      <c r="Z14">
        <v>338.59586715697998</v>
      </c>
      <c r="AA14">
        <v>7</v>
      </c>
      <c r="AB14">
        <v>0.89277197049056001</v>
      </c>
      <c r="AE14">
        <v>101.72772407532</v>
      </c>
      <c r="AF14">
        <v>9</v>
      </c>
      <c r="AG14">
        <v>0.86019836297556995</v>
      </c>
    </row>
    <row r="15" spans="1:33">
      <c r="A15">
        <v>2783.8385105133002</v>
      </c>
      <c r="B15">
        <v>9</v>
      </c>
      <c r="C15" s="10">
        <v>0.84035060589872601</v>
      </c>
      <c r="D15" s="10">
        <v>0.913250554764096</v>
      </c>
      <c r="E15" s="10">
        <v>0.94191937097701794</v>
      </c>
      <c r="F15" s="10">
        <v>0.98335483464963303</v>
      </c>
      <c r="H15">
        <v>103.59215736389</v>
      </c>
      <c r="I15">
        <v>8</v>
      </c>
      <c r="J15" s="13">
        <v>0.84012973672731295</v>
      </c>
      <c r="K15" s="13">
        <v>0.91312011317364095</v>
      </c>
      <c r="L15" s="13">
        <v>0.940784860589157</v>
      </c>
      <c r="M15" s="14">
        <v>0.98350022622495104</v>
      </c>
      <c r="N15">
        <v>13349.583387375</v>
      </c>
      <c r="O15">
        <v>10</v>
      </c>
      <c r="P15" s="10">
        <v>0.84753734556655902</v>
      </c>
      <c r="Q15" s="10">
        <v>0.91747790387063199</v>
      </c>
      <c r="R15" s="10">
        <v>0.96780354964683102</v>
      </c>
      <c r="S15" s="10">
        <v>0.98408284092704901</v>
      </c>
      <c r="T15">
        <v>244.93122100830001</v>
      </c>
      <c r="U15">
        <v>10</v>
      </c>
      <c r="V15" s="10">
        <v>0.929073655815289</v>
      </c>
      <c r="W15" s="10">
        <v>0.96323295174816204</v>
      </c>
      <c r="X15" s="10">
        <v>0.99257351875378297</v>
      </c>
      <c r="Y15" s="10">
        <v>0.991392612206899</v>
      </c>
      <c r="Z15">
        <v>339.31374549866001</v>
      </c>
      <c r="AA15">
        <v>8</v>
      </c>
      <c r="AB15">
        <v>0.86107905084214997</v>
      </c>
      <c r="AE15">
        <v>101.69219970703</v>
      </c>
      <c r="AF15">
        <v>10</v>
      </c>
      <c r="AG15">
        <v>0.87758417874946004</v>
      </c>
    </row>
    <row r="16" spans="1:33">
      <c r="A16">
        <v>2884.4242095947002</v>
      </c>
      <c r="B16">
        <v>10</v>
      </c>
      <c r="C16" s="10">
        <v>0.81307785340889704</v>
      </c>
      <c r="D16" s="10">
        <v>0.89690340862105999</v>
      </c>
      <c r="E16" s="10">
        <v>0.90567592242089501</v>
      </c>
      <c r="F16" s="10">
        <v>0.98933098863321001</v>
      </c>
      <c r="H16">
        <v>102.11563110352</v>
      </c>
      <c r="I16">
        <v>9</v>
      </c>
      <c r="J16" s="11">
        <v>0.84727179480071202</v>
      </c>
      <c r="K16" s="11">
        <v>0.91732228812827998</v>
      </c>
      <c r="L16" s="11">
        <v>0.89205084424207903</v>
      </c>
      <c r="M16" s="12">
        <v>0.99205401906684298</v>
      </c>
      <c r="N16">
        <v>13812.323093413999</v>
      </c>
      <c r="O16">
        <v>11</v>
      </c>
      <c r="P16" s="10">
        <v>0.93315172711691996</v>
      </c>
      <c r="Q16" s="10">
        <v>0.96542005888861204</v>
      </c>
      <c r="R16" s="10">
        <v>0.98425937493110705</v>
      </c>
      <c r="S16" s="10">
        <v>0.991832284012515</v>
      </c>
      <c r="T16">
        <v>243.91722679137999</v>
      </c>
      <c r="U16">
        <v>11</v>
      </c>
      <c r="V16" s="10">
        <v>0.92213671041810097</v>
      </c>
      <c r="W16" s="10">
        <v>0.95949128427760899</v>
      </c>
      <c r="X16" s="10">
        <v>0.96640645803259795</v>
      </c>
      <c r="Y16" s="10">
        <v>0.99243710466181601</v>
      </c>
      <c r="Z16">
        <v>338.92107009888002</v>
      </c>
      <c r="AA16">
        <v>9</v>
      </c>
      <c r="AB16">
        <v>0.88271827453101004</v>
      </c>
      <c r="AE16">
        <v>101.90105438232</v>
      </c>
      <c r="AF16">
        <v>11</v>
      </c>
      <c r="AG16">
        <v>0.85301278149726001</v>
      </c>
    </row>
    <row r="17" spans="1:33">
      <c r="A17">
        <v>2853.3718585967999</v>
      </c>
      <c r="B17">
        <v>11</v>
      </c>
      <c r="C17" s="10">
        <v>0.86860589033133095</v>
      </c>
      <c r="D17" s="10">
        <v>0.92968334823916698</v>
      </c>
      <c r="E17" s="10">
        <v>0.91307115214882195</v>
      </c>
      <c r="F17" s="10">
        <v>0.99351916316409195</v>
      </c>
      <c r="H17">
        <v>104.45356369018999</v>
      </c>
      <c r="I17">
        <v>10</v>
      </c>
      <c r="J17" s="13">
        <v>0.87272991533737798</v>
      </c>
      <c r="K17" s="13">
        <v>0.93204034195198204</v>
      </c>
      <c r="L17" s="13">
        <v>0.90387162813102095</v>
      </c>
      <c r="M17" s="14">
        <v>0.99482260798154798</v>
      </c>
      <c r="N17">
        <v>13916.531801224</v>
      </c>
      <c r="O17">
        <v>12</v>
      </c>
      <c r="P17" s="10">
        <v>0.93133653574455999</v>
      </c>
      <c r="Q17" s="10">
        <v>0.96444769568397903</v>
      </c>
      <c r="R17" s="10">
        <v>0.97924973808071802</v>
      </c>
      <c r="S17" s="10">
        <v>0.99285306199588497</v>
      </c>
      <c r="T17">
        <v>241.54376983642999</v>
      </c>
      <c r="U17">
        <v>12</v>
      </c>
      <c r="V17" s="10">
        <v>0.93317169690382595</v>
      </c>
      <c r="W17" s="10">
        <v>0.96543074616537805</v>
      </c>
      <c r="X17" s="10">
        <v>0.98426672349556499</v>
      </c>
      <c r="Y17" s="10">
        <v>0.99183447580534601</v>
      </c>
      <c r="Z17">
        <v>339.12181854248001</v>
      </c>
      <c r="AA17">
        <v>10</v>
      </c>
      <c r="AB17">
        <v>0.85611410959603995</v>
      </c>
      <c r="AE17">
        <v>101.46093368530001</v>
      </c>
      <c r="AF17">
        <v>12</v>
      </c>
      <c r="AG17">
        <v>0.81853758034294999</v>
      </c>
    </row>
    <row r="18" spans="1:33">
      <c r="A18">
        <v>2933.7615966796998</v>
      </c>
      <c r="B18">
        <v>12</v>
      </c>
      <c r="C18" s="10">
        <v>0.52229509964240095</v>
      </c>
      <c r="D18" s="10">
        <v>0.68619428619995204</v>
      </c>
      <c r="E18" s="10">
        <v>0.85341304143568497</v>
      </c>
      <c r="F18" s="10">
        <v>0.87708246042300397</v>
      </c>
      <c r="H18">
        <v>101.92680358887</v>
      </c>
      <c r="I18">
        <v>11</v>
      </c>
      <c r="J18" s="11">
        <v>0.86446946051093898</v>
      </c>
      <c r="K18" s="11">
        <v>0.92730879086004403</v>
      </c>
      <c r="L18" s="11">
        <v>0.91380901002329895</v>
      </c>
      <c r="M18" s="12">
        <v>0.99207102622643795</v>
      </c>
      <c r="N18">
        <v>13027.921676636</v>
      </c>
      <c r="O18">
        <v>13</v>
      </c>
      <c r="P18" s="10">
        <v>0.92908848575783898</v>
      </c>
      <c r="Q18" s="10">
        <v>0.96324092193505395</v>
      </c>
      <c r="R18" s="10">
        <v>0.99257351875378297</v>
      </c>
      <c r="S18" s="10">
        <v>0.99139475975874403</v>
      </c>
      <c r="T18">
        <v>241.39285087585</v>
      </c>
      <c r="U18">
        <v>13</v>
      </c>
      <c r="V18" s="10">
        <v>0.90247938191341004</v>
      </c>
      <c r="W18" s="10">
        <v>0.94874024969011295</v>
      </c>
      <c r="X18" s="10">
        <v>0.94362215880065103</v>
      </c>
      <c r="Y18" s="10">
        <v>0.99257787245650997</v>
      </c>
      <c r="Z18">
        <v>338.97566795349002</v>
      </c>
      <c r="AA18">
        <v>11</v>
      </c>
      <c r="AB18">
        <v>0.86314517325944995</v>
      </c>
      <c r="AE18">
        <v>101.61423683167</v>
      </c>
      <c r="AF18">
        <v>13</v>
      </c>
      <c r="AG18">
        <v>0.86074223046223997</v>
      </c>
    </row>
    <row r="19" spans="1:33">
      <c r="A19">
        <v>3253.6373138427998</v>
      </c>
      <c r="B19">
        <v>13</v>
      </c>
      <c r="C19" s="10">
        <v>0.80352360107133602</v>
      </c>
      <c r="D19" s="10">
        <v>0.89105970179045402</v>
      </c>
      <c r="E19" s="10">
        <v>0.88380914670362298</v>
      </c>
      <c r="F19" s="10">
        <v>0.98632008422412998</v>
      </c>
      <c r="H19">
        <v>103.87396812439</v>
      </c>
      <c r="I19">
        <v>12</v>
      </c>
      <c r="J19" s="13">
        <v>0.87419218677223998</v>
      </c>
      <c r="K19" s="13">
        <v>0.93287357928621595</v>
      </c>
      <c r="L19" s="13">
        <v>0.92663077018020201</v>
      </c>
      <c r="M19" s="14">
        <v>0.99153811331267105</v>
      </c>
      <c r="N19">
        <v>13487.979650497</v>
      </c>
      <c r="O19">
        <v>14</v>
      </c>
      <c r="P19" s="10">
        <v>0.89348023285511702</v>
      </c>
      <c r="Q19" s="10">
        <v>0.94374392439034605</v>
      </c>
      <c r="R19" s="10">
        <v>0.95223435109488297</v>
      </c>
      <c r="S19" s="10">
        <v>0.99256290902142696</v>
      </c>
      <c r="T19">
        <v>244.26364898681999</v>
      </c>
      <c r="U19">
        <v>14</v>
      </c>
      <c r="V19" s="10">
        <v>0.90905568639367895</v>
      </c>
      <c r="W19" s="10">
        <v>0.95236162346939102</v>
      </c>
      <c r="X19" s="10">
        <v>0.95989828169872704</v>
      </c>
      <c r="Y19" s="10">
        <v>0.99245387577685396</v>
      </c>
      <c r="Z19">
        <v>341.11285209656</v>
      </c>
      <c r="AA19">
        <v>12</v>
      </c>
      <c r="AB19">
        <v>0.84506640302507996</v>
      </c>
      <c r="AE19">
        <v>101.59945487976</v>
      </c>
      <c r="AF19">
        <v>14</v>
      </c>
      <c r="AG19">
        <v>0.87424473514401002</v>
      </c>
    </row>
    <row r="20" spans="1:33">
      <c r="A20">
        <v>3034.4250202179001</v>
      </c>
      <c r="B20">
        <v>14</v>
      </c>
      <c r="C20" s="10">
        <v>0.88450454292218905</v>
      </c>
      <c r="D20" s="10">
        <v>0.93871309171867501</v>
      </c>
      <c r="E20" s="10">
        <v>0.92192932776061198</v>
      </c>
      <c r="F20" s="10">
        <v>0.99350777208342</v>
      </c>
      <c r="H20">
        <v>101.54557228087999</v>
      </c>
      <c r="I20">
        <v>13</v>
      </c>
      <c r="J20" s="11">
        <v>0.88127768159473796</v>
      </c>
      <c r="K20" s="11">
        <v>0.93689271947104402</v>
      </c>
      <c r="L20" s="11">
        <v>0.94677084422666002</v>
      </c>
      <c r="M20" s="12">
        <v>0.98912323357771104</v>
      </c>
      <c r="N20">
        <v>12907.074928284001</v>
      </c>
      <c r="O20">
        <v>15</v>
      </c>
      <c r="P20" s="10">
        <v>0.91057225636199202</v>
      </c>
      <c r="Q20" s="10">
        <v>0.95319321562415404</v>
      </c>
      <c r="R20" s="10">
        <v>0.96863037631769999</v>
      </c>
      <c r="S20" s="10">
        <v>0.99313822629064896</v>
      </c>
      <c r="T20">
        <v>238.43693733214999</v>
      </c>
      <c r="U20">
        <v>15</v>
      </c>
      <c r="V20" s="10">
        <v>0.90995023466198199</v>
      </c>
      <c r="W20" s="10">
        <v>0.95285229756054102</v>
      </c>
      <c r="X20" s="10">
        <v>0.97883081923916904</v>
      </c>
      <c r="Y20" s="10">
        <v>0.99215687099989303</v>
      </c>
      <c r="Z20">
        <v>338.90128135680999</v>
      </c>
      <c r="AA20">
        <v>13</v>
      </c>
      <c r="AB20">
        <v>0.81080062897201999</v>
      </c>
      <c r="AE20">
        <v>103.09433937073</v>
      </c>
      <c r="AF20">
        <v>15</v>
      </c>
      <c r="AG20">
        <v>0.87450848219301003</v>
      </c>
    </row>
    <row r="21" spans="1:33">
      <c r="A21">
        <v>3154.7405719756998</v>
      </c>
      <c r="B21">
        <v>15</v>
      </c>
      <c r="C21" s="10">
        <v>0.87395263851378402</v>
      </c>
      <c r="D21" s="10">
        <v>0.93273716800752005</v>
      </c>
      <c r="E21" s="10">
        <v>0.92611392248827396</v>
      </c>
      <c r="F21" s="10">
        <v>0.99158055333077899</v>
      </c>
      <c r="H21">
        <v>104.44355010986</v>
      </c>
      <c r="I21">
        <v>14</v>
      </c>
      <c r="J21" s="13">
        <v>0.84985925930741202</v>
      </c>
      <c r="K21" s="13">
        <v>0.918836668283186</v>
      </c>
      <c r="L21" s="13">
        <v>0.92997432012349102</v>
      </c>
      <c r="M21" s="14">
        <v>0.98540527027012104</v>
      </c>
      <c r="N21">
        <v>13666.136980056999</v>
      </c>
      <c r="O21">
        <v>16</v>
      </c>
      <c r="P21" s="10">
        <v>0.92138329090938498</v>
      </c>
      <c r="Q21" s="10">
        <v>0.95908327637563395</v>
      </c>
      <c r="R21" s="10">
        <v>0.98223236198969799</v>
      </c>
      <c r="S21" s="10">
        <v>0.99180798833694195</v>
      </c>
      <c r="T21">
        <v>241.12725257874001</v>
      </c>
      <c r="U21">
        <v>16</v>
      </c>
      <c r="V21" s="10">
        <v>0.93081234502937904</v>
      </c>
      <c r="W21" s="10">
        <v>0.96416655655391104</v>
      </c>
      <c r="X21" s="10">
        <v>0.99080894833321997</v>
      </c>
      <c r="Y21" s="10">
        <v>0.99183986144417802</v>
      </c>
      <c r="Z21">
        <v>339.17689323424997</v>
      </c>
      <c r="AA21">
        <v>14</v>
      </c>
      <c r="AB21">
        <v>0.86520738409507003</v>
      </c>
      <c r="AE21">
        <v>101.33719444275</v>
      </c>
      <c r="AF21">
        <v>16</v>
      </c>
      <c r="AG21">
        <v>0.88944142323391995</v>
      </c>
    </row>
    <row r="22" spans="1:33">
      <c r="A22">
        <v>3127.4642944336001</v>
      </c>
      <c r="B22">
        <v>16</v>
      </c>
      <c r="C22" s="10">
        <v>0.841654193423784</v>
      </c>
      <c r="D22" s="10">
        <v>0.91401979419282897</v>
      </c>
      <c r="E22" s="10">
        <v>0.91528761081308097</v>
      </c>
      <c r="F22" s="10">
        <v>0.989300090869489</v>
      </c>
      <c r="H22">
        <v>101.79758071899001</v>
      </c>
      <c r="I22">
        <v>15</v>
      </c>
      <c r="J22" s="11">
        <v>0.84338134932241304</v>
      </c>
      <c r="K22" s="11">
        <v>0.91503730319548005</v>
      </c>
      <c r="L22" s="11">
        <v>0.94100090422674998</v>
      </c>
      <c r="M22" s="12">
        <v>0.981114578214487</v>
      </c>
      <c r="N22">
        <v>18603.63817215</v>
      </c>
      <c r="O22">
        <v>17</v>
      </c>
      <c r="P22" s="10">
        <v>0.90248589631675602</v>
      </c>
      <c r="Q22" s="10">
        <v>0.94874384936464795</v>
      </c>
      <c r="R22" s="10">
        <v>0.943628970186563</v>
      </c>
      <c r="S22" s="10">
        <v>0.99257787245650997</v>
      </c>
      <c r="T22">
        <v>239.51673507690001</v>
      </c>
      <c r="U22">
        <v>17</v>
      </c>
      <c r="V22" s="10">
        <v>0.89154557195696704</v>
      </c>
      <c r="W22" s="10">
        <v>0.94266359232845298</v>
      </c>
      <c r="X22" s="10">
        <v>0.94418584666504302</v>
      </c>
      <c r="Y22" s="10">
        <v>0.99092893433406604</v>
      </c>
      <c r="Z22">
        <v>338.11163902282999</v>
      </c>
      <c r="AA22">
        <v>15</v>
      </c>
      <c r="AB22">
        <v>0.86799534101204001</v>
      </c>
      <c r="AE22">
        <v>101.32479667664001</v>
      </c>
      <c r="AF22">
        <v>17</v>
      </c>
      <c r="AG22">
        <v>0.87217940706797004</v>
      </c>
    </row>
    <row r="23" spans="1:33">
      <c r="A23">
        <v>3626.9376277923998</v>
      </c>
      <c r="B23">
        <v>17</v>
      </c>
      <c r="C23" s="10">
        <v>0.86344090408387997</v>
      </c>
      <c r="D23" s="10">
        <v>0.92671670155096397</v>
      </c>
      <c r="E23" s="10">
        <v>0.91447163745722204</v>
      </c>
      <c r="F23" s="10">
        <v>0.99266878202516995</v>
      </c>
      <c r="H23">
        <v>103.67465019226</v>
      </c>
      <c r="I23">
        <v>16</v>
      </c>
      <c r="J23" s="13">
        <v>0.82584927048670698</v>
      </c>
      <c r="K23" s="13">
        <v>0.90461932848001703</v>
      </c>
      <c r="L23" s="13">
        <v>0.87336252984908602</v>
      </c>
      <c r="M23" s="14">
        <v>0.99370357164395895</v>
      </c>
      <c r="N23">
        <v>17592.336177826</v>
      </c>
      <c r="O23">
        <v>18</v>
      </c>
      <c r="P23" s="10">
        <v>0.87383216900934202</v>
      </c>
      <c r="Q23" s="10">
        <v>0.93266855320486897</v>
      </c>
      <c r="R23" s="10">
        <v>0.90906702858894095</v>
      </c>
      <c r="S23" s="10">
        <v>0.99393766524414995</v>
      </c>
      <c r="T23">
        <v>245.59760093688999</v>
      </c>
      <c r="U23">
        <v>18</v>
      </c>
      <c r="V23" s="10">
        <v>0.91109768378650502</v>
      </c>
      <c r="W23" s="10">
        <v>0.95348101932845697</v>
      </c>
      <c r="X23" s="10">
        <v>0.95860104768847298</v>
      </c>
      <c r="Y23" s="10">
        <v>0.99339030004233797</v>
      </c>
      <c r="Z23">
        <v>338.65928649902003</v>
      </c>
      <c r="AA23">
        <v>16</v>
      </c>
      <c r="AB23">
        <v>0.86617198232957004</v>
      </c>
      <c r="AE23">
        <v>101.58991813660001</v>
      </c>
      <c r="AF23">
        <v>18</v>
      </c>
      <c r="AG23">
        <v>0.86748387647888003</v>
      </c>
    </row>
    <row r="24" spans="1:33">
      <c r="A24">
        <v>4696.7895030974996</v>
      </c>
      <c r="B24">
        <v>18</v>
      </c>
      <c r="C24" s="10">
        <v>0.87278633248795501</v>
      </c>
      <c r="D24" s="10">
        <v>0.93207251393006196</v>
      </c>
      <c r="E24" s="10">
        <v>0.90396947254335203</v>
      </c>
      <c r="F24" s="10">
        <v>0.99481605570310305</v>
      </c>
      <c r="H24">
        <v>101.51100158691</v>
      </c>
      <c r="I24">
        <v>17</v>
      </c>
      <c r="J24" s="11">
        <v>0.85439555097516795</v>
      </c>
      <c r="K24" s="11">
        <v>0.92148145041209595</v>
      </c>
      <c r="L24" s="11">
        <v>0.89266087663162097</v>
      </c>
      <c r="M24" s="12">
        <v>0.99535958725691498</v>
      </c>
      <c r="N24">
        <v>13769.920825957999</v>
      </c>
      <c r="O24">
        <v>19</v>
      </c>
      <c r="P24" s="10">
        <v>0.92623562648223201</v>
      </c>
      <c r="Q24" s="10">
        <v>0.96170542559609895</v>
      </c>
      <c r="R24" s="10">
        <v>0.98806620033463</v>
      </c>
      <c r="S24" s="10">
        <v>0.99302373594055704</v>
      </c>
      <c r="T24">
        <v>239.57228660582999</v>
      </c>
      <c r="U24">
        <v>19</v>
      </c>
      <c r="V24" s="10">
        <v>0.87768988624886601</v>
      </c>
      <c r="W24" s="10">
        <v>0.93486138757690296</v>
      </c>
      <c r="X24" s="10">
        <v>0.94283112254999002</v>
      </c>
      <c r="Y24" s="10">
        <v>0.98983845837747098</v>
      </c>
      <c r="Z24">
        <v>338.40489387512002</v>
      </c>
      <c r="AA24">
        <v>17</v>
      </c>
      <c r="AB24">
        <v>0.85607781586882004</v>
      </c>
      <c r="AE24">
        <v>102.10275650024001</v>
      </c>
      <c r="AF24">
        <v>19</v>
      </c>
      <c r="AG24">
        <v>0.86411303587332</v>
      </c>
    </row>
    <row r="25" spans="1:33">
      <c r="A25">
        <v>5311.3656044006002</v>
      </c>
      <c r="B25">
        <v>19</v>
      </c>
      <c r="C25" s="10">
        <v>0.85516767132908</v>
      </c>
      <c r="D25" s="10">
        <v>0.92193032958193</v>
      </c>
      <c r="E25" s="10">
        <v>0.92635032331684997</v>
      </c>
      <c r="F25" s="10">
        <v>0.98861211816336703</v>
      </c>
      <c r="H25">
        <v>106.16636276245001</v>
      </c>
      <c r="I25">
        <v>18</v>
      </c>
      <c r="J25" s="13">
        <v>0.86524300441826196</v>
      </c>
      <c r="K25" s="13">
        <v>0.92775365179628899</v>
      </c>
      <c r="L25" s="13">
        <v>0.91284193807349301</v>
      </c>
      <c r="M25" s="14">
        <v>0.99316736158090901</v>
      </c>
      <c r="N25">
        <v>13317.996025085</v>
      </c>
      <c r="O25">
        <v>20</v>
      </c>
      <c r="P25" s="10">
        <v>0.92088255393927498</v>
      </c>
      <c r="Q25" s="10">
        <v>0.95881192949643201</v>
      </c>
      <c r="R25" s="10">
        <v>0.96194089212506795</v>
      </c>
      <c r="S25" s="10">
        <v>0.99272536880649598</v>
      </c>
      <c r="T25">
        <v>240.77177047729</v>
      </c>
      <c r="U25">
        <v>20</v>
      </c>
      <c r="V25" s="10">
        <v>0.90852912342381897</v>
      </c>
      <c r="W25" s="10">
        <v>0.95207258015948604</v>
      </c>
      <c r="X25" s="10">
        <v>0.95588894342602204</v>
      </c>
      <c r="Y25" s="10">
        <v>0.99192950653029299</v>
      </c>
      <c r="Z25">
        <v>339.45107460022001</v>
      </c>
      <c r="AA25">
        <v>18</v>
      </c>
      <c r="AB25">
        <v>0.89435226857139005</v>
      </c>
      <c r="AE25">
        <v>101.76372528076</v>
      </c>
      <c r="AF25">
        <v>20</v>
      </c>
      <c r="AG25">
        <v>0.86240255090322004</v>
      </c>
    </row>
    <row r="26" spans="1:33">
      <c r="A26">
        <v>3614.1490936279001</v>
      </c>
      <c r="B26">
        <v>20</v>
      </c>
      <c r="C26" s="10">
        <v>0.84727664410632197</v>
      </c>
      <c r="D26" s="10">
        <v>0.91732513027708196</v>
      </c>
      <c r="E26" s="10">
        <v>0.89590694671138704</v>
      </c>
      <c r="F26" s="10">
        <v>0.99317020073206896</v>
      </c>
      <c r="H26">
        <v>103.84917259216</v>
      </c>
      <c r="I26">
        <v>19</v>
      </c>
      <c r="J26" s="11">
        <v>0.87514608492403501</v>
      </c>
      <c r="K26" s="11">
        <v>0.93341643294899701</v>
      </c>
      <c r="L26" s="11">
        <v>0.92777428407842899</v>
      </c>
      <c r="M26" s="12">
        <v>0.99319876650018302</v>
      </c>
      <c r="N26">
        <v>13707.19575882</v>
      </c>
      <c r="O26">
        <v>21</v>
      </c>
      <c r="P26" s="10">
        <v>0.86548252911813595</v>
      </c>
      <c r="Q26" s="10">
        <v>0.92789132635541005</v>
      </c>
      <c r="R26" s="10">
        <v>0.91103424117698495</v>
      </c>
      <c r="S26" s="10">
        <v>0.993567968698161</v>
      </c>
      <c r="T26">
        <v>244.12703514098999</v>
      </c>
      <c r="U26">
        <v>21</v>
      </c>
      <c r="V26" s="10">
        <v>0.91127395000634404</v>
      </c>
      <c r="W26" s="10">
        <v>0.95357753398283795</v>
      </c>
      <c r="X26" s="10">
        <v>0.96162150400856905</v>
      </c>
      <c r="Y26" s="10">
        <v>0.99289406101937105</v>
      </c>
      <c r="Z26">
        <v>339.49303627014001</v>
      </c>
      <c r="AA26">
        <v>19</v>
      </c>
      <c r="AB26">
        <v>0.87229213125199001</v>
      </c>
      <c r="AE26">
        <v>101.32169723510999</v>
      </c>
      <c r="AF26">
        <v>21</v>
      </c>
      <c r="AG26">
        <v>0.87442283475584004</v>
      </c>
    </row>
    <row r="27" spans="1:33">
      <c r="A27">
        <v>3160.6378555298002</v>
      </c>
      <c r="B27">
        <v>21</v>
      </c>
      <c r="C27" s="10">
        <v>0.87465703134057204</v>
      </c>
      <c r="D27" s="10">
        <v>0.93313818657816305</v>
      </c>
      <c r="E27" s="10">
        <v>0.91251234704779505</v>
      </c>
      <c r="F27" s="10">
        <v>0.99547696242318495</v>
      </c>
      <c r="H27">
        <v>103.76739501953</v>
      </c>
      <c r="I27">
        <v>20</v>
      </c>
      <c r="J27" s="13">
        <v>0.88141235123345096</v>
      </c>
      <c r="K27" s="13">
        <v>0.93696881564065204</v>
      </c>
      <c r="L27" s="13">
        <v>0.92954924339574196</v>
      </c>
      <c r="M27" s="14">
        <v>0.99262400845197196</v>
      </c>
      <c r="N27">
        <v>13719.106197356999</v>
      </c>
      <c r="O27">
        <v>22</v>
      </c>
      <c r="P27" s="10">
        <v>0.88408010724296204</v>
      </c>
      <c r="Q27" s="10">
        <v>0.93847401057343105</v>
      </c>
      <c r="R27" s="10">
        <v>0.94148641633500596</v>
      </c>
      <c r="S27" s="10">
        <v>0.99195602124767901</v>
      </c>
      <c r="T27">
        <v>239.25614356995001</v>
      </c>
      <c r="U27">
        <v>22</v>
      </c>
      <c r="V27" s="10">
        <v>0.91184935342301598</v>
      </c>
      <c r="W27" s="10">
        <v>0.953892472532337</v>
      </c>
      <c r="X27" s="10">
        <v>0.960157969434559</v>
      </c>
      <c r="Y27" s="10">
        <v>0.99144036112880396</v>
      </c>
      <c r="Z27">
        <v>339.52045440673999</v>
      </c>
      <c r="AA27">
        <v>20</v>
      </c>
      <c r="AB27">
        <v>0.87449966644429999</v>
      </c>
      <c r="AE27">
        <v>101.55320167542</v>
      </c>
      <c r="AF27">
        <v>22</v>
      </c>
      <c r="AG27">
        <v>0.84408516087721996</v>
      </c>
    </row>
    <row r="28" spans="1:33">
      <c r="A28">
        <v>3147.1266746521001</v>
      </c>
      <c r="B28">
        <v>22</v>
      </c>
      <c r="C28" s="10">
        <v>0.83298434228208895</v>
      </c>
      <c r="D28" s="10">
        <v>0.90888320545609502</v>
      </c>
      <c r="E28" s="10">
        <v>0.885055371996878</v>
      </c>
      <c r="F28" s="10">
        <v>0.99188680749645997</v>
      </c>
      <c r="H28">
        <v>102.32472419739</v>
      </c>
      <c r="I28">
        <v>21</v>
      </c>
      <c r="J28" s="11">
        <v>0.89196999931191001</v>
      </c>
      <c r="K28" s="11">
        <v>0.94290078556880996</v>
      </c>
      <c r="L28" s="11">
        <v>0.93056663369811399</v>
      </c>
      <c r="M28" s="12">
        <v>0.99412372563377105</v>
      </c>
      <c r="N28">
        <v>15024.798393249999</v>
      </c>
      <c r="O28">
        <v>23</v>
      </c>
      <c r="P28" s="10">
        <v>0.91269482314258399</v>
      </c>
      <c r="Q28" s="10">
        <v>0.95435488411372804</v>
      </c>
      <c r="R28" s="10">
        <v>0.964063364955145</v>
      </c>
      <c r="S28" s="10">
        <v>0.991903611303527</v>
      </c>
      <c r="T28">
        <v>240.07987976074</v>
      </c>
      <c r="U28">
        <v>23</v>
      </c>
      <c r="V28" s="10">
        <v>0.847518259055</v>
      </c>
      <c r="W28" s="10">
        <v>0.917466720451795</v>
      </c>
      <c r="X28" s="10">
        <v>0.96776572709135</v>
      </c>
      <c r="Y28" s="10">
        <v>0.98408496222498698</v>
      </c>
      <c r="Z28">
        <v>339.38980102539</v>
      </c>
      <c r="AA28">
        <v>21</v>
      </c>
      <c r="AB28">
        <v>0.86579137028797004</v>
      </c>
      <c r="AE28">
        <v>105.83782196045</v>
      </c>
      <c r="AF28">
        <v>23</v>
      </c>
      <c r="AG28">
        <v>0.86641964492144996</v>
      </c>
    </row>
    <row r="29" spans="1:33">
      <c r="A29">
        <v>5816.4241313933999</v>
      </c>
      <c r="B29">
        <v>23</v>
      </c>
      <c r="C29" s="10">
        <v>0.84077433541445701</v>
      </c>
      <c r="D29" s="10">
        <v>0.91350071460568605</v>
      </c>
      <c r="E29" s="10">
        <v>0.92983263707344999</v>
      </c>
      <c r="F29" s="10">
        <v>0.98693430836789198</v>
      </c>
      <c r="H29">
        <v>103.8978099823</v>
      </c>
      <c r="I29">
        <v>22</v>
      </c>
      <c r="J29" s="13">
        <v>0.84721007188771802</v>
      </c>
      <c r="K29" s="13">
        <v>0.91728611139709604</v>
      </c>
      <c r="L29" s="13">
        <v>0.94862097749612395</v>
      </c>
      <c r="M29" s="14">
        <v>0.98490829855644502</v>
      </c>
      <c r="N29">
        <v>14480.317354201999</v>
      </c>
      <c r="O29">
        <v>24</v>
      </c>
      <c r="P29" s="10">
        <v>0.91001633662898795</v>
      </c>
      <c r="Q29" s="10">
        <v>0.95288853731490797</v>
      </c>
      <c r="R29" s="10">
        <v>0.978901924932703</v>
      </c>
      <c r="S29" s="10">
        <v>0.99215687099989303</v>
      </c>
      <c r="T29">
        <v>244.30489540100001</v>
      </c>
      <c r="U29">
        <v>24</v>
      </c>
      <c r="V29" s="10">
        <v>0.90580603619525102</v>
      </c>
      <c r="W29" s="10">
        <v>0.95057526211177401</v>
      </c>
      <c r="X29" s="10">
        <v>0.95036006381969496</v>
      </c>
      <c r="Y29" s="10">
        <v>0.99247444014628805</v>
      </c>
      <c r="Z29">
        <v>338.98639678954999</v>
      </c>
      <c r="AA29">
        <v>22</v>
      </c>
      <c r="AB29">
        <v>0.87417274178341997</v>
      </c>
      <c r="AE29">
        <v>101.61423683167</v>
      </c>
      <c r="AF29">
        <v>24</v>
      </c>
      <c r="AG29">
        <v>0.86299309863314999</v>
      </c>
    </row>
    <row r="30" spans="1:33">
      <c r="A30">
        <v>2935.4498386383002</v>
      </c>
      <c r="B30">
        <v>24</v>
      </c>
      <c r="C30" s="10">
        <v>0.87532724580107601</v>
      </c>
      <c r="D30" s="10">
        <v>0.93351946734732805</v>
      </c>
      <c r="E30" s="10">
        <v>0.91646886780667303</v>
      </c>
      <c r="F30" s="10">
        <v>0.99299064652408997</v>
      </c>
      <c r="H30">
        <v>101.73869132996001</v>
      </c>
      <c r="I30">
        <v>23</v>
      </c>
      <c r="J30" s="11">
        <v>0.841337297139236</v>
      </c>
      <c r="K30" s="11">
        <v>0.91383289573981497</v>
      </c>
      <c r="L30" s="11">
        <v>0.878875505279341</v>
      </c>
      <c r="M30" s="12">
        <v>0.99538913025864795</v>
      </c>
      <c r="N30">
        <v>13447.830438614001</v>
      </c>
      <c r="O30">
        <v>25</v>
      </c>
      <c r="P30" s="10">
        <v>0.924185842165961</v>
      </c>
      <c r="Q30" s="10">
        <v>0.96059935783089501</v>
      </c>
      <c r="R30" s="10">
        <v>0.97615940137474899</v>
      </c>
      <c r="S30" s="10">
        <v>0.99384534973162597</v>
      </c>
      <c r="T30">
        <v>240.01336097717001</v>
      </c>
      <c r="U30">
        <v>25</v>
      </c>
      <c r="V30" s="10">
        <v>0.878902895350263</v>
      </c>
      <c r="W30" s="10">
        <v>0.93554903505156295</v>
      </c>
      <c r="X30" s="10">
        <v>0.91556304615237105</v>
      </c>
      <c r="Y30" s="10">
        <v>0.99434470240918704</v>
      </c>
      <c r="Z30">
        <v>338.53387832641999</v>
      </c>
      <c r="AA30">
        <v>23</v>
      </c>
      <c r="AB30">
        <v>0.88178202519619997</v>
      </c>
      <c r="AE30">
        <v>101.60160064697</v>
      </c>
      <c r="AF30">
        <v>25</v>
      </c>
      <c r="AG30">
        <v>0.85116253598698</v>
      </c>
    </row>
    <row r="31" spans="1:33">
      <c r="A31">
        <v>2811.9328022003001</v>
      </c>
      <c r="B31">
        <v>25</v>
      </c>
      <c r="C31" s="10">
        <v>0.84050874453959001</v>
      </c>
      <c r="D31" s="10">
        <v>0.91334392953383803</v>
      </c>
      <c r="E31" s="10">
        <v>0.90886999820945902</v>
      </c>
      <c r="F31" s="10">
        <v>0.98975725147724702</v>
      </c>
      <c r="H31">
        <v>103.74402999877999</v>
      </c>
      <c r="I31">
        <v>24</v>
      </c>
      <c r="J31" s="13">
        <v>0.88185448936035304</v>
      </c>
      <c r="K31" s="13">
        <v>0.93721857279209397</v>
      </c>
      <c r="L31" s="13">
        <v>0.91826316561537302</v>
      </c>
      <c r="M31" s="14">
        <v>0.99382944764293402</v>
      </c>
      <c r="N31">
        <v>13689.628124237001</v>
      </c>
      <c r="O31">
        <v>26</v>
      </c>
      <c r="P31" s="10">
        <v>0.90848572518369697</v>
      </c>
      <c r="Q31" s="10">
        <v>0.95204875068819605</v>
      </c>
      <c r="R31" s="10">
        <v>0.95404904961644499</v>
      </c>
      <c r="S31" s="10">
        <v>0.99275752214707302</v>
      </c>
      <c r="T31">
        <v>242.34700202942</v>
      </c>
      <c r="U31">
        <v>26</v>
      </c>
      <c r="V31" s="10">
        <v>0.89848692696709698</v>
      </c>
      <c r="W31" s="10">
        <v>0.94652948535438497</v>
      </c>
      <c r="X31" s="10">
        <v>0.95662631341830195</v>
      </c>
      <c r="Y31" s="10">
        <v>0.99022457676424103</v>
      </c>
      <c r="Z31">
        <v>338.93561363219999</v>
      </c>
      <c r="AA31">
        <v>24</v>
      </c>
      <c r="AB31">
        <v>0.84185699696876004</v>
      </c>
      <c r="AE31">
        <v>101.30453109741001</v>
      </c>
      <c r="AF31">
        <v>26</v>
      </c>
      <c r="AG31">
        <v>0.83892168679999002</v>
      </c>
    </row>
    <row r="32" spans="1:33">
      <c r="A32">
        <v>3033.4298610687001</v>
      </c>
      <c r="B32">
        <v>26</v>
      </c>
      <c r="C32" s="10">
        <v>0.84222873356452699</v>
      </c>
      <c r="D32" s="10">
        <v>0.91435848135415698</v>
      </c>
      <c r="E32" s="10">
        <v>0.91023058653759403</v>
      </c>
      <c r="F32" s="10">
        <v>0.99150810455876803</v>
      </c>
      <c r="H32">
        <v>102.28133201599</v>
      </c>
      <c r="I32">
        <v>25</v>
      </c>
      <c r="J32" s="11">
        <v>0.87475893103131597</v>
      </c>
      <c r="K32" s="11">
        <v>0.93319617424103196</v>
      </c>
      <c r="L32" s="11">
        <v>0.91265709586240995</v>
      </c>
      <c r="M32" s="12">
        <v>0.994123469946953</v>
      </c>
      <c r="N32">
        <v>13058.100938797001</v>
      </c>
      <c r="O32">
        <v>27</v>
      </c>
      <c r="P32" s="10">
        <v>0.904301364597347</v>
      </c>
      <c r="Q32" s="10">
        <v>0.94974606583717502</v>
      </c>
      <c r="R32" s="10">
        <v>0.964400790364764</v>
      </c>
      <c r="S32" s="10">
        <v>0.99125195471219096</v>
      </c>
      <c r="T32">
        <v>242.99740791321</v>
      </c>
      <c r="U32">
        <v>27</v>
      </c>
      <c r="V32" s="10">
        <v>0.89783739441634802</v>
      </c>
      <c r="W32" s="10">
        <v>0.94616893634606103</v>
      </c>
      <c r="X32" s="10">
        <v>0.957921768151347</v>
      </c>
      <c r="Y32" s="10">
        <v>0.99263394251341497</v>
      </c>
      <c r="Z32">
        <v>338.91057968140001</v>
      </c>
      <c r="AA32">
        <v>25</v>
      </c>
      <c r="AB32">
        <v>0.81780860137908995</v>
      </c>
      <c r="AE32">
        <v>101.67121887207</v>
      </c>
      <c r="AF32">
        <v>27</v>
      </c>
      <c r="AG32">
        <v>0.87257493188011004</v>
      </c>
    </row>
    <row r="33" spans="1:33">
      <c r="A33">
        <v>2843.9562320709001</v>
      </c>
      <c r="B33">
        <v>27</v>
      </c>
      <c r="C33" s="10">
        <v>0.88415356906451503</v>
      </c>
      <c r="D33" s="10">
        <v>0.93851539872463596</v>
      </c>
      <c r="E33" s="10">
        <v>0.91754397175583402</v>
      </c>
      <c r="F33" s="10">
        <v>0.99487969226170703</v>
      </c>
      <c r="H33">
        <v>103.57236862182999</v>
      </c>
      <c r="I33">
        <v>26</v>
      </c>
      <c r="J33" s="13">
        <v>0.84941131788834001</v>
      </c>
      <c r="K33" s="13">
        <v>0.918574802341102</v>
      </c>
      <c r="L33" s="13">
        <v>0.89638659120592001</v>
      </c>
      <c r="M33" s="14">
        <v>0.99114580164073096</v>
      </c>
      <c r="N33">
        <v>20828.855514526</v>
      </c>
      <c r="O33">
        <v>28</v>
      </c>
      <c r="P33" s="10">
        <v>0.91110430782369101</v>
      </c>
      <c r="Q33" s="10">
        <v>0.95348464664519506</v>
      </c>
      <c r="R33" s="10">
        <v>0.95859257124451103</v>
      </c>
      <c r="S33" s="10">
        <v>0.99339244918880398</v>
      </c>
      <c r="T33">
        <v>240.28897285460999</v>
      </c>
      <c r="U33">
        <v>28</v>
      </c>
      <c r="V33" s="10">
        <v>0.90839440095373802</v>
      </c>
      <c r="W33" s="10">
        <v>0.95199860207068199</v>
      </c>
      <c r="X33" s="10">
        <v>0.97717611608343902</v>
      </c>
      <c r="Y33" s="10">
        <v>0.99099000074700905</v>
      </c>
      <c r="Z33">
        <v>339.00594711304001</v>
      </c>
      <c r="AA33">
        <v>26</v>
      </c>
      <c r="AB33">
        <v>0.85903169356407005</v>
      </c>
      <c r="AE33">
        <v>101.65047645569</v>
      </c>
      <c r="AF33">
        <v>28</v>
      </c>
      <c r="AG33">
        <v>0.85852318802882999</v>
      </c>
    </row>
    <row r="34" spans="1:33">
      <c r="A34">
        <v>2784.7247123717998</v>
      </c>
      <c r="B34">
        <v>28</v>
      </c>
      <c r="C34" s="10">
        <v>0.83050131261912397</v>
      </c>
      <c r="D34" s="10">
        <v>0.90740313256680805</v>
      </c>
      <c r="E34" s="10">
        <v>0.88845180960441605</v>
      </c>
      <c r="F34" s="10">
        <v>0.99231952471038098</v>
      </c>
      <c r="H34">
        <v>101.19867324829001</v>
      </c>
      <c r="I34">
        <v>27</v>
      </c>
      <c r="J34" s="11">
        <v>0.87000347584289195</v>
      </c>
      <c r="K34" s="11">
        <v>0.93048327137546405</v>
      </c>
      <c r="L34" s="11">
        <v>0.90070631161397197</v>
      </c>
      <c r="M34" s="12">
        <v>0.99546111107523305</v>
      </c>
      <c r="N34">
        <v>27219.798564911001</v>
      </c>
      <c r="O34">
        <v>29</v>
      </c>
      <c r="P34" s="10">
        <v>0.904632860642957</v>
      </c>
      <c r="Q34" s="10">
        <v>0.949928859609799</v>
      </c>
      <c r="R34" s="10">
        <v>0.97682109250518501</v>
      </c>
      <c r="S34" s="10">
        <v>0.99160717842887802</v>
      </c>
      <c r="T34">
        <v>243.25084686279001</v>
      </c>
      <c r="U34">
        <v>29</v>
      </c>
      <c r="V34" s="10">
        <v>0.92850897645138697</v>
      </c>
      <c r="W34" s="10">
        <v>0.96292937993985195</v>
      </c>
      <c r="X34" s="10">
        <v>0.98305973833621296</v>
      </c>
      <c r="Y34" s="10">
        <v>0.99171222620747201</v>
      </c>
      <c r="Z34">
        <v>338.76872062682997</v>
      </c>
      <c r="AA34">
        <v>27</v>
      </c>
      <c r="AB34">
        <v>0.87739466545764999</v>
      </c>
      <c r="AE34">
        <v>101.55606269835999</v>
      </c>
      <c r="AF34">
        <v>29</v>
      </c>
      <c r="AG34">
        <v>0.84122666313892003</v>
      </c>
    </row>
    <row r="35" spans="1:33">
      <c r="A35">
        <v>3025.4399776458999</v>
      </c>
      <c r="B35">
        <v>29</v>
      </c>
      <c r="C35" s="10">
        <v>0.81312766911721601</v>
      </c>
      <c r="D35" s="10">
        <v>0.89693371621548901</v>
      </c>
      <c r="E35" s="10">
        <v>0.90634033951355197</v>
      </c>
      <c r="F35" s="10">
        <v>0.98897300959059598</v>
      </c>
      <c r="H35">
        <v>103.81293296814</v>
      </c>
      <c r="I35">
        <v>28</v>
      </c>
      <c r="J35" s="13">
        <v>0.85506631765204799</v>
      </c>
      <c r="K35" s="13">
        <v>0.92187142800835598</v>
      </c>
      <c r="L35" s="13">
        <v>0.92671484721693898</v>
      </c>
      <c r="M35" s="14">
        <v>0.98853622786171402</v>
      </c>
      <c r="N35">
        <v>13882.433176041</v>
      </c>
      <c r="O35">
        <v>30</v>
      </c>
      <c r="P35" s="10">
        <v>0.91733400066733395</v>
      </c>
      <c r="Q35" s="10">
        <v>0.95688492495105504</v>
      </c>
      <c r="R35" s="10">
        <v>0.96486456306033197</v>
      </c>
      <c r="S35" s="10">
        <v>0.99296363533953402</v>
      </c>
      <c r="T35">
        <v>241.68562889098999</v>
      </c>
      <c r="U35">
        <v>30</v>
      </c>
      <c r="V35" s="10">
        <v>0.92622548093276302</v>
      </c>
      <c r="W35" s="10">
        <v>0.96169995683396703</v>
      </c>
      <c r="X35" s="10">
        <v>0.98804604188924905</v>
      </c>
      <c r="Y35" s="10">
        <v>0.99302478927953697</v>
      </c>
      <c r="Z35">
        <v>341.59302711486998</v>
      </c>
      <c r="AA35">
        <v>28</v>
      </c>
      <c r="AB35">
        <v>0.80583927767376995</v>
      </c>
      <c r="AE35">
        <v>101.23419761658</v>
      </c>
      <c r="AF35">
        <v>30</v>
      </c>
      <c r="AG35">
        <v>0.80707003964507995</v>
      </c>
    </row>
    <row r="36" spans="1:33">
      <c r="A36">
        <v>2775.7155895233</v>
      </c>
      <c r="B36">
        <v>30</v>
      </c>
      <c r="C36" s="10">
        <v>0.87130014803542899</v>
      </c>
      <c r="D36" s="10">
        <v>0.93122436713336099</v>
      </c>
      <c r="E36" s="10">
        <v>0.92262895174708803</v>
      </c>
      <c r="F36" s="10">
        <v>0.99280061987230095</v>
      </c>
      <c r="H36">
        <v>101.75800323486</v>
      </c>
      <c r="I36">
        <v>29</v>
      </c>
      <c r="J36" s="11">
        <v>0.86804562888319603</v>
      </c>
      <c r="K36" s="11">
        <v>0.92936234047147304</v>
      </c>
      <c r="L36" s="11">
        <v>0.92579566638238697</v>
      </c>
      <c r="M36" s="12">
        <v>0.99037744643736203</v>
      </c>
      <c r="N36">
        <v>17000.013113022</v>
      </c>
      <c r="O36">
        <v>31</v>
      </c>
      <c r="P36" s="10">
        <v>0.89850947954629201</v>
      </c>
      <c r="Q36" s="10">
        <v>0.94654199963333197</v>
      </c>
      <c r="R36" s="10">
        <v>0.95666991236611398</v>
      </c>
      <c r="S36" s="10">
        <v>0.99022128352788996</v>
      </c>
      <c r="T36">
        <v>239.48836326598999</v>
      </c>
      <c r="U36">
        <v>31</v>
      </c>
      <c r="V36" s="10">
        <v>0.92973803188612703</v>
      </c>
      <c r="W36" s="10">
        <v>0.96358989305651999</v>
      </c>
      <c r="X36" s="10">
        <v>0.97366791518153795</v>
      </c>
      <c r="Y36" s="10">
        <v>0.99317034727861697</v>
      </c>
      <c r="Z36">
        <v>339.28132057189998</v>
      </c>
      <c r="AA36">
        <v>29</v>
      </c>
      <c r="AB36">
        <v>0.85495251693452001</v>
      </c>
      <c r="AE36">
        <v>101.45807266235001</v>
      </c>
      <c r="AF36">
        <v>31</v>
      </c>
      <c r="AG36">
        <v>0.80141064224286995</v>
      </c>
    </row>
    <row r="37" spans="1:33">
      <c r="A37">
        <v>2826.6279697417999</v>
      </c>
      <c r="B37">
        <v>31</v>
      </c>
      <c r="C37" s="10">
        <v>0.84369458038015899</v>
      </c>
      <c r="D37" s="10">
        <v>0.91522163091263598</v>
      </c>
      <c r="E37" s="10">
        <v>0.94121846254257602</v>
      </c>
      <c r="F37" s="10">
        <v>0.98114009155963</v>
      </c>
      <c r="H37">
        <v>103.32989692688</v>
      </c>
      <c r="I37">
        <v>30</v>
      </c>
      <c r="J37" s="13">
        <v>0.86366796650645306</v>
      </c>
      <c r="K37" s="13">
        <v>0.92684746642444604</v>
      </c>
      <c r="L37" s="13">
        <v>0.90402160041344504</v>
      </c>
      <c r="M37" s="14">
        <v>0.99535524024312105</v>
      </c>
      <c r="N37">
        <v>18127.736330031999</v>
      </c>
      <c r="O37">
        <v>32</v>
      </c>
      <c r="P37" s="10">
        <v>0.90675676771937797</v>
      </c>
      <c r="Q37" s="10">
        <v>0.95109851772434095</v>
      </c>
      <c r="R37" s="10">
        <v>0.97078314037815105</v>
      </c>
      <c r="S37" s="10">
        <v>0.99129025311831398</v>
      </c>
      <c r="T37">
        <v>245.98097801207999</v>
      </c>
      <c r="U37">
        <v>32</v>
      </c>
      <c r="V37" s="10">
        <v>0.90330612912337005</v>
      </c>
      <c r="W37" s="10">
        <v>0.94919688987647699</v>
      </c>
      <c r="X37" s="10">
        <v>0.94393655774503404</v>
      </c>
      <c r="Y37" s="10">
        <v>0.993704264597006</v>
      </c>
      <c r="Z37">
        <v>337.95404434203999</v>
      </c>
      <c r="AA37">
        <v>30</v>
      </c>
      <c r="AB37">
        <v>0.88466392272986005</v>
      </c>
      <c r="AE37">
        <v>101.39393806458</v>
      </c>
      <c r="AF37">
        <v>32</v>
      </c>
      <c r="AG37">
        <v>0.83307857618500003</v>
      </c>
    </row>
    <row r="38" spans="1:33">
      <c r="A38">
        <v>2842.4439430236998</v>
      </c>
      <c r="B38">
        <v>32</v>
      </c>
      <c r="C38" s="10">
        <v>0.82622965807277304</v>
      </c>
      <c r="D38" s="10">
        <v>0.904847486646007</v>
      </c>
      <c r="E38" s="10">
        <v>0.87370090006477297</v>
      </c>
      <c r="F38" s="10">
        <v>0.99371203600740199</v>
      </c>
      <c r="H38">
        <v>101.86243057250999</v>
      </c>
      <c r="I38">
        <v>31</v>
      </c>
      <c r="J38" s="11">
        <v>0.84066620075540399</v>
      </c>
      <c r="K38" s="11">
        <v>0.91343688541724399</v>
      </c>
      <c r="L38" s="11">
        <v>0.92981526676451898</v>
      </c>
      <c r="M38" s="12">
        <v>0.98691931003377797</v>
      </c>
      <c r="N38">
        <v>18883.706808089999</v>
      </c>
      <c r="O38">
        <v>33</v>
      </c>
      <c r="P38" s="10">
        <v>0.90600194275734103</v>
      </c>
      <c r="Q38" s="10">
        <v>0.950683126216191</v>
      </c>
      <c r="R38" s="10">
        <v>0.97388543765095503</v>
      </c>
      <c r="S38" s="10">
        <v>0.99255160873298698</v>
      </c>
      <c r="T38">
        <v>243.17216873168999</v>
      </c>
      <c r="U38">
        <v>33</v>
      </c>
      <c r="V38" s="10">
        <v>0.92374510501957996</v>
      </c>
      <c r="W38" s="10">
        <v>0.96036122728450302</v>
      </c>
      <c r="X38" s="10">
        <v>0.98803520054154603</v>
      </c>
      <c r="Y38" s="10">
        <v>0.99115967824453199</v>
      </c>
      <c r="Z38">
        <v>337.93759346008</v>
      </c>
      <c r="AA38">
        <v>31</v>
      </c>
      <c r="AB38">
        <v>0.85804659611768996</v>
      </c>
      <c r="AE38">
        <v>101.50861740112001</v>
      </c>
      <c r="AF38">
        <v>33</v>
      </c>
      <c r="AG38">
        <v>0.77579951721871998</v>
      </c>
    </row>
    <row r="39" spans="1:33">
      <c r="A39">
        <v>2853.1208038330001</v>
      </c>
      <c r="B39">
        <v>33</v>
      </c>
      <c r="C39" s="10">
        <v>0.88128580964565795</v>
      </c>
      <c r="D39" s="10">
        <v>0.936897312600948</v>
      </c>
      <c r="E39" s="10">
        <v>0.94673349567503695</v>
      </c>
      <c r="F39" s="10">
        <v>0.98913088634331103</v>
      </c>
      <c r="H39">
        <v>104.22110557556</v>
      </c>
      <c r="I39">
        <v>32</v>
      </c>
      <c r="J39" s="13">
        <v>0.86979143811786497</v>
      </c>
      <c r="K39" s="13">
        <v>0.93036198624740496</v>
      </c>
      <c r="L39" s="13">
        <v>0.94079277471149003</v>
      </c>
      <c r="M39" s="14">
        <v>0.98663957367377797</v>
      </c>
      <c r="N39">
        <v>15427.240371704</v>
      </c>
      <c r="O39">
        <v>34</v>
      </c>
      <c r="P39" s="10">
        <v>0.93728547098126502</v>
      </c>
      <c r="Q39" s="10">
        <v>0.96762762640914801</v>
      </c>
      <c r="R39" s="10">
        <v>0.99341822069788999</v>
      </c>
      <c r="S39" s="10">
        <v>0.99046368217285596</v>
      </c>
      <c r="T39">
        <v>239.54033851624001</v>
      </c>
      <c r="U39">
        <v>34</v>
      </c>
      <c r="V39" s="10">
        <v>0.90671166530102298</v>
      </c>
      <c r="W39" s="10">
        <v>0.95107370642521905</v>
      </c>
      <c r="X39" s="10">
        <v>0.97068760367903095</v>
      </c>
      <c r="Y39" s="10">
        <v>0.99129668097579104</v>
      </c>
      <c r="Z39">
        <v>339.02740478516</v>
      </c>
      <c r="AA39">
        <v>32</v>
      </c>
      <c r="AB39">
        <v>0.85150053691528005</v>
      </c>
      <c r="AE39">
        <v>101.71675682068</v>
      </c>
      <c r="AF39">
        <v>34</v>
      </c>
      <c r="AG39">
        <v>0.86901812903328002</v>
      </c>
    </row>
    <row r="40" spans="1:33">
      <c r="A40">
        <v>2836.5240097045998</v>
      </c>
      <c r="B40">
        <v>34</v>
      </c>
      <c r="C40" s="10">
        <v>0.85603789014583598</v>
      </c>
      <c r="D40" s="10">
        <v>0.92243579152209398</v>
      </c>
      <c r="E40" s="10">
        <v>0.94163462043013102</v>
      </c>
      <c r="F40" s="10">
        <v>0.98542464555959197</v>
      </c>
      <c r="H40">
        <v>101.45401954651</v>
      </c>
      <c r="I40">
        <v>33</v>
      </c>
      <c r="J40" s="11">
        <v>0.84099246958872298</v>
      </c>
      <c r="K40" s="11">
        <v>0.91362945094131798</v>
      </c>
      <c r="L40" s="11">
        <v>0.914788787860224</v>
      </c>
      <c r="M40" s="12">
        <v>0.98926798150928896</v>
      </c>
      <c r="N40">
        <v>15788.952589035</v>
      </c>
      <c r="O40">
        <v>35</v>
      </c>
      <c r="P40" s="10">
        <v>0.91370622779670796</v>
      </c>
      <c r="Q40" s="10">
        <v>0.954907513520169</v>
      </c>
      <c r="R40" s="10">
        <v>0.96825991337501305</v>
      </c>
      <c r="S40" s="10">
        <v>0.99341732586936904</v>
      </c>
      <c r="T40">
        <v>242.3210144043</v>
      </c>
      <c r="U40">
        <v>35</v>
      </c>
      <c r="V40" s="10">
        <v>0.865456451384786</v>
      </c>
      <c r="W40" s="10">
        <v>0.92787633905077904</v>
      </c>
      <c r="X40" s="10">
        <v>0.91099921183991595</v>
      </c>
      <c r="Y40" s="10">
        <v>0.99356903891967496</v>
      </c>
      <c r="Z40">
        <v>337.79621124267999</v>
      </c>
      <c r="AA40">
        <v>33</v>
      </c>
      <c r="AB40">
        <v>0.8885033649256</v>
      </c>
      <c r="AE40">
        <v>101.33457183838</v>
      </c>
      <c r="AF40">
        <v>35</v>
      </c>
      <c r="AG40">
        <v>0.86658755046972002</v>
      </c>
    </row>
    <row r="41" spans="1:33">
      <c r="A41">
        <v>3123.5513687133998</v>
      </c>
      <c r="B41">
        <v>35</v>
      </c>
      <c r="C41" s="10">
        <v>0.86884663115983196</v>
      </c>
      <c r="D41" s="10">
        <v>0.929821224142522</v>
      </c>
      <c r="E41" s="10">
        <v>0.93325881389116405</v>
      </c>
      <c r="F41" s="10">
        <v>0.98819513079547405</v>
      </c>
      <c r="H41">
        <v>103.92427444458001</v>
      </c>
      <c r="I41">
        <v>34</v>
      </c>
      <c r="J41" s="13">
        <v>0.831573650886829</v>
      </c>
      <c r="K41" s="13">
        <v>0.90804281933646502</v>
      </c>
      <c r="L41" s="13">
        <v>0.90980906680368101</v>
      </c>
      <c r="M41" s="14">
        <v>0.98908667124315497</v>
      </c>
      <c r="N41">
        <v>13530.999183655</v>
      </c>
      <c r="O41">
        <v>36</v>
      </c>
      <c r="P41" s="10">
        <v>0.92602441578843997</v>
      </c>
      <c r="Q41" s="10">
        <v>0.96159156467324503</v>
      </c>
      <c r="R41" s="10">
        <v>0.98295089371015598</v>
      </c>
      <c r="S41" s="10">
        <v>0.99241727891943499</v>
      </c>
      <c r="T41">
        <v>238.76094818115001</v>
      </c>
      <c r="U41">
        <v>36</v>
      </c>
      <c r="V41" s="10">
        <v>0.89017682212038896</v>
      </c>
      <c r="W41" s="10">
        <v>0.94189793431261504</v>
      </c>
      <c r="X41" s="10">
        <v>0.94560115642171005</v>
      </c>
      <c r="Y41" s="10">
        <v>0.99234261394244005</v>
      </c>
      <c r="Z41">
        <v>339.46037292480003</v>
      </c>
      <c r="AA41">
        <v>34</v>
      </c>
      <c r="AB41">
        <v>0.87869397217929002</v>
      </c>
      <c r="AE41">
        <v>101.56655311583999</v>
      </c>
      <c r="AF41">
        <v>36</v>
      </c>
      <c r="AG41">
        <v>0.86653848085464003</v>
      </c>
    </row>
    <row r="42" spans="1:33">
      <c r="A42">
        <v>3168.5647964477998</v>
      </c>
      <c r="B42">
        <v>36</v>
      </c>
      <c r="C42" s="10">
        <v>0.89349201468173201</v>
      </c>
      <c r="D42" s="10">
        <v>0.94375049670533195</v>
      </c>
      <c r="E42" s="10">
        <v>0.93019010578082295</v>
      </c>
      <c r="F42" s="10">
        <v>0.99331309889627295</v>
      </c>
      <c r="H42">
        <v>103.2030582428</v>
      </c>
      <c r="I42">
        <v>35</v>
      </c>
      <c r="J42" s="11">
        <v>0.88360442077190204</v>
      </c>
      <c r="K42" s="11">
        <v>0.93820593223050497</v>
      </c>
      <c r="L42" s="11">
        <v>0.94087022092444905</v>
      </c>
      <c r="M42" s="12">
        <v>0.99125571749873898</v>
      </c>
      <c r="N42">
        <v>13671.788692474</v>
      </c>
      <c r="O42">
        <v>37</v>
      </c>
      <c r="P42" s="10">
        <v>0.93076395643646403</v>
      </c>
      <c r="Q42" s="10">
        <v>0.96414059661061702</v>
      </c>
      <c r="R42" s="10">
        <v>0.99074954172041496</v>
      </c>
      <c r="S42" s="10">
        <v>0.991840935853467</v>
      </c>
      <c r="T42">
        <v>238.07954788207999</v>
      </c>
      <c r="U42">
        <v>37</v>
      </c>
      <c r="V42" s="10">
        <v>0.92657500086585998</v>
      </c>
      <c r="W42" s="10">
        <v>0.96188832560313497</v>
      </c>
      <c r="X42" s="10">
        <v>0.98184253745722105</v>
      </c>
      <c r="Y42" s="10">
        <v>0.99308098788294796</v>
      </c>
      <c r="Z42">
        <v>338.73653411865001</v>
      </c>
      <c r="AA42">
        <v>35</v>
      </c>
      <c r="AB42">
        <v>0.89950331242140003</v>
      </c>
      <c r="AE42">
        <v>101.5043258667</v>
      </c>
      <c r="AF42">
        <v>37</v>
      </c>
      <c r="AG42">
        <v>0.85157960442345004</v>
      </c>
    </row>
    <row r="43" spans="1:33">
      <c r="A43">
        <v>3156.1393737793001</v>
      </c>
      <c r="B43">
        <v>37</v>
      </c>
      <c r="C43" s="10">
        <v>0.82179175665946702</v>
      </c>
      <c r="D43" s="10">
        <v>0.90217968508798996</v>
      </c>
      <c r="E43" s="10">
        <v>0.948096556497664</v>
      </c>
      <c r="F43" s="10">
        <v>0.98096026135160197</v>
      </c>
      <c r="H43">
        <v>103.8761138916</v>
      </c>
      <c r="I43">
        <v>36</v>
      </c>
      <c r="J43" s="13">
        <v>0.86077661269406003</v>
      </c>
      <c r="K43" s="13">
        <v>0.92517995639230899</v>
      </c>
      <c r="L43" s="13">
        <v>0.91209438369878804</v>
      </c>
      <c r="M43" s="14">
        <v>0.99358398806795001</v>
      </c>
      <c r="N43">
        <v>19306.549072266</v>
      </c>
      <c r="O43">
        <v>38</v>
      </c>
      <c r="P43" s="10">
        <v>0.92952445925693905</v>
      </c>
      <c r="Q43" s="10">
        <v>0.96347517627726698</v>
      </c>
      <c r="R43" s="10">
        <v>0.97614042093394704</v>
      </c>
      <c r="S43" s="10">
        <v>0.99027653799209303</v>
      </c>
      <c r="T43">
        <v>240.65732955933001</v>
      </c>
      <c r="U43">
        <v>38</v>
      </c>
      <c r="V43" s="10">
        <v>0.90854457255545396</v>
      </c>
      <c r="W43" s="10">
        <v>0.95208106283727401</v>
      </c>
      <c r="X43" s="10">
        <v>0.95404904961644499</v>
      </c>
      <c r="Y43" s="10">
        <v>0.99276734467580696</v>
      </c>
      <c r="Z43">
        <v>339.94460105896002</v>
      </c>
      <c r="AA43">
        <v>36</v>
      </c>
      <c r="AB43">
        <v>0.87006841126460999</v>
      </c>
      <c r="AE43">
        <v>101.46570205688</v>
      </c>
      <c r="AF43">
        <v>38</v>
      </c>
      <c r="AG43">
        <v>0.88210637781553003</v>
      </c>
    </row>
    <row r="44" spans="1:33">
      <c r="A44">
        <v>3170.1836585998999</v>
      </c>
      <c r="B44">
        <v>38</v>
      </c>
      <c r="C44" s="10">
        <v>0.82932211673751</v>
      </c>
      <c r="D44" s="10">
        <v>0.90669883575950905</v>
      </c>
      <c r="E44" s="10">
        <v>0.92398703002400895</v>
      </c>
      <c r="F44" s="10">
        <v>0.98508151520477705</v>
      </c>
      <c r="H44">
        <v>101.71699523926</v>
      </c>
      <c r="I44">
        <v>37</v>
      </c>
      <c r="J44" s="11">
        <v>0.83312101910827996</v>
      </c>
      <c r="K44" s="11">
        <v>0.90896455872133397</v>
      </c>
      <c r="L44" s="11">
        <v>0.88497235550980402</v>
      </c>
      <c r="M44" s="12">
        <v>0.99192236332018102</v>
      </c>
      <c r="N44">
        <v>12925.818920135</v>
      </c>
      <c r="O44">
        <v>39</v>
      </c>
      <c r="P44" s="10">
        <v>0.90579233625142097</v>
      </c>
      <c r="Q44" s="10">
        <v>0.950567718236353</v>
      </c>
      <c r="R44" s="10">
        <v>0.95034569001451696</v>
      </c>
      <c r="S44" s="10">
        <v>0.99247444014628805</v>
      </c>
      <c r="T44">
        <v>242.11359024047999</v>
      </c>
      <c r="U44">
        <v>39</v>
      </c>
      <c r="V44" s="10">
        <v>0.91414952670546601</v>
      </c>
      <c r="W44" s="10">
        <v>0.95514954704594301</v>
      </c>
      <c r="X44" s="10">
        <v>0.96961772537086299</v>
      </c>
      <c r="Y44" s="10">
        <v>0.99169868514631598</v>
      </c>
      <c r="Z44">
        <v>338.08112144469999</v>
      </c>
      <c r="AA44">
        <v>37</v>
      </c>
      <c r="AB44">
        <v>0.88447214625424997</v>
      </c>
      <c r="AE44">
        <v>101.4575958252</v>
      </c>
      <c r="AF44">
        <v>39</v>
      </c>
      <c r="AG44">
        <v>0.84702895971025005</v>
      </c>
    </row>
    <row r="45" spans="1:33">
      <c r="A45">
        <v>3211.6851806640998</v>
      </c>
      <c r="B45">
        <v>39</v>
      </c>
      <c r="C45" s="10">
        <v>0.869836881840373</v>
      </c>
      <c r="D45" s="10">
        <v>0.93038798227601804</v>
      </c>
      <c r="E45" s="10">
        <v>0.90055567643563605</v>
      </c>
      <c r="F45" s="10">
        <v>0.99545788208145203</v>
      </c>
      <c r="H45">
        <v>103.71351242065001</v>
      </c>
      <c r="I45">
        <v>38</v>
      </c>
      <c r="J45" s="13">
        <v>0.51712934461173798</v>
      </c>
      <c r="K45" s="13">
        <v>0.68172083869893296</v>
      </c>
      <c r="L45" s="13">
        <v>0.85336606220050704</v>
      </c>
      <c r="M45" s="14">
        <v>0.87393542892536302</v>
      </c>
      <c r="N45">
        <v>13193.307638168</v>
      </c>
      <c r="O45">
        <v>40</v>
      </c>
      <c r="P45" s="10">
        <v>0.87762624401031997</v>
      </c>
      <c r="Q45" s="10">
        <v>0.93482528464860604</v>
      </c>
      <c r="R45" s="10">
        <v>0.94278360720649301</v>
      </c>
      <c r="S45" s="10">
        <v>0.98983520564327698</v>
      </c>
      <c r="T45">
        <v>238.21616172790999</v>
      </c>
      <c r="U45">
        <v>40</v>
      </c>
      <c r="V45" s="10">
        <v>0.91734221083044498</v>
      </c>
      <c r="W45" s="10">
        <v>0.95688939162625797</v>
      </c>
      <c r="X45" s="10">
        <v>0.96488051558561705</v>
      </c>
      <c r="Y45" s="10">
        <v>0.99296255215531903</v>
      </c>
      <c r="Z45">
        <v>339.06865119934002</v>
      </c>
      <c r="AA45">
        <v>38</v>
      </c>
      <c r="AB45">
        <v>0.84884328504435003</v>
      </c>
      <c r="AE45">
        <v>101.53555870056</v>
      </c>
      <c r="AF45">
        <v>40</v>
      </c>
      <c r="AG45">
        <v>0.87588628935271995</v>
      </c>
    </row>
    <row r="46" spans="1:33">
      <c r="A46">
        <v>3020.8537578583</v>
      </c>
      <c r="B46">
        <v>40</v>
      </c>
      <c r="C46" s="10">
        <v>0.862892796560353</v>
      </c>
      <c r="D46" s="10">
        <v>0.926400915987865</v>
      </c>
      <c r="E46" s="10">
        <v>0.91081938732094703</v>
      </c>
      <c r="F46" s="10">
        <v>0.99330383859109095</v>
      </c>
      <c r="H46">
        <v>101.38082504272001</v>
      </c>
      <c r="I46">
        <v>39</v>
      </c>
      <c r="J46" s="11">
        <v>0.875475102698967</v>
      </c>
      <c r="K46" s="11">
        <v>0.93360354551130398</v>
      </c>
      <c r="L46" s="11">
        <v>0.93808750025711096</v>
      </c>
      <c r="M46" s="12">
        <v>0.98844498601456698</v>
      </c>
      <c r="N46">
        <v>13180.178165436</v>
      </c>
      <c r="O46">
        <v>41</v>
      </c>
      <c r="P46" s="10">
        <v>0.92131996211326905</v>
      </c>
      <c r="Q46" s="10">
        <v>0.95904896662803096</v>
      </c>
      <c r="R46" s="10">
        <v>0.95906340317919003</v>
      </c>
      <c r="S46" s="10">
        <v>0.99405599140341006</v>
      </c>
      <c r="T46">
        <v>238.34204673766999</v>
      </c>
      <c r="U46">
        <v>41</v>
      </c>
      <c r="V46" s="10">
        <v>0.90719820588776701</v>
      </c>
      <c r="W46" s="10">
        <v>0.95134129540089596</v>
      </c>
      <c r="X46" s="10">
        <v>0.96096298397390401</v>
      </c>
      <c r="Y46" s="10">
        <v>0.99285500555698003</v>
      </c>
      <c r="Z46">
        <v>338.51432800292997</v>
      </c>
      <c r="AA46">
        <v>39</v>
      </c>
      <c r="AB46">
        <v>0.86669363736668004</v>
      </c>
      <c r="AE46">
        <v>105.4675579071</v>
      </c>
      <c r="AF46">
        <v>41</v>
      </c>
      <c r="AG46">
        <v>0.85803691366364998</v>
      </c>
    </row>
    <row r="47" spans="1:33">
      <c r="A47">
        <v>3099.5204448700001</v>
      </c>
      <c r="B47">
        <v>41</v>
      </c>
      <c r="C47" s="10">
        <v>0.88180780289789695</v>
      </c>
      <c r="D47" s="10">
        <v>0.93719220585646801</v>
      </c>
      <c r="E47" s="10">
        <v>0.91774240868417101</v>
      </c>
      <c r="F47" s="10">
        <v>0.99390947079483805</v>
      </c>
      <c r="H47">
        <v>103.40046882628999</v>
      </c>
      <c r="I47">
        <v>40</v>
      </c>
      <c r="J47" s="13">
        <v>0.85015037231219504</v>
      </c>
      <c r="K47" s="13">
        <v>0.919006784567174</v>
      </c>
      <c r="L47" s="13">
        <v>0.91822856050999602</v>
      </c>
      <c r="M47" s="14">
        <v>0.99012253625843305</v>
      </c>
      <c r="N47">
        <v>14657.440185547001</v>
      </c>
      <c r="O47">
        <v>42</v>
      </c>
      <c r="P47" s="10">
        <v>0.90719742931021496</v>
      </c>
      <c r="Q47" s="10">
        <v>0.95134086840534904</v>
      </c>
      <c r="R47" s="10">
        <v>0.96095411998298097</v>
      </c>
      <c r="S47" s="10">
        <v>0.99285607420706101</v>
      </c>
      <c r="T47">
        <v>240.64350128173999</v>
      </c>
      <c r="U47">
        <v>42</v>
      </c>
      <c r="V47" s="10">
        <v>0.92129104094514302</v>
      </c>
      <c r="W47" s="10">
        <v>0.95903329720616504</v>
      </c>
      <c r="X47" s="10">
        <v>0.95903329720616504</v>
      </c>
      <c r="Y47" s="10">
        <v>0.99405599140341006</v>
      </c>
      <c r="Z47">
        <v>338.91177177429</v>
      </c>
      <c r="AA47">
        <v>40</v>
      </c>
      <c r="AB47">
        <v>0.89033550685089002</v>
      </c>
      <c r="AE47">
        <v>101.50551795958999</v>
      </c>
      <c r="AF47">
        <v>42</v>
      </c>
      <c r="AG47">
        <v>0.85073544369853005</v>
      </c>
    </row>
    <row r="48" spans="1:33">
      <c r="A48">
        <v>2922.9264259338001</v>
      </c>
      <c r="B48">
        <v>42</v>
      </c>
      <c r="C48" s="10">
        <v>0.88093355020667596</v>
      </c>
      <c r="D48" s="10">
        <v>0.93669821574491996</v>
      </c>
      <c r="E48" s="10">
        <v>0.91705437796608802</v>
      </c>
      <c r="F48" s="10">
        <v>0.99426088979581995</v>
      </c>
      <c r="H48">
        <v>101.21679306030001</v>
      </c>
      <c r="I48">
        <v>41</v>
      </c>
      <c r="J48" s="11">
        <v>0.86293478443425498</v>
      </c>
      <c r="K48" s="11">
        <v>0.92642511336897404</v>
      </c>
      <c r="L48" s="11">
        <v>0.91086370727556298</v>
      </c>
      <c r="M48" s="12">
        <v>0.99330383859109095</v>
      </c>
      <c r="N48">
        <v>12420.928716660001</v>
      </c>
      <c r="O48">
        <v>43</v>
      </c>
      <c r="P48" s="10">
        <v>0.92222563992831696</v>
      </c>
      <c r="Q48" s="10">
        <v>0.95953942219052701</v>
      </c>
      <c r="R48" s="10">
        <v>0.96644149510181698</v>
      </c>
      <c r="S48" s="10">
        <v>0.99244703986223104</v>
      </c>
      <c r="T48">
        <v>240.58818817138999</v>
      </c>
      <c r="U48">
        <v>43</v>
      </c>
      <c r="V48" s="10">
        <v>0.88896703902909902</v>
      </c>
      <c r="W48" s="10">
        <v>0.941220276120874</v>
      </c>
      <c r="X48" s="10">
        <v>0.92421624644237099</v>
      </c>
      <c r="Y48" s="10">
        <v>0.99391587383825697</v>
      </c>
      <c r="Z48">
        <v>340.28720855712999</v>
      </c>
      <c r="AA48">
        <v>41</v>
      </c>
      <c r="AB48">
        <v>0.83019313220311997</v>
      </c>
      <c r="AE48">
        <v>99.531412124634002</v>
      </c>
      <c r="AF48">
        <v>43</v>
      </c>
      <c r="AG48">
        <v>0.86478596083744996</v>
      </c>
    </row>
    <row r="49" spans="1:33">
      <c r="A49">
        <v>3200.3993988037</v>
      </c>
      <c r="B49">
        <v>43</v>
      </c>
      <c r="C49" s="10">
        <v>0.85522528160200195</v>
      </c>
      <c r="D49" s="10">
        <v>0.92196380685747004</v>
      </c>
      <c r="E49" s="10">
        <v>0.91592386569264705</v>
      </c>
      <c r="F49" s="10">
        <v>0.99337469370731402</v>
      </c>
      <c r="H49">
        <v>103.59048843383999</v>
      </c>
      <c r="I49">
        <v>42</v>
      </c>
      <c r="J49" s="13">
        <v>0.892157187204215</v>
      </c>
      <c r="K49" s="13">
        <v>0.94300536259615397</v>
      </c>
      <c r="L49" s="13">
        <v>0.94451529718442095</v>
      </c>
      <c r="M49" s="14">
        <v>0.99075474405819797</v>
      </c>
      <c r="N49">
        <v>12010.93173027</v>
      </c>
      <c r="O49">
        <v>44</v>
      </c>
      <c r="P49" s="10">
        <v>0.92140476968311003</v>
      </c>
      <c r="Q49" s="10">
        <v>0.95909491245311496</v>
      </c>
      <c r="R49" s="10">
        <v>0.97450090179737503</v>
      </c>
      <c r="S49" s="10">
        <v>0.99077406471099105</v>
      </c>
      <c r="T49">
        <v>240.68713188171</v>
      </c>
      <c r="U49">
        <v>44</v>
      </c>
      <c r="V49" s="10">
        <v>0.92138670917917298</v>
      </c>
      <c r="W49" s="10">
        <v>0.95908512823302905</v>
      </c>
      <c r="X49" s="10">
        <v>0.97450090179737503</v>
      </c>
      <c r="Y49" s="10">
        <v>0.990770745631261</v>
      </c>
      <c r="Z49">
        <v>338.77158164977999</v>
      </c>
      <c r="AA49">
        <v>42</v>
      </c>
      <c r="AB49">
        <v>0.83032952085528</v>
      </c>
      <c r="AE49">
        <v>101.52196884155001</v>
      </c>
      <c r="AF49">
        <v>44</v>
      </c>
      <c r="AG49">
        <v>0.80751921933887005</v>
      </c>
    </row>
    <row r="50" spans="1:33">
      <c r="A50">
        <v>2651.5731811523001</v>
      </c>
      <c r="B50">
        <v>44</v>
      </c>
      <c r="C50" s="10">
        <v>0.87245887936953304</v>
      </c>
      <c r="D50" s="10">
        <v>0.93188575619166003</v>
      </c>
      <c r="E50" s="10">
        <v>0.92540172563919798</v>
      </c>
      <c r="F50" s="10">
        <v>0.99168768419705799</v>
      </c>
      <c r="H50">
        <v>101.83095932006999</v>
      </c>
      <c r="I50">
        <v>43</v>
      </c>
      <c r="J50" s="11">
        <v>0.88402684770393603</v>
      </c>
      <c r="K50" s="11">
        <v>0.93844400230421299</v>
      </c>
      <c r="L50" s="11">
        <v>0.917384219691039</v>
      </c>
      <c r="M50" s="12">
        <v>0.99488402416334698</v>
      </c>
      <c r="N50">
        <v>12089.904546738</v>
      </c>
      <c r="O50">
        <v>45</v>
      </c>
      <c r="P50" s="10">
        <v>0.885772015836222</v>
      </c>
      <c r="Q50" s="10">
        <v>0.93942640828025803</v>
      </c>
      <c r="R50" s="10">
        <v>0.96151105569039597</v>
      </c>
      <c r="S50" s="10">
        <v>0.99198963659234096</v>
      </c>
      <c r="T50">
        <v>241.51611328125</v>
      </c>
      <c r="U50">
        <v>45</v>
      </c>
      <c r="V50" s="10">
        <v>0.89354225017174804</v>
      </c>
      <c r="W50" s="10">
        <v>0.94377851890096698</v>
      </c>
      <c r="X50" s="10">
        <v>0.95222496503693399</v>
      </c>
      <c r="Y50" s="10">
        <v>0.99257246280658296</v>
      </c>
      <c r="Z50">
        <v>339.77603912353999</v>
      </c>
      <c r="AA50">
        <v>43</v>
      </c>
      <c r="AB50">
        <v>0.86300806063336</v>
      </c>
      <c r="AE50">
        <v>101.22466087341</v>
      </c>
      <c r="AF50">
        <v>45</v>
      </c>
      <c r="AG50">
        <v>0.85073430551245999</v>
      </c>
    </row>
    <row r="51" spans="1:33">
      <c r="A51">
        <v>2678.9166927338001</v>
      </c>
      <c r="B51">
        <v>45</v>
      </c>
      <c r="C51" s="10">
        <v>0.88981286114213998</v>
      </c>
      <c r="D51" s="10">
        <v>0.94169415336116002</v>
      </c>
      <c r="E51" s="10">
        <v>0.92744103146425905</v>
      </c>
      <c r="F51" s="10">
        <v>0.99353004176223803</v>
      </c>
      <c r="H51">
        <v>103.91259193419999</v>
      </c>
      <c r="I51">
        <v>44</v>
      </c>
      <c r="J51" s="13">
        <v>0.85958702534162601</v>
      </c>
      <c r="K51" s="13">
        <v>0.92449238850084003</v>
      </c>
      <c r="L51" s="13">
        <v>0.916040822554122</v>
      </c>
      <c r="M51" s="14">
        <v>0.99167420658885297</v>
      </c>
      <c r="N51">
        <v>12551.776409149001</v>
      </c>
      <c r="O51">
        <v>46</v>
      </c>
      <c r="P51" s="10">
        <v>0.89565217391304297</v>
      </c>
      <c r="Q51" s="10">
        <v>0.94495412844036697</v>
      </c>
      <c r="R51" s="10">
        <v>0.93845011141371604</v>
      </c>
      <c r="S51" s="10">
        <v>0.99255410262882604</v>
      </c>
      <c r="T51">
        <v>239.77780342102</v>
      </c>
      <c r="U51">
        <v>46</v>
      </c>
      <c r="V51" s="10">
        <v>0.88577992943300199</v>
      </c>
      <c r="W51" s="10">
        <v>0.93943085893307798</v>
      </c>
      <c r="X51" s="10">
        <v>0.96149992206461898</v>
      </c>
      <c r="Y51" s="10">
        <v>0.99199172262447799</v>
      </c>
      <c r="Z51">
        <v>338.62018585204999</v>
      </c>
      <c r="AA51">
        <v>44</v>
      </c>
      <c r="AB51">
        <v>0.87294019001058998</v>
      </c>
      <c r="AE51">
        <v>102.04887390137</v>
      </c>
      <c r="AF51">
        <v>46</v>
      </c>
      <c r="AG51">
        <v>0.84946329030794998</v>
      </c>
    </row>
    <row r="52" spans="1:33">
      <c r="A52">
        <v>2861.6814613341999</v>
      </c>
      <c r="B52">
        <v>46</v>
      </c>
      <c r="C52" s="10">
        <v>0.81716849161437199</v>
      </c>
      <c r="D52" s="10">
        <v>0.89938659555823497</v>
      </c>
      <c r="E52" s="10">
        <v>0.90255018580330304</v>
      </c>
      <c r="F52" s="10">
        <v>0.98827982889610799</v>
      </c>
      <c r="H52">
        <v>102.08678245544</v>
      </c>
      <c r="I52">
        <v>45</v>
      </c>
      <c r="J52" s="11">
        <v>0.84677371470256402</v>
      </c>
      <c r="K52" s="11">
        <v>0.91703028688486898</v>
      </c>
      <c r="L52" s="11">
        <v>0.89526124154754005</v>
      </c>
      <c r="M52" s="12">
        <v>0.99318620807410296</v>
      </c>
      <c r="N52">
        <v>12257.608652114999</v>
      </c>
      <c r="O52">
        <v>47</v>
      </c>
      <c r="P52" s="10">
        <v>0.90908469322636498</v>
      </c>
      <c r="Q52" s="10">
        <v>0.95237754139655895</v>
      </c>
      <c r="R52" s="10">
        <v>0.95991432559482703</v>
      </c>
      <c r="S52" s="10">
        <v>0.99245604047112401</v>
      </c>
      <c r="T52">
        <v>239.30692672729</v>
      </c>
      <c r="U52">
        <v>47</v>
      </c>
      <c r="V52" s="10">
        <v>0.91660991297767602</v>
      </c>
      <c r="W52" s="10">
        <v>0.95649084017687902</v>
      </c>
      <c r="X52" s="10">
        <v>0.97084188253398296</v>
      </c>
      <c r="Y52" s="10">
        <v>0.99200916207696799</v>
      </c>
      <c r="Z52">
        <v>339.62965011596998</v>
      </c>
      <c r="AA52">
        <v>45</v>
      </c>
      <c r="AB52">
        <v>0.85032384866217003</v>
      </c>
      <c r="AE52">
        <v>101.77993774414</v>
      </c>
      <c r="AF52">
        <v>47</v>
      </c>
      <c r="AG52">
        <v>0.79688340878153996</v>
      </c>
    </row>
    <row r="53" spans="1:33">
      <c r="A53">
        <v>2713.2887840271001</v>
      </c>
      <c r="B53">
        <v>47</v>
      </c>
      <c r="C53" s="10">
        <v>0.83353527194399502</v>
      </c>
      <c r="D53" s="10">
        <v>0.90921105767465704</v>
      </c>
      <c r="E53" s="10">
        <v>0.90891908506206898</v>
      </c>
      <c r="F53" s="10">
        <v>0.98950919820984795</v>
      </c>
      <c r="H53">
        <v>103.65438461303999</v>
      </c>
      <c r="I53">
        <v>46</v>
      </c>
      <c r="J53" s="13">
        <v>0.88103409684399003</v>
      </c>
      <c r="K53" s="13">
        <v>0.93675505225789801</v>
      </c>
      <c r="L53" s="13">
        <v>0.91718641987774396</v>
      </c>
      <c r="M53" s="14">
        <v>0.99425654116145501</v>
      </c>
      <c r="N53">
        <v>12584.641695023</v>
      </c>
      <c r="O53">
        <v>48</v>
      </c>
      <c r="P53" s="10">
        <v>0.89022060812749504</v>
      </c>
      <c r="Q53" s="10">
        <v>0.94192244471334197</v>
      </c>
      <c r="R53" s="10">
        <v>0.94560115642171005</v>
      </c>
      <c r="S53" s="10">
        <v>0.99234903972094901</v>
      </c>
      <c r="T53">
        <v>240.29612541199</v>
      </c>
      <c r="U53">
        <v>48</v>
      </c>
      <c r="V53" s="10">
        <v>0.90457765977083304</v>
      </c>
      <c r="W53" s="10">
        <v>0.949898425123474</v>
      </c>
      <c r="X53" s="10">
        <v>0.95514276504673801</v>
      </c>
      <c r="Y53" s="10">
        <v>0.99185183161690305</v>
      </c>
      <c r="Z53">
        <v>339.15424346923999</v>
      </c>
      <c r="AA53">
        <v>46</v>
      </c>
      <c r="AB53">
        <v>0.83001601854061002</v>
      </c>
      <c r="AE53">
        <v>101.72438621521</v>
      </c>
      <c r="AF53">
        <v>48</v>
      </c>
      <c r="AG53">
        <v>0.86230631398643998</v>
      </c>
    </row>
    <row r="54" spans="1:33">
      <c r="A54">
        <v>2812.1478557587002</v>
      </c>
      <c r="B54">
        <v>48</v>
      </c>
      <c r="C54" s="10">
        <v>0.89187921774364898</v>
      </c>
      <c r="D54" s="10">
        <v>0.94285006080604805</v>
      </c>
      <c r="E54" s="10">
        <v>0.91917628224490999</v>
      </c>
      <c r="F54" s="10">
        <v>0.99557606161422996</v>
      </c>
      <c r="H54">
        <v>101.87935829163</v>
      </c>
      <c r="I54">
        <v>47</v>
      </c>
      <c r="J54" s="11">
        <v>0.82832354550968101</v>
      </c>
      <c r="K54" s="11">
        <v>0.90610170999987805</v>
      </c>
      <c r="L54" s="11">
        <v>0.92399528064486802</v>
      </c>
      <c r="M54" s="12">
        <v>0.98490467158306305</v>
      </c>
      <c r="N54">
        <v>13307.241201401001</v>
      </c>
      <c r="O54">
        <v>49</v>
      </c>
      <c r="P54" s="10">
        <v>0.91537401975362698</v>
      </c>
      <c r="Q54" s="10">
        <v>0.955817516906041</v>
      </c>
      <c r="R54" s="10">
        <v>0.97096913447010502</v>
      </c>
      <c r="S54" s="10">
        <v>0.99211738162604302</v>
      </c>
      <c r="T54">
        <v>241.41383171082001</v>
      </c>
      <c r="U54">
        <v>49</v>
      </c>
      <c r="V54" s="10">
        <v>0.899563381187517</v>
      </c>
      <c r="W54" s="10">
        <v>0.94712647137380801</v>
      </c>
      <c r="X54" s="10">
        <v>0.95007509490637598</v>
      </c>
      <c r="Y54" s="10">
        <v>0.991878411967553</v>
      </c>
      <c r="Z54">
        <v>339.91456031798998</v>
      </c>
      <c r="AA54">
        <v>47</v>
      </c>
      <c r="AB54">
        <v>0.86927252035366998</v>
      </c>
      <c r="AE54">
        <v>101.57108306885</v>
      </c>
      <c r="AF54">
        <v>49</v>
      </c>
      <c r="AG54">
        <v>0.86511931033593004</v>
      </c>
    </row>
    <row r="55" spans="1:33">
      <c r="A55">
        <v>2671.0376739501999</v>
      </c>
      <c r="B55">
        <v>49</v>
      </c>
      <c r="C55" s="10">
        <v>0.86972110463365904</v>
      </c>
      <c r="D55" s="10">
        <v>0.93032174956817004</v>
      </c>
      <c r="E55" s="10">
        <v>0.92992018260697795</v>
      </c>
      <c r="F55" s="10">
        <v>0.98962483372428001</v>
      </c>
      <c r="H55">
        <v>103.59787940979</v>
      </c>
      <c r="I55">
        <v>48</v>
      </c>
      <c r="J55" s="13">
        <v>0.83030738809994598</v>
      </c>
      <c r="K55" s="13">
        <v>0.90728736986839498</v>
      </c>
      <c r="L55" s="13">
        <v>0.88849989901224302</v>
      </c>
      <c r="M55" s="14">
        <v>0.99228564804473396</v>
      </c>
      <c r="N55">
        <v>13663.199663162</v>
      </c>
      <c r="O55">
        <v>50</v>
      </c>
      <c r="P55" s="10">
        <v>0.88897623135640502</v>
      </c>
      <c r="Q55" s="10">
        <v>0.94122542846191704</v>
      </c>
      <c r="R55" s="10">
        <v>0.92424492253869395</v>
      </c>
      <c r="S55" s="10">
        <v>0.99391257382406695</v>
      </c>
      <c r="T55">
        <v>240.63372612000001</v>
      </c>
      <c r="U55">
        <v>50</v>
      </c>
      <c r="V55" s="10">
        <v>0.91141448669416303</v>
      </c>
      <c r="W55" s="10">
        <v>0.953654472160537</v>
      </c>
      <c r="X55" s="10">
        <v>0.96395864768364203</v>
      </c>
      <c r="Y55" s="10">
        <v>0.99156227929970597</v>
      </c>
      <c r="Z55">
        <v>338.80543708801002</v>
      </c>
      <c r="AA55">
        <v>48</v>
      </c>
      <c r="AB55">
        <v>0.88246874849945001</v>
      </c>
      <c r="AE55">
        <v>101.39274597168</v>
      </c>
      <c r="AF55">
        <v>50</v>
      </c>
      <c r="AG55">
        <v>0.85415678368120995</v>
      </c>
    </row>
    <row r="56" spans="1:33">
      <c r="A56">
        <v>2711.2388610839998</v>
      </c>
      <c r="B56">
        <v>50</v>
      </c>
      <c r="C56" s="10">
        <v>0.880748009574291</v>
      </c>
      <c r="D56" s="10">
        <v>0.93659331828685399</v>
      </c>
      <c r="E56" s="10">
        <v>0.92359957837583695</v>
      </c>
      <c r="F56" s="10">
        <v>0.99300101995734702</v>
      </c>
      <c r="H56">
        <v>103.67584228516</v>
      </c>
      <c r="I56">
        <v>49</v>
      </c>
      <c r="J56" s="11">
        <v>0.86965475718058505</v>
      </c>
      <c r="K56" s="11">
        <v>0.93028379045981002</v>
      </c>
      <c r="L56" s="11">
        <v>0.92991286662228301</v>
      </c>
      <c r="M56" s="12">
        <v>0.98961386747729096</v>
      </c>
      <c r="N56">
        <v>13071.441411972</v>
      </c>
      <c r="O56">
        <v>51</v>
      </c>
      <c r="P56" s="10">
        <v>0.89789681502249197</v>
      </c>
      <c r="Q56" s="10">
        <v>0.94620193038455602</v>
      </c>
      <c r="R56" s="10">
        <v>0.95795062179604296</v>
      </c>
      <c r="S56" s="10">
        <v>0.99263817709662105</v>
      </c>
      <c r="T56">
        <v>239.05992507934999</v>
      </c>
      <c r="U56">
        <v>51</v>
      </c>
      <c r="V56" s="10">
        <v>0.93724575688298695</v>
      </c>
      <c r="W56" s="10">
        <v>0.96760646247692195</v>
      </c>
      <c r="X56" s="10">
        <v>0.99336962106169302</v>
      </c>
      <c r="Y56" s="10">
        <v>0.99046478770471602</v>
      </c>
      <c r="Z56">
        <v>338.93418312072998</v>
      </c>
      <c r="AA56">
        <v>49</v>
      </c>
      <c r="AB56">
        <v>0.87194492254733003</v>
      </c>
      <c r="AE56">
        <v>102.03051567078001</v>
      </c>
      <c r="AF56">
        <v>51</v>
      </c>
      <c r="AG56">
        <v>0.88743087330324999</v>
      </c>
    </row>
    <row r="57" spans="1:33">
      <c r="A57">
        <v>2733.0915927886999</v>
      </c>
      <c r="B57">
        <v>51</v>
      </c>
      <c r="C57" s="10">
        <v>0.87521028492500497</v>
      </c>
      <c r="D57" s="10">
        <v>0.93345294867557405</v>
      </c>
      <c r="E57" s="10">
        <v>0.92779305619432895</v>
      </c>
      <c r="F57" s="10">
        <v>0.99320513569028701</v>
      </c>
      <c r="H57">
        <v>104.30836677551</v>
      </c>
      <c r="I57">
        <v>50</v>
      </c>
      <c r="J57" s="13">
        <v>0.80223192415204103</v>
      </c>
      <c r="K57" s="13">
        <v>0.89026491363423699</v>
      </c>
      <c r="L57" s="13">
        <v>0.88182934072460895</v>
      </c>
      <c r="M57" s="14">
        <v>0.98641549776049198</v>
      </c>
      <c r="N57">
        <v>15744.514942169</v>
      </c>
      <c r="O57">
        <v>52</v>
      </c>
      <c r="P57" s="10">
        <v>0.91767209712723297</v>
      </c>
      <c r="Q57" s="10">
        <v>0.95706883205105897</v>
      </c>
      <c r="R57" s="10">
        <v>0.96743105348046099</v>
      </c>
      <c r="S57" s="10">
        <v>0.99264513166416402</v>
      </c>
      <c r="T57">
        <v>241.84870719910001</v>
      </c>
      <c r="U57">
        <v>52</v>
      </c>
      <c r="V57" s="10">
        <v>0.92435341220695899</v>
      </c>
      <c r="W57" s="10">
        <v>0.96068986740523599</v>
      </c>
      <c r="X57" s="10">
        <v>0.97369170475041</v>
      </c>
      <c r="Y57" s="10">
        <v>0.991263952484424</v>
      </c>
      <c r="Z57">
        <v>337.98027038574003</v>
      </c>
      <c r="AA57">
        <v>50</v>
      </c>
      <c r="AB57">
        <v>0.84953033177547999</v>
      </c>
      <c r="AE57">
        <v>101.40466690063</v>
      </c>
      <c r="AF57">
        <v>52</v>
      </c>
      <c r="AG57">
        <v>0.85439587898359004</v>
      </c>
    </row>
    <row r="58" spans="1:33">
      <c r="A58">
        <v>2812.6924037932999</v>
      </c>
      <c r="B58">
        <v>52</v>
      </c>
      <c r="C58" s="10">
        <v>0.87127941766139205</v>
      </c>
      <c r="D58" s="10">
        <v>0.93121252704234003</v>
      </c>
      <c r="E58" s="10">
        <v>0.92639113217292901</v>
      </c>
      <c r="F58" s="10">
        <v>0.99167392432822099</v>
      </c>
      <c r="H58">
        <v>101.75919532776</v>
      </c>
      <c r="I58">
        <v>51</v>
      </c>
      <c r="J58" s="11">
        <v>0.840748158778722</v>
      </c>
      <c r="K58" s="11">
        <v>0.91348526387936901</v>
      </c>
      <c r="L58" s="11">
        <v>0.90910021060170698</v>
      </c>
      <c r="M58" s="12">
        <v>0.98976154658093596</v>
      </c>
      <c r="N58">
        <v>13194.215774536</v>
      </c>
      <c r="O58">
        <v>53</v>
      </c>
      <c r="P58" s="10">
        <v>0.91107356439385501</v>
      </c>
      <c r="Q58" s="10">
        <v>0.953467811358507</v>
      </c>
      <c r="R58" s="10">
        <v>0.96861187926918602</v>
      </c>
      <c r="S58" s="10">
        <v>0.99130254576308297</v>
      </c>
      <c r="T58">
        <v>239.02487754821999</v>
      </c>
      <c r="U58">
        <v>53</v>
      </c>
      <c r="V58" s="10">
        <v>0.89533784275219996</v>
      </c>
      <c r="W58" s="10">
        <v>0.94477915499443499</v>
      </c>
      <c r="X58" s="10">
        <v>0.95634759639869804</v>
      </c>
      <c r="Y58" s="10">
        <v>0.99153666284633502</v>
      </c>
      <c r="Z58">
        <v>338.77468109131001</v>
      </c>
      <c r="AA58">
        <v>51</v>
      </c>
      <c r="AB58">
        <v>0.86988166138139</v>
      </c>
      <c r="AE58">
        <v>101.75538063049</v>
      </c>
      <c r="AF58">
        <v>53</v>
      </c>
      <c r="AG58">
        <v>0.85085139795540998</v>
      </c>
    </row>
    <row r="59" spans="1:33">
      <c r="A59">
        <v>5765.2781009674</v>
      </c>
      <c r="B59">
        <v>53</v>
      </c>
      <c r="C59" s="10">
        <v>0.83183761103365195</v>
      </c>
      <c r="D59" s="10">
        <v>0.90820016580429297</v>
      </c>
      <c r="E59" s="10">
        <v>0.910034230389137</v>
      </c>
      <c r="F59" s="10">
        <v>0.98555780727753595</v>
      </c>
      <c r="H59">
        <v>103.75475883484</v>
      </c>
      <c r="I59">
        <v>52</v>
      </c>
      <c r="J59" s="13">
        <v>0.88461141642650298</v>
      </c>
      <c r="K59" s="13">
        <v>0.93877327571734104</v>
      </c>
      <c r="L59" s="13">
        <v>0.92201535604958096</v>
      </c>
      <c r="M59" s="14">
        <v>0.99351217210234</v>
      </c>
      <c r="N59">
        <v>12831.740140915001</v>
      </c>
      <c r="O59">
        <v>54</v>
      </c>
      <c r="P59" s="10">
        <v>0.90410406133542198</v>
      </c>
      <c r="Q59" s="10">
        <v>0.94963723852501902</v>
      </c>
      <c r="R59" s="10">
        <v>0.97329687739561499</v>
      </c>
      <c r="S59" s="10">
        <v>0.99035089038138902</v>
      </c>
      <c r="T59">
        <v>240.38195610046</v>
      </c>
      <c r="U59">
        <v>54</v>
      </c>
      <c r="V59" s="10">
        <v>0.91269482314258399</v>
      </c>
      <c r="W59" s="10">
        <v>0.95435488411372804</v>
      </c>
      <c r="X59" s="10">
        <v>0.964063364955145</v>
      </c>
      <c r="Y59" s="10">
        <v>0.991903611303527</v>
      </c>
      <c r="Z59">
        <v>337.82434463500999</v>
      </c>
      <c r="AA59">
        <v>52</v>
      </c>
      <c r="AB59">
        <v>0.87790428059018</v>
      </c>
      <c r="AE59">
        <v>101.54604911804</v>
      </c>
      <c r="AF59">
        <v>54</v>
      </c>
      <c r="AG59">
        <v>0.88631718744235999</v>
      </c>
    </row>
    <row r="60" spans="1:33">
      <c r="A60">
        <v>3309.5650672912998</v>
      </c>
      <c r="B60">
        <v>54</v>
      </c>
      <c r="C60" s="10">
        <v>0.84571996541386196</v>
      </c>
      <c r="D60" s="10">
        <v>0.91641200318730598</v>
      </c>
      <c r="E60" s="10">
        <v>0.91135261283384195</v>
      </c>
      <c r="F60" s="10">
        <v>0.99045557698671605</v>
      </c>
      <c r="H60">
        <v>101.95136070251</v>
      </c>
      <c r="I60">
        <v>53</v>
      </c>
      <c r="J60" s="11">
        <v>0.87054981397271602</v>
      </c>
      <c r="K60" s="11">
        <v>0.93079564892615396</v>
      </c>
      <c r="L60" s="11">
        <v>0.92208599702250604</v>
      </c>
      <c r="M60" s="12">
        <v>0.99276530256232398</v>
      </c>
      <c r="N60">
        <v>12764.136075974</v>
      </c>
      <c r="O60">
        <v>55</v>
      </c>
      <c r="P60" s="10">
        <v>0.91142029804364699</v>
      </c>
      <c r="Q60" s="10">
        <v>0.95365765339678799</v>
      </c>
      <c r="R60" s="10">
        <v>0.96395117797331797</v>
      </c>
      <c r="S60" s="10">
        <v>0.99156446580416302</v>
      </c>
      <c r="T60">
        <v>238.73090744019001</v>
      </c>
      <c r="U60">
        <v>55</v>
      </c>
      <c r="V60" s="10">
        <v>0.88981182584048502</v>
      </c>
      <c r="W60" s="10">
        <v>0.94169357358608397</v>
      </c>
      <c r="X60" s="10">
        <v>0.95751080233838803</v>
      </c>
      <c r="Y60" s="10">
        <v>0.99247080129790599</v>
      </c>
      <c r="Z60">
        <v>337.59927749633999</v>
      </c>
      <c r="AA60">
        <v>53</v>
      </c>
      <c r="AB60">
        <v>0.86789441794178002</v>
      </c>
      <c r="AE60">
        <v>101.36985778809</v>
      </c>
      <c r="AF60">
        <v>55</v>
      </c>
      <c r="AG60">
        <v>0.83518586431071995</v>
      </c>
    </row>
    <row r="61" spans="1:33">
      <c r="A61">
        <v>6616.8766021728998</v>
      </c>
      <c r="B61">
        <v>55</v>
      </c>
      <c r="C61" s="10">
        <v>0.84731413445301396</v>
      </c>
      <c r="D61" s="10">
        <v>0.91734710263980301</v>
      </c>
      <c r="E61" s="10">
        <v>0.94881688557264698</v>
      </c>
      <c r="F61" s="10">
        <v>0.98489648551183695</v>
      </c>
      <c r="H61">
        <v>104.00652885437</v>
      </c>
      <c r="I61">
        <v>54</v>
      </c>
      <c r="J61" s="13">
        <v>0.81433302605073499</v>
      </c>
      <c r="K61" s="13">
        <v>0.89766654121189304</v>
      </c>
      <c r="L61" s="13">
        <v>0.90210577077640197</v>
      </c>
      <c r="M61" s="14">
        <v>0.98790966240603895</v>
      </c>
      <c r="N61">
        <v>13037.597417831001</v>
      </c>
      <c r="O61">
        <v>56</v>
      </c>
      <c r="P61" s="10">
        <v>0.928255031216211</v>
      </c>
      <c r="Q61" s="10">
        <v>0.96279280094057995</v>
      </c>
      <c r="R61" s="10">
        <v>0.976015842746076</v>
      </c>
      <c r="S61" s="10">
        <v>0.99231010396432495</v>
      </c>
      <c r="T61">
        <v>240.56506156921</v>
      </c>
      <c r="U61">
        <v>56</v>
      </c>
      <c r="V61" s="10">
        <v>0.92857087333359201</v>
      </c>
      <c r="W61" s="10">
        <v>0.96296266439877298</v>
      </c>
      <c r="X61" s="10">
        <v>0.98558616535894294</v>
      </c>
      <c r="Y61" s="10">
        <v>0.99197518150733299</v>
      </c>
      <c r="Z61">
        <v>338.98305892944001</v>
      </c>
      <c r="AA61">
        <v>54</v>
      </c>
      <c r="AB61">
        <v>0.88212927756654003</v>
      </c>
      <c r="AE61">
        <v>101.39346122742</v>
      </c>
      <c r="AF61">
        <v>56</v>
      </c>
      <c r="AG61">
        <v>0.87315336695343004</v>
      </c>
    </row>
    <row r="62" spans="1:33">
      <c r="A62">
        <v>3102.0786762237999</v>
      </c>
      <c r="B62">
        <v>56</v>
      </c>
      <c r="C62" s="10">
        <v>0.86448625780302302</v>
      </c>
      <c r="D62" s="10">
        <v>0.92731845481303998</v>
      </c>
      <c r="E62" s="10">
        <v>0.91384028396741201</v>
      </c>
      <c r="F62" s="10">
        <v>0.992068853904856</v>
      </c>
      <c r="H62">
        <v>101.91130638123001</v>
      </c>
      <c r="I62">
        <v>55</v>
      </c>
      <c r="J62" s="11">
        <v>0.87444812628609503</v>
      </c>
      <c r="K62" s="11">
        <v>0.93301928607506202</v>
      </c>
      <c r="L62" s="11">
        <v>0.91232084181667905</v>
      </c>
      <c r="M62" s="12">
        <v>0.99547380240624705</v>
      </c>
      <c r="N62">
        <v>14149.664640427</v>
      </c>
      <c r="O62">
        <v>57</v>
      </c>
      <c r="P62" s="10">
        <v>0.92852354861273001</v>
      </c>
      <c r="Q62" s="10">
        <v>0.962937216173125</v>
      </c>
      <c r="R62" s="10">
        <v>0.98307516662552397</v>
      </c>
      <c r="S62" s="10">
        <v>0.99171222620747201</v>
      </c>
      <c r="T62">
        <v>237.90788650512999</v>
      </c>
      <c r="U62">
        <v>57</v>
      </c>
      <c r="V62" s="10">
        <v>0.91052777265177998</v>
      </c>
      <c r="W62" s="10">
        <v>0.95316884233300903</v>
      </c>
      <c r="X62" s="10">
        <v>0.96860093048821105</v>
      </c>
      <c r="Y62" s="10">
        <v>0.99313611367559096</v>
      </c>
      <c r="Z62">
        <v>338.27757835388002</v>
      </c>
      <c r="AA62">
        <v>55</v>
      </c>
      <c r="AB62">
        <v>0.87495389464507001</v>
      </c>
      <c r="AE62">
        <v>101.87220573425</v>
      </c>
      <c r="AF62">
        <v>57</v>
      </c>
      <c r="AG62">
        <v>0.84608756878948999</v>
      </c>
    </row>
    <row r="63" spans="1:33">
      <c r="A63">
        <v>3543.7741279602001</v>
      </c>
      <c r="B63">
        <v>57</v>
      </c>
      <c r="C63" s="10">
        <v>0.77835110916587902</v>
      </c>
      <c r="D63" s="10">
        <v>0.87536269430051805</v>
      </c>
      <c r="E63" s="10">
        <v>0.93523208502864696</v>
      </c>
      <c r="F63" s="10">
        <v>0.97676424633770398</v>
      </c>
      <c r="H63">
        <v>103.90996932983001</v>
      </c>
      <c r="I63">
        <v>56</v>
      </c>
      <c r="J63" s="13">
        <v>0.89005881825641397</v>
      </c>
      <c r="K63" s="13">
        <v>0.94183187280647296</v>
      </c>
      <c r="L63" s="13">
        <v>0.92767819924968697</v>
      </c>
      <c r="M63" s="14">
        <v>0.99353334051728803</v>
      </c>
      <c r="N63">
        <v>14531.705617905</v>
      </c>
      <c r="O63">
        <v>58</v>
      </c>
      <c r="P63" s="10">
        <v>0.89019565388552002</v>
      </c>
      <c r="Q63" s="10">
        <v>0.94190847604121597</v>
      </c>
      <c r="R63" s="10">
        <v>0.95792383292383199</v>
      </c>
      <c r="S63" s="10">
        <v>0.99247080129790599</v>
      </c>
      <c r="T63">
        <v>239.23158645629999</v>
      </c>
      <c r="U63">
        <v>58</v>
      </c>
      <c r="V63" s="10">
        <v>0.88878774538698502</v>
      </c>
      <c r="W63" s="10">
        <v>0.94111977119470902</v>
      </c>
      <c r="X63" s="10">
        <v>0.93088573170159805</v>
      </c>
      <c r="Y63" s="10">
        <v>0.99341635039223797</v>
      </c>
      <c r="Z63">
        <v>338.78302574157999</v>
      </c>
      <c r="AA63">
        <v>56</v>
      </c>
      <c r="AB63">
        <v>0.87963095068246</v>
      </c>
      <c r="AE63">
        <v>101.1426448822</v>
      </c>
      <c r="AF63">
        <v>58</v>
      </c>
      <c r="AG63">
        <v>0.85047121354235999</v>
      </c>
    </row>
    <row r="64" spans="1:33">
      <c r="A64">
        <v>3541.2905216217</v>
      </c>
      <c r="B64">
        <v>58</v>
      </c>
      <c r="C64" s="10">
        <v>0.84250681198910005</v>
      </c>
      <c r="D64" s="10">
        <v>0.91452233067139899</v>
      </c>
      <c r="E64" s="10">
        <v>0.88413962551893499</v>
      </c>
      <c r="F64" s="10">
        <v>0.99510979382739795</v>
      </c>
      <c r="H64">
        <v>101.70245170593</v>
      </c>
      <c r="I64">
        <v>57</v>
      </c>
      <c r="J64" s="11">
        <v>0.84573552583733902</v>
      </c>
      <c r="K64" s="11">
        <v>0.91642113834663497</v>
      </c>
      <c r="L64" s="11">
        <v>0.91141356879751301</v>
      </c>
      <c r="M64" s="12">
        <v>0.99044915120820698</v>
      </c>
      <c r="N64">
        <v>12813.697814941001</v>
      </c>
      <c r="O64">
        <v>59</v>
      </c>
      <c r="P64" s="10">
        <v>0.90841183826594396</v>
      </c>
      <c r="Q64" s="10">
        <v>0.95200817774360602</v>
      </c>
      <c r="R64" s="10">
        <v>0.97720302046526597</v>
      </c>
      <c r="S64" s="10">
        <v>0.99098893359087303</v>
      </c>
      <c r="T64">
        <v>237.99157142639001</v>
      </c>
      <c r="U64">
        <v>59</v>
      </c>
      <c r="V64" s="10">
        <v>0.924176689183004</v>
      </c>
      <c r="W64" s="10">
        <v>0.96059441357789699</v>
      </c>
      <c r="X64" s="10">
        <v>0.97614973365430102</v>
      </c>
      <c r="Y64" s="10">
        <v>0.99384534973162597</v>
      </c>
      <c r="Z64">
        <v>338.73391151428001</v>
      </c>
      <c r="AA64">
        <v>57</v>
      </c>
      <c r="AB64">
        <v>0.88060568317788002</v>
      </c>
      <c r="AE64">
        <v>101.50861740112001</v>
      </c>
      <c r="AF64">
        <v>59</v>
      </c>
      <c r="AG64">
        <v>0.78605624425350995</v>
      </c>
    </row>
    <row r="65" spans="1:33">
      <c r="A65">
        <v>6209.0890407562001</v>
      </c>
      <c r="B65">
        <v>59</v>
      </c>
      <c r="C65" s="10">
        <v>0.85966447384120903</v>
      </c>
      <c r="D65" s="10">
        <v>0.924537179618793</v>
      </c>
      <c r="E65" s="10">
        <v>0.91605777544204603</v>
      </c>
      <c r="F65" s="10">
        <v>0.99168387774795197</v>
      </c>
      <c r="H65">
        <v>103.61480712891</v>
      </c>
      <c r="I65">
        <v>58</v>
      </c>
      <c r="J65" s="13">
        <v>0.87260148221122602</v>
      </c>
      <c r="K65" s="13">
        <v>0.93196709550911006</v>
      </c>
      <c r="L65" s="13">
        <v>0.92550463072904299</v>
      </c>
      <c r="M65" s="14">
        <v>0.99169527436280502</v>
      </c>
      <c r="N65">
        <v>12408.096790314001</v>
      </c>
      <c r="O65">
        <v>60</v>
      </c>
      <c r="P65" s="10">
        <v>0.90814785455092095</v>
      </c>
      <c r="Q65" s="10">
        <v>0.95186319276568998</v>
      </c>
      <c r="R65" s="10">
        <v>0.97223583808262604</v>
      </c>
      <c r="S65" s="10">
        <v>0.98942195815499401</v>
      </c>
      <c r="T65">
        <v>237.07294464111001</v>
      </c>
      <c r="U65">
        <v>60</v>
      </c>
      <c r="V65" s="10">
        <v>0.92951288116447695</v>
      </c>
      <c r="W65" s="10">
        <v>0.96346895658297804</v>
      </c>
      <c r="X65" s="10">
        <v>0.97612280372075499</v>
      </c>
      <c r="Y65" s="10">
        <v>0.99027767657078303</v>
      </c>
      <c r="Z65">
        <v>338.29522132874001</v>
      </c>
      <c r="AA65">
        <v>58</v>
      </c>
      <c r="AB65">
        <v>0.50130951241080002</v>
      </c>
      <c r="AE65">
        <v>101.36318206787</v>
      </c>
      <c r="AF65">
        <v>60</v>
      </c>
      <c r="AG65">
        <v>0.54532234349678999</v>
      </c>
    </row>
    <row r="66" spans="1:33">
      <c r="A66">
        <v>10166.170597075999</v>
      </c>
      <c r="B66">
        <v>60</v>
      </c>
      <c r="C66" s="10">
        <v>0.83409704988014799</v>
      </c>
      <c r="D66" s="10">
        <v>0.90954516276513697</v>
      </c>
      <c r="E66" s="10">
        <v>0.88532873030000603</v>
      </c>
      <c r="F66" s="10">
        <v>0.99271132827294095</v>
      </c>
      <c r="H66">
        <v>101.60279273987</v>
      </c>
      <c r="I66">
        <v>59</v>
      </c>
      <c r="J66" s="11">
        <v>0.87435804962492703</v>
      </c>
      <c r="K66" s="11">
        <v>0.93296800982063399</v>
      </c>
      <c r="L66" s="11">
        <v>0.91615463099421801</v>
      </c>
      <c r="M66" s="12">
        <v>0.99309694508442403</v>
      </c>
      <c r="N66">
        <v>12755.726099014</v>
      </c>
      <c r="O66">
        <v>61</v>
      </c>
      <c r="P66" s="10">
        <v>0.89161775445619496</v>
      </c>
      <c r="Q66" s="10">
        <v>0.94270393937227404</v>
      </c>
      <c r="R66" s="10">
        <v>0.94424313601924903</v>
      </c>
      <c r="S66" s="10">
        <v>0.99093223490374405</v>
      </c>
      <c r="T66">
        <v>241.50419235229</v>
      </c>
      <c r="U66">
        <v>61</v>
      </c>
      <c r="V66" s="10">
        <v>0.90811368590816799</v>
      </c>
      <c r="W66" s="10">
        <v>0.95184442375188005</v>
      </c>
      <c r="X66" s="10">
        <v>0.97219925815915198</v>
      </c>
      <c r="Y66" s="10">
        <v>0.98942195815499401</v>
      </c>
      <c r="Z66">
        <v>338.61374855041998</v>
      </c>
      <c r="AA66">
        <v>59</v>
      </c>
      <c r="AB66">
        <v>0.87294499695554995</v>
      </c>
      <c r="AE66">
        <v>102.24318504333</v>
      </c>
      <c r="AF66">
        <v>61</v>
      </c>
      <c r="AG66">
        <v>0.83597169682512995</v>
      </c>
    </row>
    <row r="67" spans="1:33">
      <c r="A67">
        <v>4314.6412372589002</v>
      </c>
      <c r="B67">
        <v>61</v>
      </c>
      <c r="C67" s="10">
        <v>0.853014672903184</v>
      </c>
      <c r="D67" s="10">
        <v>0.92067773167358202</v>
      </c>
      <c r="E67" s="10">
        <v>0.89497440625390101</v>
      </c>
      <c r="F67" s="10">
        <v>0.99457673204164498</v>
      </c>
      <c r="H67">
        <v>104.02894020081</v>
      </c>
      <c r="I67">
        <v>60</v>
      </c>
      <c r="J67" s="13">
        <v>0.80890584404906696</v>
      </c>
      <c r="K67" s="13">
        <v>0.89435925779133596</v>
      </c>
      <c r="L67" s="13">
        <v>0.89364763330378205</v>
      </c>
      <c r="M67" s="14">
        <v>0.98417380384166997</v>
      </c>
      <c r="N67">
        <v>13305.496454239001</v>
      </c>
      <c r="O67">
        <v>62</v>
      </c>
      <c r="P67" s="10">
        <v>0.893749288027469</v>
      </c>
      <c r="Q67" s="10">
        <v>0.94389399238628802</v>
      </c>
      <c r="R67" s="10">
        <v>0.96124058143503399</v>
      </c>
      <c r="S67" s="10">
        <v>0.99076427769458997</v>
      </c>
      <c r="T67">
        <v>243.28351020813</v>
      </c>
      <c r="U67">
        <v>62</v>
      </c>
      <c r="V67" s="10">
        <v>0.88795585653373399</v>
      </c>
      <c r="W67" s="10">
        <v>0.94065319743652398</v>
      </c>
      <c r="X67" s="10">
        <v>0.96188623470341394</v>
      </c>
      <c r="Y67" s="10">
        <v>0.99199110982873995</v>
      </c>
      <c r="Z67">
        <v>338.72652053833002</v>
      </c>
      <c r="AA67">
        <v>60</v>
      </c>
      <c r="AB67">
        <v>0.85663222903167002</v>
      </c>
      <c r="AE67">
        <v>101.60660743712999</v>
      </c>
      <c r="AF67">
        <v>62</v>
      </c>
      <c r="AG67">
        <v>0.85039141552798003</v>
      </c>
    </row>
    <row r="68" spans="1:33">
      <c r="A68">
        <v>3518.3980464934998</v>
      </c>
      <c r="B68">
        <v>62</v>
      </c>
      <c r="C68" s="10">
        <v>0.85273148039926105</v>
      </c>
      <c r="D68" s="10">
        <v>0.92051275581013903</v>
      </c>
      <c r="E68" s="10">
        <v>0.92601963107124696</v>
      </c>
      <c r="F68" s="10">
        <v>0.98908314309175804</v>
      </c>
      <c r="H68">
        <v>101.81283950805999</v>
      </c>
      <c r="I68">
        <v>61</v>
      </c>
      <c r="J68" s="11">
        <v>0.84248662831768995</v>
      </c>
      <c r="K68" s="11">
        <v>0.91451043971693302</v>
      </c>
      <c r="L68" s="11">
        <v>0.88411844446327204</v>
      </c>
      <c r="M68" s="12">
        <v>0.99510979382739795</v>
      </c>
      <c r="N68">
        <v>12749.435901642</v>
      </c>
      <c r="O68">
        <v>63</v>
      </c>
      <c r="P68" s="10">
        <v>0.88800601956358105</v>
      </c>
      <c r="Q68" s="10">
        <v>0.94068134355720601</v>
      </c>
      <c r="R68" s="10">
        <v>0.961940574260438</v>
      </c>
      <c r="S68" s="10">
        <v>0.99199110982873995</v>
      </c>
      <c r="T68">
        <v>239.76135253906</v>
      </c>
      <c r="U68">
        <v>63</v>
      </c>
      <c r="V68" s="10">
        <v>0.841372827922375</v>
      </c>
      <c r="W68" s="10">
        <v>0.91385385421560394</v>
      </c>
      <c r="X68" s="10">
        <v>0.93322077370902401</v>
      </c>
      <c r="Y68" s="10">
        <v>0.98741529628617197</v>
      </c>
      <c r="Z68">
        <v>339.43319320679001</v>
      </c>
      <c r="AA68">
        <v>61</v>
      </c>
      <c r="AB68">
        <v>0.86666261060023997</v>
      </c>
      <c r="AE68">
        <v>101.78470611572</v>
      </c>
      <c r="AF68">
        <v>63</v>
      </c>
      <c r="AG68">
        <v>0.85547555245967999</v>
      </c>
    </row>
    <row r="69" spans="1:33">
      <c r="A69">
        <v>4039.8056507111</v>
      </c>
      <c r="B69">
        <v>63</v>
      </c>
      <c r="C69" s="10">
        <v>0.86993149010586701</v>
      </c>
      <c r="D69" s="10">
        <v>0.93044209877081097</v>
      </c>
      <c r="E69" s="10">
        <v>0.94105043327321303</v>
      </c>
      <c r="F69" s="10">
        <v>0.98661959795537402</v>
      </c>
      <c r="H69">
        <v>104.33626174926999</v>
      </c>
      <c r="I69">
        <v>62</v>
      </c>
      <c r="J69" s="13">
        <v>0.85547228631911398</v>
      </c>
      <c r="K69" s="13">
        <v>0.92210731750264996</v>
      </c>
      <c r="L69" s="13">
        <v>0.94212187314937601</v>
      </c>
      <c r="M69" s="14">
        <v>0.98523561067555299</v>
      </c>
      <c r="N69">
        <v>13556.483745575</v>
      </c>
      <c r="O69">
        <v>64</v>
      </c>
      <c r="P69" s="10">
        <v>0.87859031920782305</v>
      </c>
      <c r="Q69" s="10">
        <v>0.93537192247249801</v>
      </c>
      <c r="R69" s="10">
        <v>0.95737551102472995</v>
      </c>
      <c r="S69" s="10">
        <v>0.99162921641207402</v>
      </c>
      <c r="T69">
        <v>246.21176719665999</v>
      </c>
      <c r="U69">
        <v>64</v>
      </c>
      <c r="V69" s="10">
        <v>0.92127854473528403</v>
      </c>
      <c r="W69" s="10">
        <v>0.95902652664267296</v>
      </c>
      <c r="X69" s="10">
        <v>0.982128659822323</v>
      </c>
      <c r="Y69" s="10">
        <v>0.99180691636472695</v>
      </c>
      <c r="Z69">
        <v>338.53268623352</v>
      </c>
      <c r="AA69">
        <v>62</v>
      </c>
      <c r="AB69">
        <v>0.88011597929331997</v>
      </c>
      <c r="AE69">
        <v>102.08582878113</v>
      </c>
      <c r="AF69">
        <v>64</v>
      </c>
      <c r="AG69">
        <v>0.83082887136085004</v>
      </c>
    </row>
    <row r="70" spans="1:33">
      <c r="A70">
        <v>3468.4119224547999</v>
      </c>
      <c r="B70">
        <v>64</v>
      </c>
      <c r="C70" s="10">
        <v>0.84948334795762004</v>
      </c>
      <c r="D70" s="10">
        <v>0.91861691957994895</v>
      </c>
      <c r="E70" s="10">
        <v>0.89646260477779804</v>
      </c>
      <c r="F70" s="10">
        <v>0.99114580164073096</v>
      </c>
      <c r="H70">
        <v>101.43542289734</v>
      </c>
      <c r="I70">
        <v>63</v>
      </c>
      <c r="J70" s="11">
        <v>0.88058665278139303</v>
      </c>
      <c r="K70" s="11">
        <v>0.93650207660359897</v>
      </c>
      <c r="L70" s="11">
        <v>0.92335691698705502</v>
      </c>
      <c r="M70" s="12">
        <v>0.99301301945554998</v>
      </c>
      <c r="N70">
        <v>13870.06354332</v>
      </c>
      <c r="O70">
        <v>65</v>
      </c>
      <c r="P70" s="10">
        <v>0.84147792019829804</v>
      </c>
      <c r="Q70" s="10">
        <v>0.91391584006359805</v>
      </c>
      <c r="R70" s="10">
        <v>0.93336839288844597</v>
      </c>
      <c r="S70" s="10">
        <v>0.98741104182244199</v>
      </c>
      <c r="T70">
        <v>239.52937126160001</v>
      </c>
      <c r="U70">
        <v>65</v>
      </c>
      <c r="V70" s="10">
        <v>0.90461164372755198</v>
      </c>
      <c r="W70" s="10">
        <v>0.94991716206997301</v>
      </c>
      <c r="X70" s="10">
        <v>0.97677098678211005</v>
      </c>
      <c r="Y70" s="10">
        <v>0.99161034036090201</v>
      </c>
      <c r="Z70">
        <v>338.67669105530001</v>
      </c>
      <c r="AA70">
        <v>63</v>
      </c>
      <c r="AB70">
        <v>0.84216881577213998</v>
      </c>
      <c r="AE70">
        <v>101.58300399780001</v>
      </c>
      <c r="AF70">
        <v>65</v>
      </c>
      <c r="AG70">
        <v>0.85474456568704005</v>
      </c>
    </row>
    <row r="71" spans="1:33">
      <c r="A71">
        <v>3408.7865352631002</v>
      </c>
      <c r="B71">
        <v>65</v>
      </c>
      <c r="C71" s="10">
        <v>0.874419242201252</v>
      </c>
      <c r="D71" s="10">
        <v>0.93300284430964797</v>
      </c>
      <c r="E71" s="10">
        <v>0.91603370744057699</v>
      </c>
      <c r="F71" s="10">
        <v>0.993127504062707</v>
      </c>
      <c r="H71">
        <v>104.01678085327001</v>
      </c>
      <c r="I71">
        <v>64</v>
      </c>
      <c r="J71" s="13">
        <v>0.86359780072765202</v>
      </c>
      <c r="K71" s="13">
        <v>0.92680706147051195</v>
      </c>
      <c r="L71" s="13">
        <v>0.91486916243216099</v>
      </c>
      <c r="M71" s="14">
        <v>0.992635550886521</v>
      </c>
      <c r="N71">
        <v>14218.314170837</v>
      </c>
      <c r="O71">
        <v>66</v>
      </c>
      <c r="P71" s="10">
        <v>0.92975296000922902</v>
      </c>
      <c r="Q71" s="10">
        <v>0.96359791048568499</v>
      </c>
      <c r="R71" s="10">
        <v>0.97369056968525303</v>
      </c>
      <c r="S71" s="10">
        <v>0.99316925575668602</v>
      </c>
      <c r="T71">
        <v>242.03181266785001</v>
      </c>
      <c r="U71">
        <v>66</v>
      </c>
      <c r="V71" s="10">
        <v>0.87853005996617295</v>
      </c>
      <c r="W71" s="10">
        <v>0.93533777147222497</v>
      </c>
      <c r="X71" s="10">
        <v>0.95731966132743496</v>
      </c>
      <c r="Y71" s="10">
        <v>0.99162817371357004</v>
      </c>
      <c r="Z71">
        <v>338.53197097778002</v>
      </c>
      <c r="AA71">
        <v>64</v>
      </c>
      <c r="AB71">
        <v>0.85080402886621997</v>
      </c>
      <c r="AE71">
        <v>101.21154785156</v>
      </c>
      <c r="AF71">
        <v>66</v>
      </c>
      <c r="AG71">
        <v>0.86222527603614996</v>
      </c>
    </row>
    <row r="72" spans="1:33">
      <c r="A72">
        <v>4074.8236179352002</v>
      </c>
      <c r="B72">
        <v>66</v>
      </c>
      <c r="C72" s="10">
        <v>0.87474936096612699</v>
      </c>
      <c r="D72" s="10">
        <v>0.93319072850926199</v>
      </c>
      <c r="E72" s="10">
        <v>0.91263314223662895</v>
      </c>
      <c r="F72" s="10">
        <v>0.99412563601037096</v>
      </c>
      <c r="H72">
        <v>101.74632072449</v>
      </c>
      <c r="I72">
        <v>65</v>
      </c>
      <c r="J72" s="11">
        <v>0.85270399775608297</v>
      </c>
      <c r="K72" s="11">
        <v>0.92049674291073103</v>
      </c>
      <c r="L72" s="11">
        <v>0.92606193941445203</v>
      </c>
      <c r="M72" s="12">
        <v>0.98907239498020105</v>
      </c>
      <c r="N72">
        <v>12413.632869720001</v>
      </c>
      <c r="O72">
        <v>67</v>
      </c>
      <c r="P72" s="10">
        <v>0.91661684916268704</v>
      </c>
      <c r="Q72" s="10">
        <v>0.95649461660856205</v>
      </c>
      <c r="R72" s="10">
        <v>0.97084188253398296</v>
      </c>
      <c r="S72" s="10">
        <v>0.99201024455298004</v>
      </c>
      <c r="T72">
        <v>238.38019371032999</v>
      </c>
      <c r="U72">
        <v>67</v>
      </c>
      <c r="V72" s="10">
        <v>0.91763422780668402</v>
      </c>
      <c r="W72" s="10">
        <v>0.95704823631171698</v>
      </c>
      <c r="X72" s="10">
        <v>0.96739113077082695</v>
      </c>
      <c r="Y72" s="10">
        <v>0.99264513166416402</v>
      </c>
      <c r="Z72">
        <v>338.93442153930999</v>
      </c>
      <c r="AA72">
        <v>65</v>
      </c>
      <c r="AB72">
        <v>0.84322454060212004</v>
      </c>
      <c r="AE72">
        <v>101.81498527527</v>
      </c>
      <c r="AF72">
        <v>67</v>
      </c>
      <c r="AG72">
        <v>0.87745890928611003</v>
      </c>
    </row>
    <row r="73" spans="1:33">
      <c r="A73">
        <v>3059.9956512450999</v>
      </c>
      <c r="B73">
        <v>67</v>
      </c>
      <c r="C73" s="10">
        <v>0.87559679999999995</v>
      </c>
      <c r="D73" s="10">
        <v>0.93367273819191798</v>
      </c>
      <c r="E73" s="10">
        <v>0.93802579344673598</v>
      </c>
      <c r="F73" s="10">
        <v>0.98848043424077103</v>
      </c>
      <c r="H73">
        <v>103.86514663696001</v>
      </c>
      <c r="I73">
        <v>66</v>
      </c>
      <c r="J73" s="13">
        <v>0.86884048603929598</v>
      </c>
      <c r="K73" s="13">
        <v>0.92981770518110096</v>
      </c>
      <c r="L73" s="13">
        <v>0.93330047072219002</v>
      </c>
      <c r="M73" s="14">
        <v>0.98818628654059104</v>
      </c>
      <c r="N73">
        <v>14240.314722061001</v>
      </c>
      <c r="O73">
        <v>68</v>
      </c>
      <c r="P73" s="10">
        <v>0.842938065497295</v>
      </c>
      <c r="Q73" s="10">
        <v>0.91477633598049102</v>
      </c>
      <c r="R73" s="10">
        <v>0.88698294540191103</v>
      </c>
      <c r="S73" s="10">
        <v>0.99379950818535301</v>
      </c>
      <c r="T73">
        <v>243.30353736877001</v>
      </c>
      <c r="U73">
        <v>68</v>
      </c>
      <c r="V73" s="10">
        <v>0.92826798183504999</v>
      </c>
      <c r="W73" s="10">
        <v>0.96279976702372805</v>
      </c>
      <c r="X73" s="10">
        <v>0.976015842746076</v>
      </c>
      <c r="Y73" s="10">
        <v>0.99231229637944496</v>
      </c>
      <c r="Z73">
        <v>339.54405784607002</v>
      </c>
      <c r="AA73">
        <v>66</v>
      </c>
      <c r="AB73">
        <v>0.87247457352405</v>
      </c>
      <c r="AE73">
        <v>101.35817527771</v>
      </c>
      <c r="AF73">
        <v>68</v>
      </c>
      <c r="AG73">
        <v>0.86369415727495003</v>
      </c>
    </row>
    <row r="74" spans="1:33">
      <c r="A74">
        <v>3041.1841869353998</v>
      </c>
      <c r="B74">
        <v>68</v>
      </c>
      <c r="C74" s="10">
        <v>0.89212038557279805</v>
      </c>
      <c r="D74" s="10">
        <v>0.94298480411195196</v>
      </c>
      <c r="E74" s="10">
        <v>0.94427003769988604</v>
      </c>
      <c r="F74" s="10">
        <v>0.99079117312638598</v>
      </c>
      <c r="H74">
        <v>102.43511199951</v>
      </c>
      <c r="I74">
        <v>67</v>
      </c>
      <c r="J74" s="11">
        <v>0.87522723284786796</v>
      </c>
      <c r="K74" s="11">
        <v>0.93346258791120296</v>
      </c>
      <c r="L74" s="11">
        <v>0.91635129077534705</v>
      </c>
      <c r="M74" s="12">
        <v>0.99299283831692198</v>
      </c>
      <c r="N74">
        <v>12314.117670059</v>
      </c>
      <c r="O74">
        <v>69</v>
      </c>
      <c r="P74" s="10">
        <v>0.90085408028736802</v>
      </c>
      <c r="Q74" s="10">
        <v>0.94784138312308297</v>
      </c>
      <c r="R74" s="10">
        <v>0.96011729608096597</v>
      </c>
      <c r="S74" s="10">
        <v>0.99320154509382197</v>
      </c>
      <c r="T74">
        <v>243.51263046265001</v>
      </c>
      <c r="U74">
        <v>69</v>
      </c>
      <c r="V74" s="10">
        <v>0.89562657809103297</v>
      </c>
      <c r="W74" s="10">
        <v>0.94493988261439399</v>
      </c>
      <c r="X74" s="10">
        <v>0.93843596364022197</v>
      </c>
      <c r="Y74" s="10">
        <v>0.99255189807001898</v>
      </c>
      <c r="Z74">
        <v>338.71388435364003</v>
      </c>
      <c r="AA74">
        <v>67</v>
      </c>
      <c r="AB74">
        <v>0.87690136672305996</v>
      </c>
      <c r="AE74">
        <v>101.57418251038</v>
      </c>
      <c r="AF74">
        <v>69</v>
      </c>
      <c r="AG74">
        <v>0.87346628595882003</v>
      </c>
    </row>
    <row r="75" spans="1:33">
      <c r="A75">
        <v>2949.4388103484998</v>
      </c>
      <c r="B75">
        <v>69</v>
      </c>
      <c r="C75" s="10">
        <v>0.86530515394748597</v>
      </c>
      <c r="D75" s="10">
        <v>0.92778937764286795</v>
      </c>
      <c r="E75" s="10">
        <v>0.91288509844881605</v>
      </c>
      <c r="F75" s="10">
        <v>0.99317057794922203</v>
      </c>
      <c r="H75">
        <v>104.31170463562</v>
      </c>
      <c r="I75">
        <v>68</v>
      </c>
      <c r="J75" s="13">
        <v>0.85287091193673203</v>
      </c>
      <c r="K75" s="13">
        <v>0.92059398897385702</v>
      </c>
      <c r="L75" s="13">
        <v>0.89483995505488401</v>
      </c>
      <c r="M75" s="14">
        <v>0.99457461440480099</v>
      </c>
      <c r="N75">
        <v>12043.229341507</v>
      </c>
      <c r="O75">
        <v>70</v>
      </c>
      <c r="P75" s="10">
        <v>0.89958123115182798</v>
      </c>
      <c r="Q75" s="10">
        <v>0.94713636500436305</v>
      </c>
      <c r="R75" s="10">
        <v>0.95006000045283301</v>
      </c>
      <c r="S75" s="10">
        <v>0.991883870024026</v>
      </c>
      <c r="T75">
        <v>245.06068229675</v>
      </c>
      <c r="U75">
        <v>70</v>
      </c>
      <c r="V75" s="10">
        <v>0.91536619343528403</v>
      </c>
      <c r="W75" s="10">
        <v>0.955813250304412</v>
      </c>
      <c r="X75" s="10">
        <v>0.970960832821398</v>
      </c>
      <c r="Y75" s="10">
        <v>0.99211738162604302</v>
      </c>
      <c r="Z75">
        <v>338.23800086975001</v>
      </c>
      <c r="AA75">
        <v>68</v>
      </c>
      <c r="AB75">
        <v>0.86893991542924998</v>
      </c>
      <c r="AE75">
        <v>101.35746002197</v>
      </c>
      <c r="AF75">
        <v>70</v>
      </c>
      <c r="AG75">
        <v>0.85625438319320002</v>
      </c>
    </row>
    <row r="76" spans="1:33">
      <c r="A76">
        <v>2851.4091968536</v>
      </c>
      <c r="B76">
        <v>70</v>
      </c>
      <c r="C76" s="10">
        <v>0.85424282492027603</v>
      </c>
      <c r="D76" s="10">
        <v>0.92139261744966405</v>
      </c>
      <c r="E76" s="10">
        <v>0.89251866524455203</v>
      </c>
      <c r="F76" s="10">
        <v>0.99535748228402099</v>
      </c>
      <c r="H76">
        <v>102.39362716674999</v>
      </c>
      <c r="I76">
        <v>69</v>
      </c>
      <c r="J76" s="11">
        <v>0.89338384433190698</v>
      </c>
      <c r="K76" s="11">
        <v>0.94369015242880405</v>
      </c>
      <c r="L76" s="11">
        <v>0.93004706667665604</v>
      </c>
      <c r="M76" s="12">
        <v>0.99331864359038902</v>
      </c>
      <c r="N76">
        <v>14345.021486281999</v>
      </c>
      <c r="O76">
        <v>71</v>
      </c>
      <c r="P76" s="10">
        <v>0.91182560456303396</v>
      </c>
      <c r="Q76" s="10">
        <v>0.95387947769581205</v>
      </c>
      <c r="R76" s="10">
        <v>0.960157969434559</v>
      </c>
      <c r="S76" s="10">
        <v>0.99143593010052899</v>
      </c>
      <c r="T76">
        <v>239.37249183655001</v>
      </c>
      <c r="U76">
        <v>71</v>
      </c>
      <c r="V76" s="10">
        <v>0.90410406133542198</v>
      </c>
      <c r="W76" s="10">
        <v>0.94963723852501902</v>
      </c>
      <c r="X76" s="10">
        <v>0.97329687739561499</v>
      </c>
      <c r="Y76" s="10">
        <v>0.99035089038138902</v>
      </c>
      <c r="Z76">
        <v>338.53816986084001</v>
      </c>
      <c r="AA76">
        <v>69</v>
      </c>
      <c r="AB76">
        <v>0.88097844725248997</v>
      </c>
      <c r="AE76">
        <v>101.27687454223999</v>
      </c>
      <c r="AF76">
        <v>71</v>
      </c>
      <c r="AG76">
        <v>0.85841093464351004</v>
      </c>
    </row>
    <row r="77" spans="1:33">
      <c r="A77">
        <v>3471.1599349976</v>
      </c>
      <c r="B77">
        <v>71</v>
      </c>
      <c r="C77" s="10">
        <v>0.86350537070998101</v>
      </c>
      <c r="D77" s="10">
        <v>0.92675383101363695</v>
      </c>
      <c r="E77" s="10">
        <v>0.903842300106525</v>
      </c>
      <c r="F77" s="10">
        <v>0.99535628872162096</v>
      </c>
      <c r="H77">
        <v>104.16078567504999</v>
      </c>
      <c r="I77">
        <v>70</v>
      </c>
      <c r="J77" s="13">
        <v>0.77615435835814295</v>
      </c>
      <c r="K77" s="13">
        <v>0.87397174091964802</v>
      </c>
      <c r="L77" s="13">
        <v>0.93562881157334299</v>
      </c>
      <c r="M77" s="14">
        <v>0.97631327318230698</v>
      </c>
      <c r="N77">
        <v>14194.014787673999</v>
      </c>
      <c r="O77">
        <v>72</v>
      </c>
      <c r="P77" s="10">
        <v>0.87892682702408398</v>
      </c>
      <c r="Q77" s="10">
        <v>0.93556259284046905</v>
      </c>
      <c r="R77" s="10">
        <v>0.91559499656533005</v>
      </c>
      <c r="S77" s="10">
        <v>0.99434361943377703</v>
      </c>
      <c r="T77">
        <v>244.8627948761</v>
      </c>
      <c r="U77">
        <v>72</v>
      </c>
      <c r="V77" s="10">
        <v>0.92433933115908995</v>
      </c>
      <c r="W77" s="10">
        <v>0.96068226241816801</v>
      </c>
      <c r="X77" s="10">
        <v>0.98040845404891896</v>
      </c>
      <c r="Y77" s="10">
        <v>0.99169093712523504</v>
      </c>
      <c r="Z77">
        <v>338.14430236816003</v>
      </c>
      <c r="AA77">
        <v>70</v>
      </c>
      <c r="AB77">
        <v>0.84854155278023002</v>
      </c>
      <c r="AE77">
        <v>101.4518737793</v>
      </c>
      <c r="AF77">
        <v>72</v>
      </c>
      <c r="AG77">
        <v>0.82990196078431</v>
      </c>
    </row>
    <row r="78" spans="1:33">
      <c r="A78">
        <v>2712.7411365509001</v>
      </c>
      <c r="B78">
        <v>72</v>
      </c>
      <c r="C78" s="10">
        <v>0.82184985353128504</v>
      </c>
      <c r="D78" s="10">
        <v>0.90221469342086202</v>
      </c>
      <c r="E78" s="10">
        <v>0.90111126740751102</v>
      </c>
      <c r="F78" s="10">
        <v>0.98659481606840604</v>
      </c>
      <c r="H78">
        <v>102.55146026611</v>
      </c>
      <c r="I78">
        <v>71</v>
      </c>
      <c r="J78" s="11">
        <v>0.82125958441410296</v>
      </c>
      <c r="K78" s="11">
        <v>0.90185890187455198</v>
      </c>
      <c r="L78" s="11">
        <v>0.90065019302605398</v>
      </c>
      <c r="M78" s="12">
        <v>0.98656331535257902</v>
      </c>
      <c r="N78">
        <v>14435.228347778</v>
      </c>
      <c r="O78">
        <v>73</v>
      </c>
      <c r="P78" s="10">
        <v>0.90464087691772499</v>
      </c>
      <c r="Q78" s="10">
        <v>0.94993327916147896</v>
      </c>
      <c r="R78" s="10">
        <v>0.95520273461218397</v>
      </c>
      <c r="S78" s="10">
        <v>0.991852924304094</v>
      </c>
      <c r="T78">
        <v>239.16268348694001</v>
      </c>
      <c r="U78">
        <v>73</v>
      </c>
      <c r="V78" s="10">
        <v>0.93138115138085398</v>
      </c>
      <c r="W78" s="10">
        <v>0.96447161733452402</v>
      </c>
      <c r="X78" s="10">
        <v>0.97929664899688795</v>
      </c>
      <c r="Y78" s="10">
        <v>0.99285306199588497</v>
      </c>
      <c r="Z78">
        <v>338.72270584106002</v>
      </c>
      <c r="AA78">
        <v>71</v>
      </c>
      <c r="AB78">
        <v>0.88781319889314003</v>
      </c>
      <c r="AE78">
        <v>102.37073898315001</v>
      </c>
      <c r="AF78">
        <v>73</v>
      </c>
      <c r="AG78">
        <v>0.85919819538943998</v>
      </c>
    </row>
    <row r="79" spans="1:33">
      <c r="A79">
        <v>2767.7848339081002</v>
      </c>
      <c r="B79">
        <v>73</v>
      </c>
      <c r="C79" s="10">
        <v>0.84170859170859103</v>
      </c>
      <c r="D79" s="10">
        <v>0.91405187063575599</v>
      </c>
      <c r="E79" s="10">
        <v>0.878997688697015</v>
      </c>
      <c r="F79" s="10">
        <v>0.99542174937366001</v>
      </c>
      <c r="H79">
        <v>104.17437553406</v>
      </c>
      <c r="I79">
        <v>72</v>
      </c>
      <c r="J79" s="13">
        <v>0.83236214595309399</v>
      </c>
      <c r="K79" s="13">
        <v>0.90851270617156898</v>
      </c>
      <c r="L79" s="13">
        <v>0.91039945002219902</v>
      </c>
      <c r="M79" s="14">
        <v>0.985596313923783</v>
      </c>
      <c r="N79">
        <v>13229.008197784</v>
      </c>
      <c r="O79">
        <v>74</v>
      </c>
      <c r="P79" s="10">
        <v>0.90850084176791501</v>
      </c>
      <c r="Q79" s="10">
        <v>0.95205705115260697</v>
      </c>
      <c r="R79" s="10">
        <v>0.95584626219082702</v>
      </c>
      <c r="S79" s="10">
        <v>0.99193170917589102</v>
      </c>
      <c r="T79">
        <v>241.36376380920001</v>
      </c>
      <c r="U79">
        <v>74</v>
      </c>
      <c r="V79" s="10">
        <v>0.90598139644413</v>
      </c>
      <c r="W79" s="10">
        <v>0.95067181467181405</v>
      </c>
      <c r="X79" s="10">
        <v>0.97385379642032199</v>
      </c>
      <c r="Y79" s="10">
        <v>0.992552657211487</v>
      </c>
      <c r="Z79">
        <v>338.99807929993</v>
      </c>
      <c r="AA79">
        <v>72</v>
      </c>
      <c r="AB79">
        <v>0.80010787828790997</v>
      </c>
      <c r="AE79">
        <v>101.72438621521</v>
      </c>
      <c r="AF79">
        <v>74</v>
      </c>
      <c r="AG79">
        <v>0.84253486340772998</v>
      </c>
    </row>
    <row r="80" spans="1:33">
      <c r="A80">
        <v>2839.9050235748</v>
      </c>
      <c r="B80">
        <v>74</v>
      </c>
      <c r="C80" s="10">
        <v>0.89199333414872795</v>
      </c>
      <c r="D80" s="10">
        <v>0.94291382326678796</v>
      </c>
      <c r="E80" s="10">
        <v>0.930726158950961</v>
      </c>
      <c r="F80" s="10">
        <v>0.99410314513368603</v>
      </c>
      <c r="H80">
        <v>101.61375999451</v>
      </c>
      <c r="I80">
        <v>73</v>
      </c>
      <c r="J80" s="11">
        <v>0.81240989674654196</v>
      </c>
      <c r="K80" s="11">
        <v>0.89649686663585204</v>
      </c>
      <c r="L80" s="11">
        <v>0.90640554698198095</v>
      </c>
      <c r="M80" s="12">
        <v>0.98887055935736501</v>
      </c>
      <c r="N80" t="s">
        <v>9</v>
      </c>
      <c r="O80" t="s">
        <v>10</v>
      </c>
      <c r="P80" t="s">
        <v>11</v>
      </c>
      <c r="T80" t="s">
        <v>9</v>
      </c>
      <c r="U80" t="s">
        <v>10</v>
      </c>
      <c r="V80" t="s">
        <v>11</v>
      </c>
      <c r="Z80">
        <v>338.78135681152003</v>
      </c>
      <c r="AA80">
        <v>73</v>
      </c>
      <c r="AB80">
        <v>0.89882808519310997</v>
      </c>
      <c r="AE80">
        <f>AVERAGE(Tabella7[time])</f>
        <v>107.49755859374979</v>
      </c>
      <c r="AG80">
        <f>SUBTOTAL(101,Tabella7[iou])</f>
        <v>0.84756000774342244</v>
      </c>
    </row>
    <row r="81" spans="1:28">
      <c r="A81">
        <f>SUBTOTAL(101,Tabella5[time])</f>
        <v>3363.5761260986287</v>
      </c>
      <c r="C81">
        <f>SUBTOTAL(101,Tabella5[iou])</f>
        <v>0.85130738892789148</v>
      </c>
      <c r="D81">
        <f>SUBTOTAL(101,Tabella5[dice])</f>
        <v>0.91894607395366412</v>
      </c>
      <c r="E81">
        <f>SUBTOTAL(101,Tabella5[sensitivity])</f>
        <v>0.91477492895715751</v>
      </c>
      <c r="F81">
        <f>SUBTOTAL(101,Tabella5[specificity])</f>
        <v>0.98926797491256502</v>
      </c>
      <c r="H81">
        <v>104.60186004639</v>
      </c>
      <c r="I81">
        <v>74</v>
      </c>
      <c r="J81" s="13">
        <v>0.86867365803644203</v>
      </c>
      <c r="K81" s="13">
        <v>0.92972216341854297</v>
      </c>
      <c r="L81" s="13">
        <v>0.91316450539751504</v>
      </c>
      <c r="M81" s="14">
        <v>0.993515939936223</v>
      </c>
      <c r="N81">
        <f>AVERAGE(N5:N79)</f>
        <v>14712.294597625711</v>
      </c>
      <c r="P81">
        <f>AVERAGE(P5:P79)</f>
        <v>0.90606231773967127</v>
      </c>
      <c r="Q81">
        <f>SUBTOTAL(101,Tabella2[dice])</f>
        <v>0.950597392688454</v>
      </c>
      <c r="R81">
        <f>SUBTOTAL(101,Tabella2[sensitivity])</f>
        <v>0.96192197326136319</v>
      </c>
      <c r="S81">
        <f>SUBTOTAL(101,Tabella2[specificity])</f>
        <v>0.9919972385380692</v>
      </c>
      <c r="T81" s="8">
        <f>AVERAGE(T5:T80)</f>
        <v>247.55487124125176</v>
      </c>
      <c r="V81" s="8">
        <f>AVERAGE(V5:V80)</f>
        <v>0.90603399504229631</v>
      </c>
      <c r="W81" s="8">
        <f>AVERAGE(W5:W80)</f>
        <v>0.95058173376118971</v>
      </c>
      <c r="X81" s="8">
        <f>AVERAGE(X5:X80)</f>
        <v>0.96188759599988827</v>
      </c>
      <c r="Y81" s="8">
        <f>AVERAGE(Y5:Y80)</f>
        <v>0.99199781087680439</v>
      </c>
      <c r="Z81">
        <v>338.66548538208002</v>
      </c>
      <c r="AA81">
        <v>74</v>
      </c>
      <c r="AB81">
        <v>0.87975275786581997</v>
      </c>
    </row>
    <row r="82" spans="1:28">
      <c r="H82">
        <f>AVERAGE(Tabella1[time])</f>
        <v>109.11296844482423</v>
      </c>
      <c r="J82">
        <f>AVERAGE(Tabella1[iou])</f>
        <v>0.85104375447276615</v>
      </c>
      <c r="K82">
        <f>SUBTOTAL(101,Tabella1[dice])</f>
        <v>0.91876890227095653</v>
      </c>
      <c r="L82">
        <f>SUBTOTAL(101,Tabella1[sensitivity])</f>
        <v>0.91474836717004815</v>
      </c>
      <c r="M82">
        <f>SUBTOTAL(101,Tabella1[specificity])</f>
        <v>0.98919913802078918</v>
      </c>
      <c r="Z82">
        <f>SUBTOTAL(101,Tabella6[time])</f>
        <v>344.94222640991217</v>
      </c>
      <c r="AB82">
        <f>SUBTOTAL(101,Tabella6[iou])</f>
        <v>0.85964883107537982</v>
      </c>
    </row>
    <row r="83" spans="1:28">
      <c r="O83">
        <f>STDEVA(N4:N78)</f>
        <v>3456.7580280154807</v>
      </c>
      <c r="Q83">
        <f>STDEVA(P4:P78)</f>
        <v>0.10657082934235027</v>
      </c>
      <c r="R83">
        <f>STDEVA(Q4:Q78)</f>
        <v>0.11034541997249081</v>
      </c>
      <c r="S83">
        <f>STDEVA(R4:R78)</f>
        <v>0.11287833420872598</v>
      </c>
    </row>
    <row r="84" spans="1:28">
      <c r="A84">
        <f>STDEVA(A5:A79)</f>
        <v>1209.2555626440048</v>
      </c>
      <c r="C84">
        <f>STDEVA(C5:C79)</f>
        <v>0.10806559024955634</v>
      </c>
      <c r="D84">
        <f>STDEVA(D5:D79)</f>
        <v>0.11036620367753623</v>
      </c>
      <c r="E84">
        <f>STDEVA(E5:E79)</f>
        <v>0.10734754597334992</v>
      </c>
      <c r="F84">
        <f>STDEVA(F5:F79)</f>
        <v>0.11503986223520875</v>
      </c>
      <c r="T84">
        <f>STDEVA(T5:T79)</f>
        <v>53.992509630076263</v>
      </c>
      <c r="V84">
        <f>STDEVA(V5:V79)</f>
        <v>2.0308779705765452E-2</v>
      </c>
      <c r="W84">
        <f>STDEVA(W5:W79)</f>
        <v>1.1324463969107525E-2</v>
      </c>
      <c r="X84">
        <f>STDEVA(X5:X79)</f>
        <v>2.0065629432628965E-2</v>
      </c>
      <c r="Y84">
        <f>STDEVA(Y5:Y79)</f>
        <v>1.4935858219746662E-3</v>
      </c>
    </row>
    <row r="85" spans="1:28">
      <c r="H85">
        <f>STDEVA(H6:H80)</f>
        <v>54.634336022721079</v>
      </c>
      <c r="K85">
        <f>STDEVA(K6:K80)</f>
        <v>0.11054194292780417</v>
      </c>
      <c r="L85">
        <f>STDEVA(L6:L80)</f>
        <v>0.10740022600031568</v>
      </c>
      <c r="M85">
        <f>STDEVA(M6:M80)</f>
        <v>0.11507594232534711</v>
      </c>
    </row>
    <row r="86" spans="1:28">
      <c r="L86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C43601-F3A1-4DCF-9F5D-ED9252B53A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TimeDfBBoxStudent</vt:lpstr>
      <vt:lpstr>TimeDfBBoxStudent (2)</vt:lpstr>
      <vt:lpstr>TimeDfBBoxStudent (3)</vt:lpstr>
      <vt:lpstr>TimeDfBBoxStudent (4)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2025-05-14T07:02:27Z</dcterms:created>
  <dcterms:modified xsi:type="dcterms:W3CDTF">2025-07-03T17:14:30Z</dcterms:modified>
  <cp:category/>
</cp:coreProperties>
</file>