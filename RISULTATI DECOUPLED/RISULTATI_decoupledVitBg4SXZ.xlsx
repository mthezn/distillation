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DECOUPLED\"/>
    </mc:Choice>
  </mc:AlternateContent>
  <xr:revisionPtr revIDLastSave="0" documentId="13_ncr:1_{461D62E8-9ADE-4C3A-A6D8-12E1538E0BD0}" xr6:coauthVersionLast="47" xr6:coauthVersionMax="47" xr10:uidLastSave="{00000000-0000-0000-0000-000000000000}"/>
  <bookViews>
    <workbookView minimized="1" xWindow="2232" yWindow="2232" windowWidth="17280" windowHeight="8880" activeTab="2" xr2:uid="{66177380-6D0E-41A8-968E-9FE0E0B69BFF}"/>
  </bookViews>
  <sheets>
    <sheet name="Foglio2" sheetId="2" r:id="rId1"/>
    <sheet name="Foglio3" sheetId="3" r:id="rId2"/>
    <sheet name="Foglio1" sheetId="1" r:id="rId3"/>
  </sheets>
  <definedNames>
    <definedName name="_xlchart.v1.0" hidden="1">Foglio1!$H$6:$H$80</definedName>
    <definedName name="_xlchart.v1.1" hidden="1">Foglio1!$Q$5:$Q$79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6" i="1" l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45" i="1"/>
  <c r="AB45" i="1" a="1"/>
  <c r="AB45" i="1" s="1"/>
  <c r="Z45" i="1" a="1"/>
  <c r="J89" i="1"/>
  <c r="C81" i="1"/>
  <c r="A81" i="1"/>
  <c r="H81" i="1"/>
  <c r="F81" i="1"/>
  <c r="V81" i="1"/>
  <c r="T81" i="1"/>
  <c r="Q81" i="1"/>
  <c r="O81" i="1"/>
  <c r="M81" i="1"/>
  <c r="K81" i="1"/>
  <c r="AG80" i="1"/>
  <c r="AE80" i="1"/>
  <c r="Z45" i="1" l="1"/>
  <c r="AA45" i="1" s="1"/>
  <c r="AA46" i="1"/>
  <c r="AA54" i="1"/>
  <c r="AA62" i="1"/>
  <c r="AA56" i="1"/>
  <c r="AA49" i="1"/>
  <c r="AA52" i="1"/>
  <c r="AA61" i="1"/>
  <c r="AA47" i="1"/>
  <c r="AA55" i="1"/>
  <c r="AA63" i="1"/>
  <c r="AA64" i="1"/>
  <c r="AA57" i="1"/>
  <c r="AA51" i="1"/>
  <c r="AA50" i="1"/>
  <c r="AA53" i="1"/>
  <c r="AA60" i="1"/>
  <c r="AA59" i="1"/>
  <c r="AA58" i="1"/>
  <c r="AA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<sst xmlns="http://schemas.openxmlformats.org/spreadsheetml/2006/main" count="64" uniqueCount="32">
  <si>
    <t>MODELLO CMT DISTILLATO</t>
  </si>
  <si>
    <t>SAM VITb</t>
  </si>
  <si>
    <t>sam_vit_b_01ec64.pth</t>
  </si>
  <si>
    <t>STUDENT CON REFINING MASCHERE</t>
  </si>
  <si>
    <t xml:space="preserve">CPU </t>
  </si>
  <si>
    <t>GPU</t>
  </si>
  <si>
    <t>MASCHERA SAM E MASCHERA STUDENT</t>
  </si>
  <si>
    <t>CPU</t>
  </si>
  <si>
    <t>time</t>
  </si>
  <si>
    <t>index</t>
  </si>
  <si>
    <t>iou</t>
  </si>
  <si>
    <t>TEMPO</t>
  </si>
  <si>
    <t>MEDIA</t>
  </si>
  <si>
    <t>IOU</t>
  </si>
  <si>
    <t>Bin</t>
  </si>
  <si>
    <t>Test t: due campioni assumendo uguale varianza</t>
  </si>
  <si>
    <t>Variabile 1</t>
  </si>
  <si>
    <t>Variabile 2</t>
  </si>
  <si>
    <t>Media</t>
  </si>
  <si>
    <t>Varianza</t>
  </si>
  <si>
    <t>Osservazioni</t>
  </si>
  <si>
    <t>Varianza complessiva</t>
  </si>
  <si>
    <t>Differenza ipotizzata per le medie</t>
  </si>
  <si>
    <t>gdl</t>
  </si>
  <si>
    <t>Stat t</t>
  </si>
  <si>
    <t>P(T&lt;=t) una coda</t>
  </si>
  <si>
    <t>t critico una coda</t>
  </si>
  <si>
    <t>P(T&lt;=t) due code</t>
  </si>
  <si>
    <t>t critico due code</t>
  </si>
  <si>
    <t>Test t: due campioni assumendo varianze diverse</t>
  </si>
  <si>
    <t>H0: LE DUE DISTRIBUZIONI PROVENGONO DALLA STESSA POPOLAZIONE</t>
  </si>
  <si>
    <t>MASCHERE CON REFINING che non viene contato nel conteggio del tmepo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</si>
</sst>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6A8759"/>
      <name val="JetBrains Mono"/>
      <family val="3"/>
    </font>
    <font>
      <sz val="11"/>
      <color rgb="FF000000"/>
      <name val="Calibri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3" fillId="0" borderId="0" xfId="0" applyFont="1" applyAlignment="1">
      <alignment vertical="center"/>
    </xf>
    <xf numFmtId="0" fontId="2" fillId="4" borderId="0" xfId="0" applyFont="1" applyFill="1"/>
    <xf numFmtId="0" fontId="0" fillId="5" borderId="0" xfId="0" applyFill="1"/>
    <xf numFmtId="0" fontId="0" fillId="4" borderId="0" xfId="0" applyFill="1"/>
    <xf numFmtId="0" fontId="0" fillId="0" borderId="1" xfId="0" applyBorder="1"/>
    <xf numFmtId="0" fontId="4" fillId="0" borderId="0" xfId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5" fillId="0" borderId="3" xfId="0" applyFont="1" applyBorder="1" applyAlignment="1">
      <alignment horizontal="center"/>
    </xf>
  </cellXfs>
  <cellStyles count="2">
    <cellStyle name="Normale" xfId="0" builtinId="0"/>
    <cellStyle name="Normale 2" xfId="1" xr:uid="{1A583FC8-0299-41E5-84F8-5BFAE950D502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di probabilita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Student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Foglio1!$Y$45:$Y$64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Foglio1!$AA$45:$AA$64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1.3333333333333335E-3</c:v>
                </c:pt>
                <c:pt idx="14">
                  <c:v>4.6666666666666671E-3</c:v>
                </c:pt>
                <c:pt idx="15">
                  <c:v>5.333333333333334E-3</c:v>
                </c:pt>
                <c:pt idx="16">
                  <c:v>3.4666666666666672E-2</c:v>
                </c:pt>
                <c:pt idx="17">
                  <c:v>4.0000000000000001E-3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B-46BA-A3A7-029A8BAA2298}"/>
            </c:ext>
          </c:extLst>
        </c:ser>
        <c:ser>
          <c:idx val="1"/>
          <c:order val="1"/>
          <c:tx>
            <c:v>SAM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Foglio1!$Y$45:$Y$64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Foglio1!$AC$45:$AC$64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1.3333333333333335E-3</c:v>
                </c:pt>
                <c:pt idx="17">
                  <c:v>8.0000000000000002E-3</c:v>
                </c:pt>
                <c:pt idx="18">
                  <c:v>4.066666666666667E-2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2B-46BA-A3A7-029A8BAA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444495"/>
        <c:axId val="425444975"/>
      </c:scatterChart>
      <c:valAx>
        <c:axId val="42544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5444975"/>
        <c:crosses val="autoZero"/>
        <c:crossBetween val="midCat"/>
      </c:valAx>
      <c:valAx>
        <c:axId val="4254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544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Distribuzione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Distribuzione</a:t>
          </a:r>
        </a:p>
      </cx:txPr>
    </cx:title>
    <cx:plotArea>
      <cx:plotAreaRegion>
        <cx:series layoutId="boxWhisker" uniqueId="{15D0D1F9-4101-4CA3-B2A6-19D430D61380}">
          <cx:tx>
            <cx:txData>
              <cx:f/>
              <cx:v>student</cx:v>
            </cx:txData>
          </cx:tx>
          <cx:dataId val="0"/>
          <cx:layoutPr>
            <cx:statistics quartileMethod="exclusive"/>
          </cx:layoutPr>
        </cx:series>
        <cx:series layoutId="boxWhisker" uniqueId="{00000002-4A99-4979-9281-4CE9C32F1DD6}">
          <cx:tx>
            <cx:txData>
              <cx:f/>
              <cx:v>sam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0</xdr:row>
      <xdr:rowOff>0</xdr:rowOff>
    </xdr:from>
    <xdr:to>
      <xdr:col>8</xdr:col>
      <xdr:colOff>386715</xdr:colOff>
      <xdr:row>2</xdr:row>
      <xdr:rowOff>153953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F3B377-596F-46E3-8FF0-797759AD5E67}"/>
            </a:ext>
          </a:extLst>
        </xdr:cNvPr>
        <xdr:cNvSpPr>
          <a:spLocks noChangeArrowheads="1"/>
        </xdr:cNvSpPr>
      </xdr:nvSpPr>
      <xdr:spPr bwMode="auto">
        <a:xfrm>
          <a:off x="3291840" y="0"/>
          <a:ext cx="1971675" cy="519713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it-IT" altLang="it-IT" sz="1200" b="0" i="0" u="none" strike="noStrike" cap="none" normalizeH="0" baseline="0">
              <a:ln>
                <a:noFill/>
              </a:ln>
              <a:solidFill>
                <a:srgbClr val="6A8759"/>
              </a:solidFill>
              <a:effectLst/>
              <a:latin typeface="JetBrains Mono"/>
            </a:rPr>
            <a:t>decoupledVitBg4SXZ</a:t>
          </a:r>
          <a:endParaRPr kumimoji="0" lang="it-IT" altLang="it-IT" sz="18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34</xdr:col>
      <xdr:colOff>419100</xdr:colOff>
      <xdr:row>40</xdr:row>
      <xdr:rowOff>39051</xdr:rowOff>
    </xdr:from>
    <xdr:to>
      <xdr:col>43</xdr:col>
      <xdr:colOff>97155</xdr:colOff>
      <xdr:row>61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502B76E6-D145-8E54-5348-9297AB5729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58860" y="7354251"/>
              <a:ext cx="5164455" cy="38966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12</xdr:col>
      <xdr:colOff>216217</xdr:colOff>
      <xdr:row>82</xdr:row>
      <xdr:rowOff>84772</xdr:rowOff>
    </xdr:from>
    <xdr:to>
      <xdr:col>19</xdr:col>
      <xdr:colOff>521017</xdr:colOff>
      <xdr:row>97</xdr:row>
      <xdr:rowOff>124777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9D97B04-5526-5D77-4BD0-7A84B8F20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88126-35A3-4025-82EB-0BD106E288F2}" name="Tabella2" displayName="Tabella2" ref="O4:Q81" totalsRowCount="1">
  <autoFilter ref="O4:Q80" xr:uid="{D8688126-35A3-4025-82EB-0BD106E288F2}"/>
  <tableColumns count="3">
    <tableColumn id="1" xr3:uid="{0D58F9F7-9E16-4065-9993-9B9DBA9A378A}" name="time" totalsRowFunction="custom">
      <totalsRowFormula>AVERAGE(O5:O79)</totalsRowFormula>
    </tableColumn>
    <tableColumn id="2" xr3:uid="{48EE0B3E-594F-466D-97C9-D6CC3881D1CD}" name="index"/>
    <tableColumn id="3" xr3:uid="{86B663FB-E61E-4BB7-A83C-3D6A9149C3CA}" name="iou" totalsRowFunction="custom">
      <totalsRowFormula>AVERAGE(Q5:Q79)</totalsRow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E02F4-C97B-4215-8B53-469A64638E3E}" name="Tabella4" displayName="Tabella4" ref="T4:V80" totalsRowShown="0">
  <autoFilter ref="T4:V80" xr:uid="{85EE02F4-C97B-4215-8B53-469A64638E3E}"/>
  <tableColumns count="3">
    <tableColumn id="1" xr3:uid="{B43A16F2-61D7-46D4-BE11-2414A5DB8B51}" name="time"/>
    <tableColumn id="2" xr3:uid="{4CDCCE12-FF16-4011-BE88-D15E03BFC648}" name="index"/>
    <tableColumn id="3" xr3:uid="{C7041BB8-5305-459F-B3A0-01C0BA5B3EA1}" name="iou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1D5F5B-A03B-4817-A1AB-9BC2A9809D54}" name="Tabella6" displayName="Tabella6" ref="K5:M81" totalsRowCount="1">
  <autoFilter ref="K5:M80" xr:uid="{641D5F5B-A03B-4817-A1AB-9BC2A9809D54}"/>
  <tableColumns count="3">
    <tableColumn id="1" xr3:uid="{A9673427-3B1F-4542-AE05-4CDD68E72B45}" name="time" totalsRowFunction="average"/>
    <tableColumn id="2" xr3:uid="{4DED19F0-4FA3-4B31-AEE5-75B637BEB72A}" name="index"/>
    <tableColumn id="3" xr3:uid="{4C75B760-DBE6-494B-8C3F-627D992B8E28}" name="iou" totalsRowFunction="average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7AD6CD-0612-4616-AF60-801DF3032E88}" name="Tabella7" displayName="Tabella7" ref="AE4:AG80" totalsRowCount="1">
  <autoFilter ref="AE4:AG79" xr:uid="{BE7AD6CD-0612-4616-AF60-801DF3032E88}"/>
  <tableColumns count="3">
    <tableColumn id="1" xr3:uid="{B85B9F32-E5A8-420E-B2AC-E833F8A923F0}" name="time" totalsRowFunction="custom">
      <totalsRowFormula>AVERAGE(Tabella7[time])</totalsRowFormula>
    </tableColumn>
    <tableColumn id="2" xr3:uid="{EFB8474F-B3AE-4077-B84E-94955D108C7A}" name="index"/>
    <tableColumn id="3" xr3:uid="{B0AC5112-7219-4D96-8ADE-BBD6DA14701E}" name="iou" totalsRowFunction="average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EB5E24-A41E-44D2-9426-E23BB0A33EB2}" name="Tabella8" displayName="Tabella8" ref="F5:H81" totalsRowCount="1" headerRowCellStyle="Normale 2" dataCellStyle="Normale 2">
  <autoFilter ref="F5:H80" xr:uid="{6DEB5E24-A41E-44D2-9426-E23BB0A33EB2}"/>
  <tableColumns count="3">
    <tableColumn id="1" xr3:uid="{17EA5EE0-A86E-4DF6-8A08-64A49F473038}" name="time" totalsRowFunction="average" totalsRowDxfId="5" dataCellStyle="Normale 2" totalsRowCellStyle="Normale 2"/>
    <tableColumn id="2" xr3:uid="{0CEDC572-5A6B-4B31-844C-BD55DBF0F139}" name="index" totalsRowDxfId="4" dataCellStyle="Normale 2" totalsRowCellStyle="Normale 2"/>
    <tableColumn id="3" xr3:uid="{0AC22A81-C120-4F15-B58A-ED0B36F22DB7}" name="iou" totalsRowFunction="average" totalsRowDxfId="3" dataCellStyle="Normale 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EFA97F-E564-492E-BE37-3877EED747D8}" name="Tabella9" displayName="Tabella9" ref="A5:C81" totalsRowCount="1" headerRowCellStyle="Normale 2" dataCellStyle="Normale 2">
  <autoFilter ref="A5:C80" xr:uid="{76EFA97F-E564-492E-BE37-3877EED747D8}"/>
  <tableColumns count="3">
    <tableColumn id="1" xr3:uid="{5C2751A4-86C2-49CD-BE53-68BA4FBCAABA}" name="time" totalsRowFunction="average" totalsRowDxfId="2" dataCellStyle="Normale 2" totalsRowCellStyle="Normale 2"/>
    <tableColumn id="2" xr3:uid="{BFB24976-30C5-4EDD-A487-D4313AFEA657}" name="index" totalsRowDxfId="1" dataCellStyle="Normale 2" totalsRowCellStyle="Normale 2"/>
    <tableColumn id="3" xr3:uid="{A962501F-0BBC-4914-8D01-CED1901EC397}" name="iou" totalsRowFunction="average" totalsRowDxfId="0" dataCellStyle="Normale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9DC2-7A5D-410B-8E12-ACA8605AB1C5}">
  <dimension ref="A1:C14"/>
  <sheetViews>
    <sheetView workbookViewId="0">
      <selection activeCell="B11" sqref="B11"/>
    </sheetView>
  </sheetViews>
  <sheetFormatPr defaultRowHeight="14.4"/>
  <cols>
    <col min="1" max="1" width="28.33203125" customWidth="1"/>
    <col min="2" max="2" width="37" customWidth="1"/>
  </cols>
  <sheetData>
    <row r="1" spans="1:3">
      <c r="A1" t="s">
        <v>15</v>
      </c>
    </row>
    <row r="2" spans="1:3" ht="15" thickBot="1"/>
    <row r="3" spans="1:3">
      <c r="A3" s="14"/>
      <c r="B3" s="14" t="s">
        <v>16</v>
      </c>
      <c r="C3" s="14" t="s">
        <v>17</v>
      </c>
    </row>
    <row r="4" spans="1:3">
      <c r="A4" t="s">
        <v>18</v>
      </c>
      <c r="B4">
        <v>0.81460906991260795</v>
      </c>
      <c r="C4">
        <v>0.91146478888225169</v>
      </c>
    </row>
    <row r="5" spans="1:3">
      <c r="A5" t="s">
        <v>19</v>
      </c>
      <c r="B5">
        <v>1.7571746653809717E-3</v>
      </c>
      <c r="C5">
        <v>3.8104610247281074E-4</v>
      </c>
    </row>
    <row r="6" spans="1:3">
      <c r="A6" t="s">
        <v>20</v>
      </c>
      <c r="B6">
        <v>75</v>
      </c>
      <c r="C6">
        <v>75</v>
      </c>
    </row>
    <row r="7" spans="1:3">
      <c r="A7" t="s">
        <v>21</v>
      </c>
      <c r="B7">
        <v>1.0691103839268912E-3</v>
      </c>
    </row>
    <row r="8" spans="1:3">
      <c r="A8" t="s">
        <v>22</v>
      </c>
      <c r="B8">
        <v>0</v>
      </c>
    </row>
    <row r="9" spans="1:3">
      <c r="A9" t="s">
        <v>23</v>
      </c>
      <c r="B9">
        <v>148</v>
      </c>
    </row>
    <row r="10" spans="1:3">
      <c r="A10" t="s">
        <v>24</v>
      </c>
      <c r="B10">
        <v>-18.13968032706763</v>
      </c>
    </row>
    <row r="11" spans="1:3">
      <c r="A11" t="s">
        <v>25</v>
      </c>
      <c r="B11">
        <v>9.5538218953756642E-40</v>
      </c>
    </row>
    <row r="12" spans="1:3">
      <c r="A12" t="s">
        <v>26</v>
      </c>
      <c r="B12">
        <v>1.655214506178732</v>
      </c>
    </row>
    <row r="13" spans="1:3">
      <c r="A13" t="s">
        <v>27</v>
      </c>
      <c r="B13">
        <v>1.9107643790751328E-39</v>
      </c>
    </row>
    <row r="14" spans="1:3" ht="15" thickBot="1">
      <c r="A14" s="13" t="s">
        <v>28</v>
      </c>
      <c r="B14" s="13">
        <v>1.9761224936137434</v>
      </c>
      <c r="C1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8BA3-1403-4D89-A6D1-833E333F434D}">
  <dimension ref="A1:C13"/>
  <sheetViews>
    <sheetView workbookViewId="0">
      <selection activeCell="B2" sqref="B2"/>
    </sheetView>
  </sheetViews>
  <sheetFormatPr defaultRowHeight="14.4"/>
  <cols>
    <col min="1" max="1" width="21.109375" customWidth="1"/>
    <col min="2" max="2" width="34.5546875" customWidth="1"/>
    <col min="3" max="3" width="37.109375" customWidth="1"/>
  </cols>
  <sheetData>
    <row r="1" spans="1:3">
      <c r="A1" t="s">
        <v>29</v>
      </c>
    </row>
    <row r="2" spans="1:3" ht="15" thickBot="1">
      <c r="B2" t="s">
        <v>30</v>
      </c>
    </row>
    <row r="3" spans="1:3">
      <c r="A3" s="14"/>
      <c r="B3" s="14" t="s">
        <v>16</v>
      </c>
      <c r="C3" s="14" t="s">
        <v>17</v>
      </c>
    </row>
    <row r="4" spans="1:3">
      <c r="A4" t="s">
        <v>18</v>
      </c>
      <c r="B4">
        <v>0.81460906991260795</v>
      </c>
      <c r="C4">
        <v>0.91146189884682749</v>
      </c>
    </row>
    <row r="5" spans="1:3">
      <c r="A5" t="s">
        <v>19</v>
      </c>
      <c r="B5">
        <v>1.7571746653809717E-3</v>
      </c>
      <c r="C5">
        <v>3.8118053582184409E-4</v>
      </c>
    </row>
    <row r="6" spans="1:3">
      <c r="A6" t="s">
        <v>20</v>
      </c>
      <c r="B6">
        <v>75</v>
      </c>
      <c r="C6">
        <v>75</v>
      </c>
    </row>
    <row r="7" spans="1:3">
      <c r="A7" t="s">
        <v>22</v>
      </c>
      <c r="B7">
        <v>0</v>
      </c>
    </row>
    <row r="8" spans="1:3">
      <c r="A8" t="s">
        <v>23</v>
      </c>
      <c r="B8">
        <v>105</v>
      </c>
    </row>
    <row r="9" spans="1:3">
      <c r="A9" t="s">
        <v>24</v>
      </c>
      <c r="B9">
        <v>-18.138568873671115</v>
      </c>
    </row>
    <row r="10" spans="1:3">
      <c r="A10" t="s">
        <v>25</v>
      </c>
      <c r="B10">
        <v>1.958686601391606E-34</v>
      </c>
    </row>
    <row r="11" spans="1:3">
      <c r="A11" t="s">
        <v>26</v>
      </c>
      <c r="B11">
        <v>1.6594953834068058</v>
      </c>
    </row>
    <row r="12" spans="1:3">
      <c r="A12" t="s">
        <v>27</v>
      </c>
      <c r="B12">
        <v>3.917373202783212E-34</v>
      </c>
    </row>
    <row r="13" spans="1:3" ht="15" thickBot="1">
      <c r="A13" s="13" t="s">
        <v>28</v>
      </c>
      <c r="B13" s="13">
        <v>1.9828152737950464</v>
      </c>
      <c r="C1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72E4-FBA8-4087-BA9C-911FC798C15B}">
  <dimension ref="A1:AG89"/>
  <sheetViews>
    <sheetView tabSelected="1" workbookViewId="0">
      <selection activeCell="J18" sqref="J18"/>
    </sheetView>
  </sheetViews>
  <sheetFormatPr defaultRowHeight="14.4"/>
  <cols>
    <col min="10" max="10" width="12" bestFit="1" customWidth="1"/>
  </cols>
  <sheetData>
    <row r="1" spans="1:33">
      <c r="F1" s="1" t="s">
        <v>0</v>
      </c>
      <c r="G1" s="2"/>
      <c r="H1" s="2"/>
      <c r="S1" s="3" t="s">
        <v>1</v>
      </c>
    </row>
    <row r="2" spans="1:33">
      <c r="J2" t="s">
        <v>31</v>
      </c>
      <c r="S2" s="4" t="s">
        <v>2</v>
      </c>
      <c r="AF2" t="s">
        <v>3</v>
      </c>
    </row>
    <row r="3" spans="1:33">
      <c r="B3" s="5" t="s">
        <v>4</v>
      </c>
      <c r="G3" s="6" t="s">
        <v>5</v>
      </c>
      <c r="J3" t="s">
        <v>6</v>
      </c>
      <c r="P3" s="7" t="s">
        <v>7</v>
      </c>
      <c r="U3" s="6" t="s">
        <v>5</v>
      </c>
      <c r="AF3" t="s">
        <v>5</v>
      </c>
    </row>
    <row r="4" spans="1:33">
      <c r="O4" t="s">
        <v>8</v>
      </c>
      <c r="P4" t="s">
        <v>9</v>
      </c>
      <c r="Q4" t="s">
        <v>10</v>
      </c>
      <c r="T4" t="s">
        <v>8</v>
      </c>
      <c r="U4" t="s">
        <v>9</v>
      </c>
      <c r="V4" t="s">
        <v>10</v>
      </c>
      <c r="AE4" s="9" t="s">
        <v>8</v>
      </c>
      <c r="AF4" s="9" t="s">
        <v>9</v>
      </c>
      <c r="AG4" s="9" t="s">
        <v>10</v>
      </c>
    </row>
    <row r="5" spans="1:33">
      <c r="A5" s="9" t="s">
        <v>8</v>
      </c>
      <c r="B5" s="9" t="s">
        <v>9</v>
      </c>
      <c r="C5" s="9" t="s">
        <v>10</v>
      </c>
      <c r="F5" s="9" t="s">
        <v>8</v>
      </c>
      <c r="G5" s="9" t="s">
        <v>9</v>
      </c>
      <c r="H5" s="9" t="s">
        <v>10</v>
      </c>
      <c r="K5" t="s">
        <v>8</v>
      </c>
      <c r="L5" t="s">
        <v>9</v>
      </c>
      <c r="M5" t="s">
        <v>10</v>
      </c>
      <c r="O5">
        <v>27154.576539992999</v>
      </c>
      <c r="P5">
        <v>0</v>
      </c>
      <c r="Q5">
        <v>0.91264049579200002</v>
      </c>
      <c r="T5">
        <v>708.44483375548998</v>
      </c>
      <c r="U5">
        <v>0</v>
      </c>
      <c r="V5">
        <v>0.91780141282197003</v>
      </c>
      <c r="AE5" s="9">
        <v>518.61095428467002</v>
      </c>
      <c r="AF5" s="9">
        <v>0</v>
      </c>
      <c r="AG5" s="9">
        <v>0.84228301249577997</v>
      </c>
    </row>
    <row r="6" spans="1:33">
      <c r="A6" s="9">
        <v>3322.5419521332001</v>
      </c>
      <c r="B6" s="9">
        <v>0</v>
      </c>
      <c r="C6" s="9">
        <v>0.70908214067886</v>
      </c>
      <c r="F6" s="9">
        <v>536.95726394653002</v>
      </c>
      <c r="G6" s="9">
        <v>0</v>
      </c>
      <c r="H6" s="9">
        <v>0.83472935813010996</v>
      </c>
      <c r="K6">
        <v>782.33647350000001</v>
      </c>
      <c r="L6">
        <v>0</v>
      </c>
      <c r="M6">
        <v>0.87199758000000005</v>
      </c>
      <c r="O6">
        <v>18388.057231903</v>
      </c>
      <c r="P6">
        <v>1</v>
      </c>
      <c r="Q6">
        <v>0.89763580256992004</v>
      </c>
      <c r="T6">
        <v>237.42008209228999</v>
      </c>
      <c r="U6">
        <v>1</v>
      </c>
      <c r="V6">
        <v>0.91729487301824997</v>
      </c>
      <c r="AE6" s="9">
        <v>102.83994674682999</v>
      </c>
      <c r="AF6" s="9">
        <v>1</v>
      </c>
      <c r="AG6" s="9">
        <v>0.75369659442724002</v>
      </c>
    </row>
    <row r="7" spans="1:33">
      <c r="A7" s="9">
        <v>3020.2198028563998</v>
      </c>
      <c r="B7" s="9">
        <v>1</v>
      </c>
      <c r="C7" s="9">
        <v>0.82241117102171002</v>
      </c>
      <c r="F7" s="9">
        <v>101.37271881104</v>
      </c>
      <c r="G7" s="9">
        <v>1</v>
      </c>
      <c r="H7" s="9">
        <v>0.83117751261740003</v>
      </c>
      <c r="K7">
        <v>337.4824524</v>
      </c>
      <c r="L7">
        <v>1</v>
      </c>
      <c r="M7">
        <v>0.885731198</v>
      </c>
      <c r="O7">
        <v>20539.702653885</v>
      </c>
      <c r="P7">
        <v>2</v>
      </c>
      <c r="Q7">
        <v>0.89293012117188997</v>
      </c>
      <c r="T7">
        <v>249.03869628906</v>
      </c>
      <c r="U7">
        <v>2</v>
      </c>
      <c r="V7">
        <v>0.92838062030762003</v>
      </c>
      <c r="AE7" s="9">
        <v>103.45911979675</v>
      </c>
      <c r="AF7" s="9">
        <v>2</v>
      </c>
      <c r="AG7" s="9">
        <v>0.78620887552555996</v>
      </c>
    </row>
    <row r="8" spans="1:33">
      <c r="A8" s="9">
        <v>3300.5454540252999</v>
      </c>
      <c r="B8" s="9">
        <v>2</v>
      </c>
      <c r="C8" s="9">
        <v>0.84968493630777997</v>
      </c>
      <c r="F8" s="9">
        <v>104.01439666748</v>
      </c>
      <c r="G8" s="9">
        <v>2</v>
      </c>
      <c r="H8" s="9">
        <v>0.83881469055861002</v>
      </c>
      <c r="K8">
        <v>339.96343610000002</v>
      </c>
      <c r="L8">
        <v>2</v>
      </c>
      <c r="M8">
        <v>0.86116849200000001</v>
      </c>
      <c r="O8">
        <v>16307.573318481</v>
      </c>
      <c r="P8">
        <v>3</v>
      </c>
      <c r="Q8">
        <v>0.94148195987828998</v>
      </c>
      <c r="T8">
        <v>241.14251136780001</v>
      </c>
      <c r="U8">
        <v>3</v>
      </c>
      <c r="V8">
        <v>0.92154698822556003</v>
      </c>
      <c r="AE8" s="9">
        <v>101.26090049744001</v>
      </c>
      <c r="AF8" s="9">
        <v>3</v>
      </c>
      <c r="AG8" s="9">
        <v>0.83693650024236999</v>
      </c>
    </row>
    <row r="9" spans="1:33">
      <c r="A9" s="9">
        <v>3621.1149692535</v>
      </c>
      <c r="B9" s="9">
        <v>3</v>
      </c>
      <c r="C9" s="9">
        <v>0.83475532341778003</v>
      </c>
      <c r="F9" s="9">
        <v>103.36494445801</v>
      </c>
      <c r="G9" s="9">
        <v>3</v>
      </c>
      <c r="H9" s="9">
        <v>0.69833724669491004</v>
      </c>
      <c r="K9">
        <v>337.0747566</v>
      </c>
      <c r="L9">
        <v>3</v>
      </c>
      <c r="M9">
        <v>0.74648490899999997</v>
      </c>
      <c r="O9">
        <v>14554.762363434</v>
      </c>
      <c r="P9">
        <v>4</v>
      </c>
      <c r="Q9">
        <v>0.92210831376742997</v>
      </c>
      <c r="T9">
        <v>243.49617958069001</v>
      </c>
      <c r="U9">
        <v>4</v>
      </c>
      <c r="V9">
        <v>0.94142830510279996</v>
      </c>
      <c r="AE9" s="9">
        <v>103.7003993988</v>
      </c>
      <c r="AF9" s="9">
        <v>4</v>
      </c>
      <c r="AG9" s="9">
        <v>0.84723542761171999</v>
      </c>
    </row>
    <row r="10" spans="1:33">
      <c r="A10" s="9">
        <v>3074.0873813629</v>
      </c>
      <c r="B10" s="9">
        <v>4</v>
      </c>
      <c r="C10" s="9">
        <v>0.86335311971206996</v>
      </c>
      <c r="F10" s="9">
        <v>103.22570800781</v>
      </c>
      <c r="G10" s="9">
        <v>4</v>
      </c>
      <c r="H10" s="9">
        <v>0.82443220449041998</v>
      </c>
      <c r="K10">
        <v>341.99881549999998</v>
      </c>
      <c r="L10">
        <v>4</v>
      </c>
      <c r="M10">
        <v>0.88790335399999998</v>
      </c>
      <c r="O10">
        <v>14396.610498427999</v>
      </c>
      <c r="P10">
        <v>5</v>
      </c>
      <c r="Q10">
        <v>0.91791321938537995</v>
      </c>
      <c r="T10">
        <v>243.15214157104</v>
      </c>
      <c r="U10">
        <v>5</v>
      </c>
      <c r="V10">
        <v>0.89411425274091005</v>
      </c>
      <c r="AE10" s="9">
        <v>101.51934623718</v>
      </c>
      <c r="AF10" s="9">
        <v>5</v>
      </c>
      <c r="AG10" s="9">
        <v>0.85816622931955999</v>
      </c>
    </row>
    <row r="11" spans="1:33">
      <c r="A11" s="9">
        <v>3125.0267028808998</v>
      </c>
      <c r="B11" s="9">
        <v>5</v>
      </c>
      <c r="C11" s="9">
        <v>0.81735873576324003</v>
      </c>
      <c r="F11" s="9">
        <v>101.39107704163</v>
      </c>
      <c r="G11" s="9">
        <v>5</v>
      </c>
      <c r="H11" s="9">
        <v>0.84822695967615003</v>
      </c>
      <c r="K11">
        <v>338.60373499999997</v>
      </c>
      <c r="L11">
        <v>5</v>
      </c>
      <c r="M11">
        <v>0.82818162699999998</v>
      </c>
      <c r="O11">
        <v>15602.219581604</v>
      </c>
      <c r="P11">
        <v>6</v>
      </c>
      <c r="Q11">
        <v>0.91092802998329003</v>
      </c>
      <c r="T11">
        <v>242.94734001160001</v>
      </c>
      <c r="U11">
        <v>6</v>
      </c>
      <c r="V11">
        <v>0.92310475583986995</v>
      </c>
      <c r="AE11" s="9">
        <v>101.37391090393</v>
      </c>
      <c r="AF11" s="9">
        <v>6</v>
      </c>
      <c r="AG11" s="9">
        <v>0.71543827386671999</v>
      </c>
    </row>
    <row r="12" spans="1:33">
      <c r="A12" s="9">
        <v>3107.4945926666001</v>
      </c>
      <c r="B12" s="9">
        <v>6</v>
      </c>
      <c r="C12" s="9">
        <v>0.84360445238005</v>
      </c>
      <c r="F12" s="9">
        <v>103.53708267211999</v>
      </c>
      <c r="G12" s="9">
        <v>6</v>
      </c>
      <c r="H12" s="9">
        <v>0.83384463605157</v>
      </c>
      <c r="K12">
        <v>340.60573579999999</v>
      </c>
      <c r="L12">
        <v>6</v>
      </c>
      <c r="M12">
        <v>0.84043738899999998</v>
      </c>
      <c r="O12">
        <v>13114.931344986</v>
      </c>
      <c r="P12">
        <v>7</v>
      </c>
      <c r="Q12">
        <v>0.91547787345243004</v>
      </c>
      <c r="T12">
        <v>245.44429779052999</v>
      </c>
      <c r="U12">
        <v>7</v>
      </c>
      <c r="V12">
        <v>0.91489639193843997</v>
      </c>
      <c r="AE12" s="9">
        <v>101.52077674866</v>
      </c>
      <c r="AF12" s="9">
        <v>7</v>
      </c>
      <c r="AG12" s="9">
        <v>0.86472009548484996</v>
      </c>
    </row>
    <row r="13" spans="1:33">
      <c r="A13" s="9">
        <v>3105.5862903594998</v>
      </c>
      <c r="B13" s="9">
        <v>7</v>
      </c>
      <c r="C13" s="9">
        <v>0.78513771926598996</v>
      </c>
      <c r="F13" s="9">
        <v>101.72247886658</v>
      </c>
      <c r="G13" s="9">
        <v>7</v>
      </c>
      <c r="H13" s="9">
        <v>0.84720559116558003</v>
      </c>
      <c r="K13">
        <v>338.13476559999998</v>
      </c>
      <c r="L13">
        <v>7</v>
      </c>
      <c r="M13">
        <v>0.83559420399999995</v>
      </c>
      <c r="O13">
        <v>15649.169206619001</v>
      </c>
      <c r="P13">
        <v>8</v>
      </c>
      <c r="Q13">
        <v>0.93910511823137999</v>
      </c>
      <c r="T13">
        <v>244.09079551696999</v>
      </c>
      <c r="U13">
        <v>8</v>
      </c>
      <c r="V13">
        <v>0.90897005951841003</v>
      </c>
      <c r="AE13" s="9">
        <v>101.54891014099</v>
      </c>
      <c r="AF13" s="9">
        <v>8</v>
      </c>
      <c r="AG13" s="9">
        <v>0.84624020460661997</v>
      </c>
    </row>
    <row r="14" spans="1:33">
      <c r="A14" s="9">
        <v>4318.5739517211996</v>
      </c>
      <c r="B14" s="9">
        <v>8</v>
      </c>
      <c r="C14" s="9">
        <v>0.80419205249006998</v>
      </c>
      <c r="F14" s="9">
        <v>103.40666770935</v>
      </c>
      <c r="G14" s="9">
        <v>8</v>
      </c>
      <c r="H14" s="9">
        <v>0.86332717810978998</v>
      </c>
      <c r="K14">
        <v>337.87441250000001</v>
      </c>
      <c r="L14">
        <v>8</v>
      </c>
      <c r="M14">
        <v>0.84961224599999996</v>
      </c>
      <c r="O14">
        <v>22408.123254776001</v>
      </c>
      <c r="P14">
        <v>9</v>
      </c>
      <c r="Q14">
        <v>0.89408468669566998</v>
      </c>
      <c r="T14">
        <v>241.32394790648999</v>
      </c>
      <c r="U14">
        <v>9</v>
      </c>
      <c r="V14">
        <v>0.92724374367726003</v>
      </c>
      <c r="AE14" s="9">
        <v>101.10616683959999</v>
      </c>
      <c r="AF14" s="9">
        <v>9</v>
      </c>
      <c r="AG14" s="9">
        <v>0.72472746677509003</v>
      </c>
    </row>
    <row r="15" spans="1:33">
      <c r="A15" s="9">
        <v>4418.0657863616998</v>
      </c>
      <c r="B15" s="9">
        <v>9</v>
      </c>
      <c r="C15" s="9">
        <v>0.83444771097293002</v>
      </c>
      <c r="F15" s="9">
        <v>105.65185546875</v>
      </c>
      <c r="G15" s="9">
        <v>9</v>
      </c>
      <c r="H15" s="9">
        <v>0.84358165862554002</v>
      </c>
      <c r="K15">
        <v>338.4902477</v>
      </c>
      <c r="L15">
        <v>9</v>
      </c>
      <c r="M15">
        <v>0.84048400199999995</v>
      </c>
      <c r="O15">
        <v>13349.583387375</v>
      </c>
      <c r="P15">
        <v>10</v>
      </c>
      <c r="Q15">
        <v>0.91173183465584995</v>
      </c>
      <c r="T15">
        <v>244.93122100830001</v>
      </c>
      <c r="U15">
        <v>10</v>
      </c>
      <c r="V15">
        <v>0.89961278476607998</v>
      </c>
      <c r="AE15" s="9">
        <v>103.30748558044</v>
      </c>
      <c r="AF15" s="9">
        <v>10</v>
      </c>
      <c r="AG15" s="9">
        <v>0.84460545449906999</v>
      </c>
    </row>
    <row r="16" spans="1:33">
      <c r="A16" s="9">
        <v>4575.4911899566996</v>
      </c>
      <c r="B16" s="9">
        <v>10</v>
      </c>
      <c r="C16" s="9">
        <v>0.83120529447156</v>
      </c>
      <c r="F16" s="9">
        <v>103.39403152465999</v>
      </c>
      <c r="G16" s="9">
        <v>10</v>
      </c>
      <c r="H16" s="9">
        <v>0.85323429371004</v>
      </c>
      <c r="K16">
        <v>338.09685710000002</v>
      </c>
      <c r="L16">
        <v>10</v>
      </c>
      <c r="M16">
        <v>0.88550275199999995</v>
      </c>
      <c r="O16">
        <v>13812.323093413999</v>
      </c>
      <c r="P16">
        <v>11</v>
      </c>
      <c r="Q16">
        <v>0.93198970079020005</v>
      </c>
      <c r="T16">
        <v>243.91722679137999</v>
      </c>
      <c r="U16">
        <v>11</v>
      </c>
      <c r="V16">
        <v>0.89666380969323001</v>
      </c>
      <c r="AE16" s="9">
        <v>101.15265846251999</v>
      </c>
      <c r="AF16" s="9">
        <v>11</v>
      </c>
      <c r="AG16" s="9">
        <v>0.74957430894826005</v>
      </c>
    </row>
    <row r="17" spans="1:33">
      <c r="A17" s="9">
        <v>4850.4569530486997</v>
      </c>
      <c r="B17" s="9">
        <v>11</v>
      </c>
      <c r="C17" s="9">
        <v>0.82185876193262997</v>
      </c>
      <c r="F17" s="9">
        <v>101.18818283081001</v>
      </c>
      <c r="G17" s="9">
        <v>11</v>
      </c>
      <c r="H17" s="9">
        <v>0.78577172199392997</v>
      </c>
      <c r="K17">
        <v>338.2532597</v>
      </c>
      <c r="L17">
        <v>11</v>
      </c>
      <c r="M17">
        <v>0.90214403499999996</v>
      </c>
      <c r="O17">
        <v>13916.531801224</v>
      </c>
      <c r="P17">
        <v>12</v>
      </c>
      <c r="Q17">
        <v>0.90332067915397996</v>
      </c>
      <c r="T17">
        <v>241.54376983642999</v>
      </c>
      <c r="U17">
        <v>12</v>
      </c>
      <c r="V17">
        <v>0.91097098770121998</v>
      </c>
      <c r="AE17" s="9">
        <v>98.932504653931005</v>
      </c>
      <c r="AF17" s="9">
        <v>12</v>
      </c>
      <c r="AG17" s="9">
        <v>0.84939326939430004</v>
      </c>
    </row>
    <row r="18" spans="1:33">
      <c r="A18" s="9">
        <v>4375.8754730225</v>
      </c>
      <c r="B18" s="9">
        <v>12</v>
      </c>
      <c r="C18" s="9">
        <v>0.81969892591269999</v>
      </c>
      <c r="F18" s="9">
        <v>103.20210456848</v>
      </c>
      <c r="G18" s="9">
        <v>12</v>
      </c>
      <c r="H18" s="9">
        <v>0.74056758530183997</v>
      </c>
      <c r="K18">
        <v>337.37206459999999</v>
      </c>
      <c r="L18">
        <v>12</v>
      </c>
      <c r="M18">
        <v>0.86481877299999999</v>
      </c>
      <c r="O18">
        <v>13027.921676636</v>
      </c>
      <c r="P18">
        <v>13</v>
      </c>
      <c r="Q18">
        <v>0.92013028166189004</v>
      </c>
      <c r="T18">
        <v>241.39285087585</v>
      </c>
      <c r="U18">
        <v>13</v>
      </c>
      <c r="V18">
        <v>0.91831257442022995</v>
      </c>
      <c r="AE18" s="9">
        <v>101.89652442932</v>
      </c>
      <c r="AF18" s="9">
        <v>13</v>
      </c>
      <c r="AG18" s="9">
        <v>0.83030359097706996</v>
      </c>
    </row>
    <row r="19" spans="1:33">
      <c r="A19" s="9">
        <v>3624.5553493500001</v>
      </c>
      <c r="B19" s="9">
        <v>13</v>
      </c>
      <c r="C19" s="9">
        <v>0.83394996749125005</v>
      </c>
      <c r="F19" s="9">
        <v>101.65262222290001</v>
      </c>
      <c r="G19" s="9">
        <v>13</v>
      </c>
      <c r="H19" s="9">
        <v>0.73766325822700995</v>
      </c>
      <c r="K19">
        <v>341.61281589999999</v>
      </c>
      <c r="L19">
        <v>13</v>
      </c>
      <c r="M19">
        <v>0.72151572100000005</v>
      </c>
      <c r="O19">
        <v>13487.979650497</v>
      </c>
      <c r="P19">
        <v>14</v>
      </c>
      <c r="Q19">
        <v>0.93646462259082996</v>
      </c>
      <c r="T19">
        <v>244.26364898681999</v>
      </c>
      <c r="U19">
        <v>14</v>
      </c>
      <c r="V19">
        <v>0.90529971785437002</v>
      </c>
      <c r="AE19" s="9">
        <v>103.36732864379999</v>
      </c>
      <c r="AF19" s="9">
        <v>14</v>
      </c>
      <c r="AG19" s="9">
        <v>0.83723001392027996</v>
      </c>
    </row>
    <row r="20" spans="1:33">
      <c r="A20" s="9">
        <v>3612.5802993774</v>
      </c>
      <c r="B20" s="9">
        <v>14</v>
      </c>
      <c r="C20" s="9">
        <v>0.84472016735387001</v>
      </c>
      <c r="F20" s="9">
        <v>103.36303710938</v>
      </c>
      <c r="G20" s="9">
        <v>14</v>
      </c>
      <c r="H20" s="9">
        <v>0.79456961132715997</v>
      </c>
      <c r="K20">
        <v>340.55995940000003</v>
      </c>
      <c r="L20">
        <v>14</v>
      </c>
      <c r="M20">
        <v>0.85767554000000001</v>
      </c>
      <c r="O20">
        <v>12907.074928284001</v>
      </c>
      <c r="P20">
        <v>15</v>
      </c>
      <c r="Q20">
        <v>0.90383199464524999</v>
      </c>
      <c r="T20">
        <v>238.43693733214999</v>
      </c>
      <c r="U20">
        <v>15</v>
      </c>
      <c r="V20">
        <v>0.91567316521594</v>
      </c>
      <c r="AE20" s="9">
        <v>101.63998603821</v>
      </c>
      <c r="AF20" s="9">
        <v>15</v>
      </c>
      <c r="AG20" s="9">
        <v>0.84763070004299002</v>
      </c>
    </row>
    <row r="21" spans="1:33">
      <c r="A21" s="9">
        <v>3708.4474563599001</v>
      </c>
      <c r="B21" s="9">
        <v>15</v>
      </c>
      <c r="C21" s="9">
        <v>0.82472287116448995</v>
      </c>
      <c r="F21" s="9">
        <v>101.59420967102</v>
      </c>
      <c r="G21" s="9">
        <v>15</v>
      </c>
      <c r="H21" s="9">
        <v>0.82870525554398999</v>
      </c>
      <c r="K21">
        <v>337.88919449999997</v>
      </c>
      <c r="L21">
        <v>15</v>
      </c>
      <c r="M21">
        <v>0.86843831400000004</v>
      </c>
      <c r="O21">
        <v>13666.136980056999</v>
      </c>
      <c r="P21">
        <v>16</v>
      </c>
      <c r="Q21">
        <v>0.92538372315627004</v>
      </c>
      <c r="T21">
        <v>241.12725257874001</v>
      </c>
      <c r="U21">
        <v>16</v>
      </c>
      <c r="V21">
        <v>0.93141616116228998</v>
      </c>
      <c r="AE21" s="9">
        <v>103.38616371155</v>
      </c>
      <c r="AF21" s="9">
        <v>16</v>
      </c>
      <c r="AG21" s="9">
        <v>0.82901979688487004</v>
      </c>
    </row>
    <row r="22" spans="1:33">
      <c r="A22" s="9">
        <v>3456.2025070190002</v>
      </c>
      <c r="B22" s="9">
        <v>16</v>
      </c>
      <c r="C22" s="9">
        <v>0.77941787808825003</v>
      </c>
      <c r="F22" s="9">
        <v>103.76596450805999</v>
      </c>
      <c r="G22" s="9">
        <v>16</v>
      </c>
      <c r="H22" s="9">
        <v>0.82227713362479005</v>
      </c>
      <c r="K22">
        <v>337.89539339999999</v>
      </c>
      <c r="L22">
        <v>16</v>
      </c>
      <c r="M22">
        <v>0.86816087099999995</v>
      </c>
      <c r="O22">
        <v>18603.63817215</v>
      </c>
      <c r="P22">
        <v>17</v>
      </c>
      <c r="Q22">
        <v>0.92153012204621998</v>
      </c>
      <c r="T22">
        <v>239.51673507690001</v>
      </c>
      <c r="U22">
        <v>17</v>
      </c>
      <c r="V22">
        <v>0.91395767773184999</v>
      </c>
      <c r="AE22" s="9">
        <v>101.22728347778001</v>
      </c>
      <c r="AF22" s="9">
        <v>17</v>
      </c>
      <c r="AG22" s="9">
        <v>0.83005784257349002</v>
      </c>
    </row>
    <row r="23" spans="1:33">
      <c r="A23" s="9">
        <v>3571.0437297820999</v>
      </c>
      <c r="B23" s="9">
        <v>17</v>
      </c>
      <c r="C23" s="9">
        <v>0.82381891533836005</v>
      </c>
      <c r="F23" s="9">
        <v>101.51124000549</v>
      </c>
      <c r="G23" s="9">
        <v>17</v>
      </c>
      <c r="H23" s="9">
        <v>0.80411163318411005</v>
      </c>
      <c r="K23">
        <v>338.22941780000002</v>
      </c>
      <c r="L23">
        <v>17</v>
      </c>
      <c r="M23">
        <v>0.86317622900000002</v>
      </c>
      <c r="O23">
        <v>17592.336177826</v>
      </c>
      <c r="P23">
        <v>18</v>
      </c>
      <c r="Q23">
        <v>0.90296374879338004</v>
      </c>
      <c r="T23">
        <v>245.59760093688999</v>
      </c>
      <c r="U23">
        <v>18</v>
      </c>
      <c r="V23">
        <v>0.92156318932934</v>
      </c>
      <c r="AE23" s="9">
        <v>103.84368896484</v>
      </c>
      <c r="AF23" s="9">
        <v>18</v>
      </c>
      <c r="AG23" s="9">
        <v>0.87318459628677003</v>
      </c>
    </row>
    <row r="24" spans="1:33">
      <c r="A24" s="9">
        <v>3483.0312728882</v>
      </c>
      <c r="B24" s="9">
        <v>18</v>
      </c>
      <c r="C24" s="9">
        <v>0.84761764272017004</v>
      </c>
      <c r="F24" s="9">
        <v>103.27911376953</v>
      </c>
      <c r="G24" s="9">
        <v>18</v>
      </c>
      <c r="H24" s="9">
        <v>0.78343417012823002</v>
      </c>
      <c r="K24">
        <v>339.72239489999998</v>
      </c>
      <c r="L24">
        <v>18</v>
      </c>
      <c r="M24">
        <v>0.88617464400000001</v>
      </c>
      <c r="O24">
        <v>13769.920825957999</v>
      </c>
      <c r="P24">
        <v>19</v>
      </c>
      <c r="Q24">
        <v>0.89215879503325002</v>
      </c>
      <c r="T24">
        <v>239.57228660582999</v>
      </c>
      <c r="U24">
        <v>19</v>
      </c>
      <c r="V24">
        <v>0.91794417928375005</v>
      </c>
      <c r="AE24" s="9">
        <v>101.42874717712</v>
      </c>
      <c r="AF24" s="9">
        <v>19</v>
      </c>
      <c r="AG24" s="9">
        <v>0.85233456547497</v>
      </c>
    </row>
    <row r="25" spans="1:33">
      <c r="A25" s="9">
        <v>3545.8660125731999</v>
      </c>
      <c r="B25" s="9">
        <v>19</v>
      </c>
      <c r="C25" s="9">
        <v>0.84728570534092995</v>
      </c>
      <c r="F25" s="9">
        <v>101.74369812012</v>
      </c>
      <c r="G25" s="9">
        <v>19</v>
      </c>
      <c r="H25" s="9">
        <v>0.82384183771341002</v>
      </c>
      <c r="K25">
        <v>337.03351020000002</v>
      </c>
      <c r="L25">
        <v>19</v>
      </c>
      <c r="M25">
        <v>0.87383473199999995</v>
      </c>
      <c r="O25">
        <v>13317.996025085</v>
      </c>
      <c r="P25">
        <v>20</v>
      </c>
      <c r="Q25">
        <v>0.90282431159040999</v>
      </c>
      <c r="T25">
        <v>240.77177047729</v>
      </c>
      <c r="U25">
        <v>20</v>
      </c>
      <c r="V25">
        <v>0.90565532848612995</v>
      </c>
      <c r="AE25" s="9">
        <v>103.32775115967</v>
      </c>
      <c r="AF25" s="9">
        <v>20</v>
      </c>
      <c r="AG25" s="9">
        <v>0.83087682645639005</v>
      </c>
    </row>
    <row r="26" spans="1:33">
      <c r="A26" s="9">
        <v>2809.4229698180998</v>
      </c>
      <c r="B26" s="9">
        <v>20</v>
      </c>
      <c r="C26" s="9">
        <v>0.81149662510784004</v>
      </c>
      <c r="F26" s="9">
        <v>103.34396362305</v>
      </c>
      <c r="G26" s="9">
        <v>20</v>
      </c>
      <c r="H26" s="9">
        <v>0.72827763496144005</v>
      </c>
      <c r="K26">
        <v>337.86773679999999</v>
      </c>
      <c r="L26">
        <v>20</v>
      </c>
      <c r="M26">
        <v>0.82723785100000002</v>
      </c>
      <c r="O26">
        <v>13707.19575882</v>
      </c>
      <c r="P26">
        <v>21</v>
      </c>
      <c r="Q26">
        <v>0.92482364496830005</v>
      </c>
      <c r="T26">
        <v>244.12703514098999</v>
      </c>
      <c r="U26">
        <v>21</v>
      </c>
      <c r="V26">
        <v>0.91375341095477003</v>
      </c>
      <c r="AE26" s="9">
        <v>101.50122642517</v>
      </c>
      <c r="AF26" s="9">
        <v>21</v>
      </c>
      <c r="AG26" s="9">
        <v>0.85198473975837996</v>
      </c>
    </row>
    <row r="27" spans="1:33">
      <c r="A27" s="9">
        <v>2664.2940044402999</v>
      </c>
      <c r="B27" s="9">
        <v>21</v>
      </c>
      <c r="C27" s="9">
        <v>0.84785964912280998</v>
      </c>
      <c r="F27" s="9">
        <v>101.38392448425</v>
      </c>
      <c r="G27" s="9">
        <v>21</v>
      </c>
      <c r="H27" s="9">
        <v>0.82829581085280002</v>
      </c>
      <c r="K27">
        <v>337.13769910000002</v>
      </c>
      <c r="L27">
        <v>21</v>
      </c>
      <c r="M27">
        <v>0.88559321999999996</v>
      </c>
      <c r="O27">
        <v>13719.106197356999</v>
      </c>
      <c r="P27">
        <v>22</v>
      </c>
      <c r="Q27">
        <v>0.90652235029519002</v>
      </c>
      <c r="T27">
        <v>239.25614356995001</v>
      </c>
      <c r="U27">
        <v>22</v>
      </c>
      <c r="V27">
        <v>0.92512343655312002</v>
      </c>
      <c r="AE27" s="9">
        <v>103.40166091918999</v>
      </c>
      <c r="AF27" s="9">
        <v>22</v>
      </c>
      <c r="AG27" s="9">
        <v>0.83666426290305995</v>
      </c>
    </row>
    <row r="28" spans="1:33">
      <c r="A28" s="9">
        <v>3210.9725475311002</v>
      </c>
      <c r="B28" s="9">
        <v>22</v>
      </c>
      <c r="C28" s="9">
        <v>0.84078730967159998</v>
      </c>
      <c r="F28" s="9">
        <v>103.32560539246001</v>
      </c>
      <c r="G28" s="9">
        <v>22</v>
      </c>
      <c r="H28" s="9">
        <v>0.84759183926963</v>
      </c>
      <c r="K28">
        <v>340.04402160000001</v>
      </c>
      <c r="L28">
        <v>22</v>
      </c>
      <c r="M28">
        <v>0.85395047300000004</v>
      </c>
      <c r="O28">
        <v>15024.798393249999</v>
      </c>
      <c r="P28">
        <v>23</v>
      </c>
      <c r="Q28">
        <v>0.92732422270124004</v>
      </c>
      <c r="T28">
        <v>240.07987976074</v>
      </c>
      <c r="U28">
        <v>23</v>
      </c>
      <c r="V28">
        <v>0.89295034067170997</v>
      </c>
      <c r="AE28" s="9">
        <v>101.65882110596</v>
      </c>
      <c r="AF28" s="9">
        <v>23</v>
      </c>
      <c r="AG28" s="9">
        <v>0.82071835567757001</v>
      </c>
    </row>
    <row r="29" spans="1:33">
      <c r="A29" s="9">
        <v>3130.0494670868002</v>
      </c>
      <c r="B29" s="9">
        <v>23</v>
      </c>
      <c r="C29" s="9">
        <v>0.70607182987224004</v>
      </c>
      <c r="F29" s="9">
        <v>101.07111930847</v>
      </c>
      <c r="G29" s="9">
        <v>23</v>
      </c>
      <c r="H29" s="9">
        <v>0.83394094198692004</v>
      </c>
      <c r="K29">
        <v>337.8455639</v>
      </c>
      <c r="L29">
        <v>23</v>
      </c>
      <c r="M29">
        <v>0.87980696999999997</v>
      </c>
      <c r="O29">
        <v>14480.317354201999</v>
      </c>
      <c r="P29">
        <v>24</v>
      </c>
      <c r="Q29">
        <v>0.92724300020437</v>
      </c>
      <c r="T29">
        <v>244.30489540100001</v>
      </c>
      <c r="U29">
        <v>24</v>
      </c>
      <c r="V29">
        <v>0.90292459141738002</v>
      </c>
      <c r="AE29" s="9">
        <v>103.21736335753999</v>
      </c>
      <c r="AF29" s="9">
        <v>24</v>
      </c>
      <c r="AG29" s="9">
        <v>0.86668164648440005</v>
      </c>
    </row>
    <row r="30" spans="1:33">
      <c r="A30" s="9">
        <v>3132.2557926178001</v>
      </c>
      <c r="B30" s="9">
        <v>24</v>
      </c>
      <c r="C30" s="9">
        <v>0.84992618312054002</v>
      </c>
      <c r="F30" s="9">
        <v>103.45101356505999</v>
      </c>
      <c r="G30" s="9">
        <v>24</v>
      </c>
      <c r="H30" s="9">
        <v>0.8192696178694</v>
      </c>
      <c r="K30">
        <v>339.96939659999998</v>
      </c>
      <c r="L30">
        <v>24</v>
      </c>
      <c r="M30">
        <v>0.85158025000000004</v>
      </c>
      <c r="O30">
        <v>13447.830438614001</v>
      </c>
      <c r="P30">
        <v>25</v>
      </c>
      <c r="Q30">
        <v>0.92130360959292001</v>
      </c>
      <c r="T30">
        <v>240.01336097717001</v>
      </c>
      <c r="U30">
        <v>25</v>
      </c>
      <c r="V30">
        <v>0.92217090785110001</v>
      </c>
      <c r="AE30" s="9">
        <v>101.36890411377</v>
      </c>
      <c r="AF30" s="9">
        <v>25</v>
      </c>
      <c r="AG30" s="9">
        <v>0.7381232438084</v>
      </c>
    </row>
    <row r="31" spans="1:33">
      <c r="A31" s="9">
        <v>3168.0953502655002</v>
      </c>
      <c r="B31" s="9">
        <v>25</v>
      </c>
      <c r="C31" s="9">
        <v>0.82894545898922001</v>
      </c>
      <c r="F31" s="9">
        <v>101.33862495421999</v>
      </c>
      <c r="G31" s="9">
        <v>25</v>
      </c>
      <c r="H31" s="9">
        <v>0.82755903390493002</v>
      </c>
      <c r="K31">
        <v>337.94331549999998</v>
      </c>
      <c r="L31">
        <v>25</v>
      </c>
      <c r="M31">
        <v>0.84508895500000003</v>
      </c>
      <c r="O31">
        <v>13689.628124237001</v>
      </c>
      <c r="P31">
        <v>26</v>
      </c>
      <c r="Q31">
        <v>0.91065933233736995</v>
      </c>
      <c r="T31">
        <v>242.34700202942</v>
      </c>
      <c r="U31">
        <v>26</v>
      </c>
      <c r="V31">
        <v>0.92378429542377005</v>
      </c>
      <c r="AE31" s="9">
        <v>101.39727592468</v>
      </c>
      <c r="AF31" s="9">
        <v>26</v>
      </c>
      <c r="AG31" s="9">
        <v>0.86607258365231998</v>
      </c>
    </row>
    <row r="32" spans="1:33">
      <c r="A32" s="9">
        <v>2890.1507854462002</v>
      </c>
      <c r="B32" s="9">
        <v>26</v>
      </c>
      <c r="C32" s="9">
        <v>0.83297421509337999</v>
      </c>
      <c r="F32" s="9">
        <v>103.06167602539</v>
      </c>
      <c r="G32" s="9">
        <v>26</v>
      </c>
      <c r="H32" s="9">
        <v>0.83214358237398001</v>
      </c>
      <c r="K32">
        <v>339.61725230000002</v>
      </c>
      <c r="L32">
        <v>26</v>
      </c>
      <c r="M32">
        <v>0.85812631299999997</v>
      </c>
      <c r="O32">
        <v>13058.100938797001</v>
      </c>
      <c r="P32">
        <v>27</v>
      </c>
      <c r="Q32">
        <v>0.93037834102520001</v>
      </c>
      <c r="T32">
        <v>242.99740791321</v>
      </c>
      <c r="U32">
        <v>27</v>
      </c>
      <c r="V32">
        <v>0.83845038326082</v>
      </c>
      <c r="AE32" s="9">
        <v>101.70269012451</v>
      </c>
      <c r="AF32" s="9">
        <v>27</v>
      </c>
      <c r="AG32" s="9">
        <v>0.87203548546081999</v>
      </c>
    </row>
    <row r="33" spans="1:33">
      <c r="A33" s="9">
        <v>3098.5808372498</v>
      </c>
      <c r="B33" s="9">
        <v>27</v>
      </c>
      <c r="C33" s="9">
        <v>0.82441062779788998</v>
      </c>
      <c r="F33" s="9">
        <v>102.10943222045999</v>
      </c>
      <c r="G33" s="9">
        <v>27</v>
      </c>
      <c r="H33" s="9">
        <v>0.84216109076550005</v>
      </c>
      <c r="K33">
        <v>337.83316610000003</v>
      </c>
      <c r="L33">
        <v>27</v>
      </c>
      <c r="M33">
        <v>0.87282347000000005</v>
      </c>
      <c r="O33">
        <v>20828.855514526</v>
      </c>
      <c r="P33">
        <v>28</v>
      </c>
      <c r="Q33">
        <v>0.92373171020285005</v>
      </c>
      <c r="T33">
        <v>240.28897285460999</v>
      </c>
      <c r="U33">
        <v>28</v>
      </c>
      <c r="V33">
        <v>0.91478006299186998</v>
      </c>
      <c r="AE33" s="9">
        <v>103.24215888977</v>
      </c>
      <c r="AF33" s="9">
        <v>28</v>
      </c>
      <c r="AG33" s="9">
        <v>0.85711846413114001</v>
      </c>
    </row>
    <row r="34" spans="1:33">
      <c r="A34" s="9">
        <v>2759.2988014221</v>
      </c>
      <c r="B34" s="9">
        <v>28</v>
      </c>
      <c r="C34" s="9">
        <v>0.83793867950034995</v>
      </c>
      <c r="F34" s="9">
        <v>103.38115692139</v>
      </c>
      <c r="G34" s="9">
        <v>28</v>
      </c>
      <c r="H34" s="9">
        <v>0.82826127827231</v>
      </c>
      <c r="K34">
        <v>344.16246410000002</v>
      </c>
      <c r="L34">
        <v>28</v>
      </c>
      <c r="M34">
        <v>0.836886939</v>
      </c>
      <c r="O34">
        <v>27219.798564911001</v>
      </c>
      <c r="P34">
        <v>29</v>
      </c>
      <c r="Q34">
        <v>0.91569593164002006</v>
      </c>
      <c r="T34">
        <v>243.25084686279001</v>
      </c>
      <c r="U34">
        <v>29</v>
      </c>
      <c r="V34">
        <v>0.89937106918238996</v>
      </c>
      <c r="AE34" s="9">
        <v>101.72462463379</v>
      </c>
      <c r="AF34" s="9">
        <v>29</v>
      </c>
      <c r="AG34" s="9">
        <v>0.84875618773105999</v>
      </c>
    </row>
    <row r="35" spans="1:33">
      <c r="A35" s="9">
        <v>2724.0684032439999</v>
      </c>
      <c r="B35" s="9">
        <v>29</v>
      </c>
      <c r="C35" s="9">
        <v>0.74906750946726997</v>
      </c>
      <c r="F35" s="9">
        <v>101.64523124695</v>
      </c>
      <c r="G35" s="9">
        <v>29</v>
      </c>
      <c r="H35" s="9">
        <v>0.83893776381801999</v>
      </c>
      <c r="K35">
        <v>336.96436879999999</v>
      </c>
      <c r="L35">
        <v>29</v>
      </c>
      <c r="M35">
        <v>0.87586161200000001</v>
      </c>
      <c r="O35">
        <v>13882.433176041</v>
      </c>
      <c r="P35">
        <v>30</v>
      </c>
      <c r="Q35">
        <v>0.91838894716450004</v>
      </c>
      <c r="T35">
        <v>241.68562889098999</v>
      </c>
      <c r="U35">
        <v>30</v>
      </c>
      <c r="V35">
        <v>0.91322623405701997</v>
      </c>
      <c r="AE35" s="9">
        <v>103.75928878784001</v>
      </c>
      <c r="AF35" s="9">
        <v>30</v>
      </c>
      <c r="AG35" s="9">
        <v>0.84604915900359001</v>
      </c>
    </row>
    <row r="36" spans="1:33">
      <c r="A36" s="9">
        <v>2837.2323513031001</v>
      </c>
      <c r="B36" s="9">
        <v>30</v>
      </c>
      <c r="C36" s="9">
        <v>0.72829622479171996</v>
      </c>
      <c r="F36" s="9">
        <v>103.11579704285001</v>
      </c>
      <c r="G36" s="9">
        <v>30</v>
      </c>
      <c r="H36" s="9">
        <v>0.77936596253588997</v>
      </c>
      <c r="K36">
        <v>340.39139749999998</v>
      </c>
      <c r="L36">
        <v>30</v>
      </c>
      <c r="M36">
        <v>0.86353087500000003</v>
      </c>
      <c r="O36">
        <v>17000.013113022</v>
      </c>
      <c r="P36">
        <v>31</v>
      </c>
      <c r="Q36">
        <v>0.91535433070866001</v>
      </c>
      <c r="T36">
        <v>239.48836326598999</v>
      </c>
      <c r="U36">
        <v>31</v>
      </c>
      <c r="V36">
        <v>0.91556490591203998</v>
      </c>
      <c r="AE36" s="9">
        <v>101.66144371033</v>
      </c>
      <c r="AF36" s="9">
        <v>31</v>
      </c>
      <c r="AG36" s="9">
        <v>0.86226895984266005</v>
      </c>
    </row>
    <row r="37" spans="1:33">
      <c r="A37" s="9">
        <v>2804.0144443511999</v>
      </c>
      <c r="B37" s="9">
        <v>31</v>
      </c>
      <c r="C37" s="9">
        <v>0.67722219070848999</v>
      </c>
      <c r="F37" s="9">
        <v>105.23724555969</v>
      </c>
      <c r="G37" s="9">
        <v>31</v>
      </c>
      <c r="H37" s="9">
        <v>0.81728912671705001</v>
      </c>
      <c r="K37">
        <v>338.45043179999999</v>
      </c>
      <c r="L37">
        <v>31</v>
      </c>
      <c r="M37">
        <v>0.79082471200000004</v>
      </c>
      <c r="O37">
        <v>18127.736330031999</v>
      </c>
      <c r="P37">
        <v>32</v>
      </c>
      <c r="Q37">
        <v>0.91374415251993002</v>
      </c>
      <c r="T37">
        <v>245.98097801207999</v>
      </c>
      <c r="U37">
        <v>32</v>
      </c>
      <c r="V37">
        <v>0.90386546184739003</v>
      </c>
      <c r="AE37" s="9">
        <v>103.80172729492</v>
      </c>
      <c r="AF37" s="9">
        <v>32</v>
      </c>
      <c r="AG37" s="9">
        <v>0.75798210921189002</v>
      </c>
    </row>
    <row r="38" spans="1:33">
      <c r="A38" s="9">
        <v>2864.7305965423998</v>
      </c>
      <c r="B38" s="9">
        <v>32</v>
      </c>
      <c r="C38" s="9">
        <v>0.83222304658517998</v>
      </c>
      <c r="F38" s="9">
        <v>103.35040092468</v>
      </c>
      <c r="G38" s="9">
        <v>32</v>
      </c>
      <c r="H38" s="9">
        <v>0.79962950620429996</v>
      </c>
      <c r="K38">
        <v>339.2746449</v>
      </c>
      <c r="L38">
        <v>32</v>
      </c>
      <c r="M38">
        <v>0.88178522400000003</v>
      </c>
      <c r="O38">
        <v>18883.706808089999</v>
      </c>
      <c r="P38">
        <v>33</v>
      </c>
      <c r="Q38">
        <v>0.90179719551772997</v>
      </c>
      <c r="T38">
        <v>243.17216873168999</v>
      </c>
      <c r="U38">
        <v>33</v>
      </c>
      <c r="V38">
        <v>0.91960307440961997</v>
      </c>
      <c r="AE38" s="9">
        <v>101.38940811157001</v>
      </c>
      <c r="AF38" s="9">
        <v>33</v>
      </c>
      <c r="AG38" s="9">
        <v>0.84985638158358001</v>
      </c>
    </row>
    <row r="39" spans="1:33">
      <c r="A39" s="9">
        <v>2906.5821170806998</v>
      </c>
      <c r="B39" s="9">
        <v>33</v>
      </c>
      <c r="C39" s="9">
        <v>0.84824966649361999</v>
      </c>
      <c r="F39" s="9">
        <v>101.37319564819001</v>
      </c>
      <c r="G39" s="9">
        <v>33</v>
      </c>
      <c r="H39" s="9">
        <v>0.67714397135463</v>
      </c>
      <c r="K39">
        <v>338.86361119999998</v>
      </c>
      <c r="L39">
        <v>33</v>
      </c>
      <c r="M39">
        <v>0.73745325900000003</v>
      </c>
      <c r="O39">
        <v>15427.240371704</v>
      </c>
      <c r="P39">
        <v>34</v>
      </c>
      <c r="Q39">
        <v>0.91726135705278999</v>
      </c>
      <c r="T39">
        <v>239.54033851624001</v>
      </c>
      <c r="U39">
        <v>34</v>
      </c>
      <c r="V39">
        <v>0.93549629030257997</v>
      </c>
      <c r="AE39" s="9">
        <v>103.84297370911</v>
      </c>
      <c r="AF39" s="9">
        <v>34</v>
      </c>
      <c r="AG39" s="9">
        <v>0.85838066224760001</v>
      </c>
    </row>
    <row r="40" spans="1:33">
      <c r="A40" s="9">
        <v>2849.8759269714001</v>
      </c>
      <c r="B40" s="9">
        <v>34</v>
      </c>
      <c r="C40" s="9">
        <v>0.81627044824100004</v>
      </c>
      <c r="F40" s="9">
        <v>103.71375083923</v>
      </c>
      <c r="G40" s="9">
        <v>34</v>
      </c>
      <c r="H40" s="9">
        <v>0.74900064915097997</v>
      </c>
      <c r="K40">
        <v>339.12611010000001</v>
      </c>
      <c r="L40">
        <v>34</v>
      </c>
      <c r="M40">
        <v>0.84657186399999995</v>
      </c>
      <c r="O40">
        <v>15788.952589035</v>
      </c>
      <c r="P40">
        <v>35</v>
      </c>
      <c r="Q40">
        <v>0.90960582027189996</v>
      </c>
      <c r="T40">
        <v>242.3210144043</v>
      </c>
      <c r="U40">
        <v>35</v>
      </c>
      <c r="V40">
        <v>0.85381256691648999</v>
      </c>
      <c r="AE40" s="9">
        <v>101.71318054199</v>
      </c>
      <c r="AF40" s="9">
        <v>35</v>
      </c>
      <c r="AG40" s="9">
        <v>0.83348250637631005</v>
      </c>
    </row>
    <row r="41" spans="1:33">
      <c r="A41" s="9">
        <v>2846.6222286224001</v>
      </c>
      <c r="B41" s="9">
        <v>35</v>
      </c>
      <c r="C41" s="9">
        <v>0.74053295932678997</v>
      </c>
      <c r="F41" s="9">
        <v>101.38368606567001</v>
      </c>
      <c r="G41" s="9">
        <v>35</v>
      </c>
      <c r="H41" s="9">
        <v>0.78511933218107999</v>
      </c>
      <c r="K41">
        <v>337.42117880000001</v>
      </c>
      <c r="L41">
        <v>35</v>
      </c>
      <c r="M41">
        <v>0.72389007800000005</v>
      </c>
      <c r="O41">
        <v>13530.999183655</v>
      </c>
      <c r="P41">
        <v>36</v>
      </c>
      <c r="Q41">
        <v>0.91481837844060998</v>
      </c>
      <c r="T41">
        <v>238.76094818115001</v>
      </c>
      <c r="U41">
        <v>36</v>
      </c>
      <c r="V41">
        <v>0.90648927549654001</v>
      </c>
      <c r="AE41" s="9">
        <v>103.54900360107</v>
      </c>
      <c r="AF41" s="9">
        <v>36</v>
      </c>
      <c r="AG41" s="9">
        <v>0.82719103427067997</v>
      </c>
    </row>
    <row r="42" spans="1:33">
      <c r="A42" s="9">
        <v>2794.9330806732</v>
      </c>
      <c r="B42" s="9">
        <v>36</v>
      </c>
      <c r="C42" s="9">
        <v>0.85305807300895997</v>
      </c>
      <c r="F42" s="9">
        <v>103.48415374756</v>
      </c>
      <c r="G42" s="9">
        <v>36</v>
      </c>
      <c r="H42" s="9">
        <v>0.85856234949480004</v>
      </c>
      <c r="K42">
        <v>339.59126470000001</v>
      </c>
      <c r="L42">
        <v>36</v>
      </c>
      <c r="M42">
        <v>0.86428661299999998</v>
      </c>
      <c r="O42">
        <v>13671.788692474</v>
      </c>
      <c r="P42">
        <v>37</v>
      </c>
      <c r="Q42">
        <v>0.87920101933743</v>
      </c>
      <c r="T42">
        <v>238.07954788207999</v>
      </c>
      <c r="U42">
        <v>37</v>
      </c>
      <c r="V42">
        <v>0.92656902916953998</v>
      </c>
      <c r="AE42" s="9">
        <v>101.57012939453</v>
      </c>
      <c r="AF42" s="9">
        <v>37</v>
      </c>
      <c r="AG42" s="9">
        <v>0.83088226657112996</v>
      </c>
    </row>
    <row r="43" spans="1:33">
      <c r="A43" s="9">
        <v>2864.9783134459999</v>
      </c>
      <c r="B43" s="9">
        <v>37</v>
      </c>
      <c r="C43" s="9">
        <v>0.82831335936893002</v>
      </c>
      <c r="F43" s="9">
        <v>101.08137130737001</v>
      </c>
      <c r="G43" s="9">
        <v>37</v>
      </c>
      <c r="H43" s="9">
        <v>0.84990192124994002</v>
      </c>
      <c r="K43">
        <v>336.82513239999997</v>
      </c>
      <c r="L43">
        <v>37</v>
      </c>
      <c r="M43">
        <v>0.84155785699999996</v>
      </c>
      <c r="O43">
        <v>19306.549072266</v>
      </c>
      <c r="P43">
        <v>38</v>
      </c>
      <c r="Q43">
        <v>0.90004484240065996</v>
      </c>
      <c r="T43">
        <v>240.65732955933001</v>
      </c>
      <c r="U43">
        <v>38</v>
      </c>
      <c r="V43">
        <v>0.89216916836962001</v>
      </c>
      <c r="AE43" s="9">
        <v>105.93724250792999</v>
      </c>
      <c r="AF43" s="9">
        <v>38</v>
      </c>
      <c r="AG43" s="9">
        <v>0.83852718849061003</v>
      </c>
    </row>
    <row r="44" spans="1:33">
      <c r="A44" s="9">
        <v>3334.1064453125</v>
      </c>
      <c r="B44" s="9">
        <v>38</v>
      </c>
      <c r="C44" s="9">
        <v>0.79959619323917996</v>
      </c>
      <c r="F44" s="9">
        <v>103.51943969727</v>
      </c>
      <c r="G44" s="9">
        <v>38</v>
      </c>
      <c r="H44" s="9">
        <v>0.83481691511277001</v>
      </c>
      <c r="K44">
        <v>337.17036250000001</v>
      </c>
      <c r="L44">
        <v>38</v>
      </c>
      <c r="M44">
        <v>0.87521616199999996</v>
      </c>
      <c r="O44">
        <v>12925.818920135</v>
      </c>
      <c r="P44">
        <v>39</v>
      </c>
      <c r="Q44">
        <v>0.92596243098151998</v>
      </c>
      <c r="T44">
        <v>242.11359024047999</v>
      </c>
      <c r="U44">
        <v>39</v>
      </c>
      <c r="V44">
        <v>0.90177573670111</v>
      </c>
      <c r="Y44" s="11" t="s">
        <v>14</v>
      </c>
      <c r="AE44" s="9">
        <v>101.72080993652</v>
      </c>
      <c r="AF44" s="9">
        <v>39</v>
      </c>
      <c r="AG44" s="9">
        <v>0.78702200610026996</v>
      </c>
    </row>
    <row r="45" spans="1:33">
      <c r="A45" s="9">
        <v>3004.7950744629002</v>
      </c>
      <c r="B45" s="9">
        <v>39</v>
      </c>
      <c r="C45" s="9">
        <v>0.85098132371163004</v>
      </c>
      <c r="F45" s="9">
        <v>102.86211967468</v>
      </c>
      <c r="G45" s="9">
        <v>39</v>
      </c>
      <c r="H45" s="9">
        <v>0.84783676553939002</v>
      </c>
      <c r="K45">
        <v>337.2347355</v>
      </c>
      <c r="L45">
        <v>39</v>
      </c>
      <c r="M45">
        <v>0.88150332200000003</v>
      </c>
      <c r="O45">
        <v>13193.307638168</v>
      </c>
      <c r="P45">
        <v>40</v>
      </c>
      <c r="Q45">
        <v>0.90563094919530995</v>
      </c>
      <c r="T45">
        <v>238.21616172790999</v>
      </c>
      <c r="U45">
        <v>40</v>
      </c>
      <c r="V45">
        <v>0.90299634835676001</v>
      </c>
      <c r="Y45" s="12">
        <v>0.05</v>
      </c>
      <c r="Z45" cm="1">
        <f t="array" ref="Z45:Z65">FREQUENCY(Tabella8[iou],Y45:Y64)</f>
        <v>0</v>
      </c>
      <c r="AA45">
        <f>Z45/75*0.05</f>
        <v>0</v>
      </c>
      <c r="AB45" cm="1">
        <f t="array" ref="AB45:AB65">FREQUENCY(Q5:Q79,Y45:Y64)</f>
        <v>0</v>
      </c>
      <c r="AC45">
        <f>AB45/75*0.05</f>
        <v>0</v>
      </c>
      <c r="AE45" s="9">
        <v>103.50513458252</v>
      </c>
      <c r="AF45" s="9">
        <v>40</v>
      </c>
      <c r="AG45" s="9">
        <v>0.81470877858419</v>
      </c>
    </row>
    <row r="46" spans="1:33">
      <c r="A46" s="9">
        <v>2752.0980834961001</v>
      </c>
      <c r="B46" s="9">
        <v>40</v>
      </c>
      <c r="C46" s="9">
        <v>0.82869492347726004</v>
      </c>
      <c r="F46" s="9">
        <v>103.28340530396</v>
      </c>
      <c r="G46" s="9">
        <v>40</v>
      </c>
      <c r="H46" s="9">
        <v>0.70906821550397003</v>
      </c>
      <c r="K46">
        <v>338.63592149999999</v>
      </c>
      <c r="L46">
        <v>40</v>
      </c>
      <c r="M46">
        <v>0.76189731699999996</v>
      </c>
      <c r="O46">
        <v>13180.178165436</v>
      </c>
      <c r="P46">
        <v>41</v>
      </c>
      <c r="Q46">
        <v>0.93420951280569997</v>
      </c>
      <c r="T46">
        <v>238.34204673766999</v>
      </c>
      <c r="U46">
        <v>41</v>
      </c>
      <c r="V46">
        <v>0.90279686416166005</v>
      </c>
      <c r="Y46" s="12">
        <v>0.1</v>
      </c>
      <c r="Z46">
        <v>0</v>
      </c>
      <c r="AA46">
        <f t="shared" ref="AA46:AA64" si="0">Z46/75*0.05</f>
        <v>0</v>
      </c>
      <c r="AB46">
        <v>0</v>
      </c>
      <c r="AC46">
        <f t="shared" ref="AC46:AC65" si="1">AB46/75*0.05</f>
        <v>0</v>
      </c>
      <c r="AE46" s="9">
        <v>101.43184661865</v>
      </c>
      <c r="AF46" s="9">
        <v>41</v>
      </c>
      <c r="AG46" s="9">
        <v>0.85015760336927004</v>
      </c>
    </row>
    <row r="47" spans="1:33">
      <c r="A47" s="9">
        <v>2712.2099399567001</v>
      </c>
      <c r="B47" s="9">
        <v>41</v>
      </c>
      <c r="C47" s="9">
        <v>0.71886833745614998</v>
      </c>
      <c r="F47" s="9">
        <v>101.08256340027</v>
      </c>
      <c r="G47" s="9">
        <v>41</v>
      </c>
      <c r="H47" s="9">
        <v>0.80541089566019997</v>
      </c>
      <c r="K47">
        <v>337.7861977</v>
      </c>
      <c r="L47">
        <v>41</v>
      </c>
      <c r="M47">
        <v>0.88053050099999997</v>
      </c>
      <c r="O47">
        <v>14657.440185547001</v>
      </c>
      <c r="P47">
        <v>42</v>
      </c>
      <c r="Q47">
        <v>0.90521721913310005</v>
      </c>
      <c r="T47">
        <v>240.64350128173999</v>
      </c>
      <c r="U47">
        <v>42</v>
      </c>
      <c r="V47">
        <v>0.88450018243065998</v>
      </c>
      <c r="Y47" s="12">
        <v>0.15</v>
      </c>
      <c r="Z47">
        <v>0</v>
      </c>
      <c r="AA47">
        <f t="shared" si="0"/>
        <v>0</v>
      </c>
      <c r="AB47">
        <v>0</v>
      </c>
      <c r="AC47">
        <f t="shared" si="1"/>
        <v>0</v>
      </c>
      <c r="AE47" s="9">
        <v>103.102684021</v>
      </c>
      <c r="AF47" s="9">
        <v>42</v>
      </c>
      <c r="AG47" s="9">
        <v>0.83724517990911995</v>
      </c>
    </row>
    <row r="48" spans="1:33">
      <c r="A48" s="9">
        <v>3080.4755687714</v>
      </c>
      <c r="B48" s="9">
        <v>42</v>
      </c>
      <c r="C48" s="9">
        <v>0.73773829633205001</v>
      </c>
      <c r="F48" s="9">
        <v>103.55067253113</v>
      </c>
      <c r="G48" s="9">
        <v>42</v>
      </c>
      <c r="H48" s="9">
        <v>0.84074874010079004</v>
      </c>
      <c r="K48">
        <v>339.27655220000003</v>
      </c>
      <c r="L48">
        <v>42</v>
      </c>
      <c r="M48">
        <v>0.85115565100000001</v>
      </c>
      <c r="O48">
        <v>12420.928716660001</v>
      </c>
      <c r="P48">
        <v>43</v>
      </c>
      <c r="Q48">
        <v>0.93145360593125004</v>
      </c>
      <c r="T48">
        <v>240.58818817138999</v>
      </c>
      <c r="U48">
        <v>43</v>
      </c>
      <c r="V48">
        <v>0.86992349432104998</v>
      </c>
      <c r="Y48" s="12">
        <v>0.2</v>
      </c>
      <c r="Z48">
        <v>0</v>
      </c>
      <c r="AA48">
        <f t="shared" si="0"/>
        <v>0</v>
      </c>
      <c r="AB48">
        <v>0</v>
      </c>
      <c r="AC48">
        <f t="shared" si="1"/>
        <v>0</v>
      </c>
      <c r="AE48" s="9">
        <v>104.66051101684999</v>
      </c>
      <c r="AF48" s="9">
        <v>43</v>
      </c>
      <c r="AG48" s="9">
        <v>0.69999930816434996</v>
      </c>
    </row>
    <row r="49" spans="1:33">
      <c r="A49" s="9">
        <v>2829.1056156158002</v>
      </c>
      <c r="B49" s="9">
        <v>43</v>
      </c>
      <c r="C49" s="9">
        <v>0.69836285303973</v>
      </c>
      <c r="F49" s="9">
        <v>101.74655914307</v>
      </c>
      <c r="G49" s="9">
        <v>43</v>
      </c>
      <c r="H49" s="9">
        <v>0.84086085966069002</v>
      </c>
      <c r="K49">
        <v>337.14079859999998</v>
      </c>
      <c r="L49">
        <v>43</v>
      </c>
      <c r="M49">
        <v>0.81256658900000001</v>
      </c>
      <c r="O49">
        <v>12010.93173027</v>
      </c>
      <c r="P49">
        <v>44</v>
      </c>
      <c r="Q49">
        <v>0.91785063621110996</v>
      </c>
      <c r="T49">
        <v>240.68713188171</v>
      </c>
      <c r="U49">
        <v>44</v>
      </c>
      <c r="V49">
        <v>0.92135362989744995</v>
      </c>
      <c r="Y49" s="12">
        <v>0.25</v>
      </c>
      <c r="Z49">
        <v>0</v>
      </c>
      <c r="AA49">
        <f t="shared" si="0"/>
        <v>0</v>
      </c>
      <c r="AB49">
        <v>0</v>
      </c>
      <c r="AC49">
        <f t="shared" si="1"/>
        <v>0</v>
      </c>
      <c r="AE49" s="9">
        <v>103.48963737488</v>
      </c>
      <c r="AF49" s="9">
        <v>44</v>
      </c>
      <c r="AG49" s="9">
        <v>0.86705713804146001</v>
      </c>
    </row>
    <row r="50" spans="1:33">
      <c r="A50" s="9">
        <v>2671.1637973785</v>
      </c>
      <c r="B50" s="9">
        <v>44</v>
      </c>
      <c r="C50" s="9">
        <v>0.82702507232401001</v>
      </c>
      <c r="F50" s="9">
        <v>103.68466377258</v>
      </c>
      <c r="G50" s="9">
        <v>44</v>
      </c>
      <c r="H50" s="9">
        <v>0.82888566409532005</v>
      </c>
      <c r="K50">
        <v>337.66174319999999</v>
      </c>
      <c r="L50">
        <v>44</v>
      </c>
      <c r="M50">
        <v>0.87638824100000001</v>
      </c>
      <c r="O50">
        <v>12089.904546738</v>
      </c>
      <c r="P50">
        <v>45</v>
      </c>
      <c r="Q50">
        <v>0.91961011835692996</v>
      </c>
      <c r="T50">
        <v>241.51611328125</v>
      </c>
      <c r="U50">
        <v>45</v>
      </c>
      <c r="V50">
        <v>0.92735212662802002</v>
      </c>
      <c r="Y50" s="12">
        <v>0.3</v>
      </c>
      <c r="Z50">
        <v>0</v>
      </c>
      <c r="AA50">
        <f t="shared" si="0"/>
        <v>0</v>
      </c>
      <c r="AB50">
        <v>0</v>
      </c>
      <c r="AC50">
        <f t="shared" si="1"/>
        <v>0</v>
      </c>
      <c r="AE50" s="9">
        <v>101.31072998047</v>
      </c>
      <c r="AF50" s="9">
        <v>45</v>
      </c>
      <c r="AG50" s="9">
        <v>0.84913307613852995</v>
      </c>
    </row>
    <row r="51" spans="1:33">
      <c r="A51" s="9">
        <v>2707.1595191955998</v>
      </c>
      <c r="B51" s="9">
        <v>45</v>
      </c>
      <c r="C51" s="9">
        <v>0.84025798998845003</v>
      </c>
      <c r="F51" s="9">
        <v>101.20797157288</v>
      </c>
      <c r="G51" s="9">
        <v>45</v>
      </c>
      <c r="H51" s="9">
        <v>0.83788564630999995</v>
      </c>
      <c r="K51">
        <v>337.49532699999997</v>
      </c>
      <c r="L51">
        <v>45</v>
      </c>
      <c r="M51">
        <v>0.86917800499999998</v>
      </c>
      <c r="O51">
        <v>12551.776409149001</v>
      </c>
      <c r="P51">
        <v>46</v>
      </c>
      <c r="Q51">
        <v>0.91615303177526997</v>
      </c>
      <c r="T51">
        <v>239.77780342102</v>
      </c>
      <c r="U51">
        <v>46</v>
      </c>
      <c r="V51">
        <v>0.92592415383585003</v>
      </c>
      <c r="Y51" s="12">
        <v>0.35</v>
      </c>
      <c r="Z51">
        <v>0</v>
      </c>
      <c r="AA51">
        <f t="shared" si="0"/>
        <v>0</v>
      </c>
      <c r="AB51">
        <v>0</v>
      </c>
      <c r="AC51">
        <f t="shared" si="1"/>
        <v>0</v>
      </c>
      <c r="AE51" s="9">
        <v>101.52077674866</v>
      </c>
      <c r="AF51" s="9">
        <v>46</v>
      </c>
      <c r="AG51" s="9">
        <v>0.86022470239674997</v>
      </c>
    </row>
    <row r="52" spans="1:33">
      <c r="A52" s="9">
        <v>2829.6802043915</v>
      </c>
      <c r="B52" s="9">
        <v>46</v>
      </c>
      <c r="C52" s="9">
        <v>0.86236503998559</v>
      </c>
      <c r="F52" s="9">
        <v>103.37471961975</v>
      </c>
      <c r="G52" s="9">
        <v>46</v>
      </c>
      <c r="H52" s="9">
        <v>0.85298677956877</v>
      </c>
      <c r="K52">
        <v>337.7728462</v>
      </c>
      <c r="L52">
        <v>46</v>
      </c>
      <c r="M52">
        <v>0.85774642599999995</v>
      </c>
      <c r="O52">
        <v>12257.608652114999</v>
      </c>
      <c r="P52">
        <v>47</v>
      </c>
      <c r="Q52">
        <v>0.86991582193685002</v>
      </c>
      <c r="T52">
        <v>239.30692672729</v>
      </c>
      <c r="U52">
        <v>47</v>
      </c>
      <c r="V52">
        <v>0.92405995219095005</v>
      </c>
      <c r="Y52" s="12">
        <v>0.4</v>
      </c>
      <c r="Z52">
        <v>0</v>
      </c>
      <c r="AA52">
        <f t="shared" si="0"/>
        <v>0</v>
      </c>
      <c r="AB52">
        <v>0</v>
      </c>
      <c r="AC52">
        <f t="shared" si="1"/>
        <v>0</v>
      </c>
      <c r="AE52" s="9">
        <v>102.4534702301</v>
      </c>
      <c r="AF52" s="9">
        <v>47</v>
      </c>
      <c r="AG52" s="9">
        <v>0.85703923676890004</v>
      </c>
    </row>
    <row r="53" spans="1:33">
      <c r="A53" s="9">
        <v>2682.4929714202999</v>
      </c>
      <c r="B53" s="9">
        <v>47</v>
      </c>
      <c r="C53" s="9">
        <v>0.83478902039481995</v>
      </c>
      <c r="F53" s="9">
        <v>101.398229599</v>
      </c>
      <c r="G53" s="9">
        <v>47</v>
      </c>
      <c r="H53" s="9">
        <v>0.81617716947058006</v>
      </c>
      <c r="K53">
        <v>337.2352123</v>
      </c>
      <c r="L53">
        <v>47</v>
      </c>
      <c r="M53">
        <v>0.87124826300000002</v>
      </c>
      <c r="O53">
        <v>12584.641695023</v>
      </c>
      <c r="P53">
        <v>48</v>
      </c>
      <c r="Q53">
        <v>0.92656843335173</v>
      </c>
      <c r="T53">
        <v>240.29612541199</v>
      </c>
      <c r="U53">
        <v>48</v>
      </c>
      <c r="V53">
        <v>0.88629348529134999</v>
      </c>
      <c r="Y53" s="12">
        <v>0.45</v>
      </c>
      <c r="Z53">
        <v>0</v>
      </c>
      <c r="AA53">
        <f t="shared" si="0"/>
        <v>0</v>
      </c>
      <c r="AB53">
        <v>0</v>
      </c>
      <c r="AC53">
        <f t="shared" si="1"/>
        <v>0</v>
      </c>
      <c r="AE53" s="9">
        <v>101.41086578369</v>
      </c>
      <c r="AF53" s="9">
        <v>48</v>
      </c>
      <c r="AG53" s="9">
        <v>0.84722511779177001</v>
      </c>
    </row>
    <row r="54" spans="1:33">
      <c r="A54" s="9">
        <v>2631.8764686584</v>
      </c>
      <c r="B54" s="9">
        <v>48</v>
      </c>
      <c r="C54" s="9">
        <v>0.81930815739914997</v>
      </c>
      <c r="F54" s="9">
        <v>103.68204116821001</v>
      </c>
      <c r="G54" s="9">
        <v>48</v>
      </c>
      <c r="H54" s="9">
        <v>0.85094252401253001</v>
      </c>
      <c r="K54">
        <v>340.2209282</v>
      </c>
      <c r="L54">
        <v>48</v>
      </c>
      <c r="M54">
        <v>0.86628424400000004</v>
      </c>
      <c r="O54">
        <v>13307.241201401001</v>
      </c>
      <c r="P54">
        <v>49</v>
      </c>
      <c r="Q54">
        <v>0.92516317467886999</v>
      </c>
      <c r="T54">
        <v>241.41383171082001</v>
      </c>
      <c r="U54">
        <v>49</v>
      </c>
      <c r="V54">
        <v>0.93198923629607999</v>
      </c>
      <c r="Y54" s="12">
        <v>0.5</v>
      </c>
      <c r="Z54">
        <v>0</v>
      </c>
      <c r="AA54">
        <f t="shared" si="0"/>
        <v>0</v>
      </c>
      <c r="AB54">
        <v>0</v>
      </c>
      <c r="AC54">
        <f t="shared" si="1"/>
        <v>0</v>
      </c>
      <c r="AE54" s="9">
        <v>101.82213783264</v>
      </c>
      <c r="AF54" s="9">
        <v>49</v>
      </c>
      <c r="AG54" s="9">
        <v>0.79352353652527996</v>
      </c>
    </row>
    <row r="55" spans="1:33">
      <c r="A55" s="9">
        <v>2996.9894886017</v>
      </c>
      <c r="B55" s="9">
        <v>49</v>
      </c>
      <c r="C55" s="9">
        <v>0.82831288368633005</v>
      </c>
      <c r="F55" s="9">
        <v>101.23753547667999</v>
      </c>
      <c r="G55" s="9">
        <v>49</v>
      </c>
      <c r="H55" s="9">
        <v>0.86230623713733001</v>
      </c>
      <c r="K55">
        <v>337.10360530000003</v>
      </c>
      <c r="L55">
        <v>49</v>
      </c>
      <c r="M55">
        <v>0.84034269800000005</v>
      </c>
      <c r="O55">
        <v>13663.199663162</v>
      </c>
      <c r="P55">
        <v>50</v>
      </c>
      <c r="Q55">
        <v>0.92405086301705996</v>
      </c>
      <c r="T55">
        <v>240.63372612000001</v>
      </c>
      <c r="U55">
        <v>50</v>
      </c>
      <c r="V55">
        <v>0.92017103342050999</v>
      </c>
      <c r="Y55" s="12">
        <v>0.55000000000000004</v>
      </c>
      <c r="Z55">
        <v>0</v>
      </c>
      <c r="AA55">
        <f t="shared" si="0"/>
        <v>0</v>
      </c>
      <c r="AB55">
        <v>0</v>
      </c>
      <c r="AC55">
        <f t="shared" si="1"/>
        <v>0</v>
      </c>
      <c r="AE55" s="9">
        <v>103.57403755188</v>
      </c>
      <c r="AF55" s="9">
        <v>50</v>
      </c>
      <c r="AG55" s="9">
        <v>0.84220630809080999</v>
      </c>
    </row>
    <row r="56" spans="1:33">
      <c r="A56" s="9">
        <v>3620.4750537872001</v>
      </c>
      <c r="B56" s="9">
        <v>50</v>
      </c>
      <c r="C56" s="9">
        <v>0.83565909752950995</v>
      </c>
      <c r="F56" s="9">
        <v>103.27196121215999</v>
      </c>
      <c r="G56" s="9">
        <v>50</v>
      </c>
      <c r="H56" s="9">
        <v>0.83562090370011</v>
      </c>
      <c r="K56">
        <v>338.97566799999998</v>
      </c>
      <c r="L56">
        <v>50</v>
      </c>
      <c r="M56">
        <v>0.84482382</v>
      </c>
      <c r="O56">
        <v>13071.441411972</v>
      </c>
      <c r="P56">
        <v>51</v>
      </c>
      <c r="Q56">
        <v>0.90247956280204</v>
      </c>
      <c r="T56">
        <v>239.05992507934999</v>
      </c>
      <c r="U56">
        <v>51</v>
      </c>
      <c r="V56">
        <v>0.90959947545374997</v>
      </c>
      <c r="Y56" s="12">
        <v>0.6</v>
      </c>
      <c r="Z56">
        <v>0</v>
      </c>
      <c r="AA56">
        <f t="shared" si="0"/>
        <v>0</v>
      </c>
      <c r="AB56">
        <v>0</v>
      </c>
      <c r="AC56">
        <f t="shared" si="1"/>
        <v>0</v>
      </c>
      <c r="AE56" s="9">
        <v>101.02701187133999</v>
      </c>
      <c r="AF56" s="9">
        <v>51</v>
      </c>
      <c r="AG56" s="9">
        <v>0.85478912040913002</v>
      </c>
    </row>
    <row r="57" spans="1:33">
      <c r="A57" s="9">
        <v>4173.3121871947997</v>
      </c>
      <c r="B57" s="9">
        <v>51</v>
      </c>
      <c r="C57" s="9">
        <v>0.82714252941369004</v>
      </c>
      <c r="F57" s="9">
        <v>101.33123397827001</v>
      </c>
      <c r="G57" s="9">
        <v>51</v>
      </c>
      <c r="H57" s="9">
        <v>0.81968642909629996</v>
      </c>
      <c r="K57">
        <v>337.35489849999999</v>
      </c>
      <c r="L57">
        <v>51</v>
      </c>
      <c r="M57">
        <v>0.84097776800000001</v>
      </c>
      <c r="O57">
        <v>15744.514942169</v>
      </c>
      <c r="P57">
        <v>52</v>
      </c>
      <c r="Q57">
        <v>0.92836605718062004</v>
      </c>
      <c r="T57">
        <v>241.84870719910001</v>
      </c>
      <c r="U57">
        <v>52</v>
      </c>
      <c r="V57">
        <v>0.90001012555690996</v>
      </c>
      <c r="Y57" s="12">
        <v>0.65</v>
      </c>
      <c r="Z57">
        <v>0</v>
      </c>
      <c r="AA57">
        <f t="shared" si="0"/>
        <v>0</v>
      </c>
      <c r="AB57">
        <v>0</v>
      </c>
      <c r="AC57">
        <f t="shared" si="1"/>
        <v>0</v>
      </c>
      <c r="AE57" s="9">
        <v>101.637840271</v>
      </c>
      <c r="AF57" s="9">
        <v>52</v>
      </c>
      <c r="AG57" s="9">
        <v>0.70945686081791004</v>
      </c>
    </row>
    <row r="58" spans="1:33">
      <c r="A58" s="9">
        <v>5991.2035465239996</v>
      </c>
      <c r="B58" s="9">
        <v>52</v>
      </c>
      <c r="C58" s="9">
        <v>0.84099916656174001</v>
      </c>
      <c r="F58" s="9">
        <v>103.47199440001999</v>
      </c>
      <c r="G58" s="9">
        <v>52</v>
      </c>
      <c r="H58" s="9">
        <v>0.82182539996362003</v>
      </c>
      <c r="K58">
        <v>338.1688595</v>
      </c>
      <c r="L58">
        <v>52</v>
      </c>
      <c r="M58">
        <v>0.76998694700000003</v>
      </c>
      <c r="O58">
        <v>13194.215774536</v>
      </c>
      <c r="P58">
        <v>53</v>
      </c>
      <c r="Q58">
        <v>0.93551544575389001</v>
      </c>
      <c r="T58">
        <v>239.02487754821999</v>
      </c>
      <c r="U58">
        <v>53</v>
      </c>
      <c r="V58">
        <v>0.93037776827141005</v>
      </c>
      <c r="Y58" s="12">
        <v>0.7</v>
      </c>
      <c r="Z58">
        <v>2</v>
      </c>
      <c r="AA58">
        <f t="shared" si="0"/>
        <v>1.3333333333333335E-3</v>
      </c>
      <c r="AB58">
        <v>0</v>
      </c>
      <c r="AC58">
        <f t="shared" si="1"/>
        <v>0</v>
      </c>
      <c r="AE58" s="9">
        <v>101.65047645569</v>
      </c>
      <c r="AF58" s="9">
        <v>53</v>
      </c>
      <c r="AG58" s="9">
        <v>0.83411882383685998</v>
      </c>
    </row>
    <row r="59" spans="1:33">
      <c r="A59" s="9">
        <v>3401.3302326202001</v>
      </c>
      <c r="B59" s="9">
        <v>53</v>
      </c>
      <c r="C59" s="9">
        <v>0.83907694713127001</v>
      </c>
      <c r="F59" s="9">
        <v>100.80456733704</v>
      </c>
      <c r="G59" s="9">
        <v>53</v>
      </c>
      <c r="H59" s="9">
        <v>0.70599886813808999</v>
      </c>
      <c r="K59">
        <v>338.43660349999999</v>
      </c>
      <c r="L59">
        <v>53</v>
      </c>
      <c r="M59">
        <v>0.87676586300000003</v>
      </c>
      <c r="O59">
        <v>12831.740140915001</v>
      </c>
      <c r="P59">
        <v>54</v>
      </c>
      <c r="Q59">
        <v>0.91483501729997996</v>
      </c>
      <c r="T59">
        <v>240.38195610046</v>
      </c>
      <c r="U59">
        <v>54</v>
      </c>
      <c r="V59">
        <v>0.90249035742996997</v>
      </c>
      <c r="Y59" s="12">
        <v>0.75</v>
      </c>
      <c r="Z59">
        <v>7</v>
      </c>
      <c r="AA59">
        <f t="shared" si="0"/>
        <v>4.6666666666666671E-3</v>
      </c>
      <c r="AB59">
        <v>0</v>
      </c>
      <c r="AC59">
        <f t="shared" si="1"/>
        <v>0</v>
      </c>
      <c r="AE59" s="9">
        <v>101.72796249389999</v>
      </c>
      <c r="AF59" s="9">
        <v>54</v>
      </c>
      <c r="AG59" s="9">
        <v>0.83832340396723004</v>
      </c>
    </row>
    <row r="60" spans="1:33">
      <c r="A60" s="9">
        <v>3303.1659126282002</v>
      </c>
      <c r="B60" s="9">
        <v>54</v>
      </c>
      <c r="C60" s="9">
        <v>0.85326167862566005</v>
      </c>
      <c r="F60" s="9">
        <v>103.46245765686</v>
      </c>
      <c r="G60" s="9">
        <v>54</v>
      </c>
      <c r="H60" s="9">
        <v>0.82696705788297997</v>
      </c>
      <c r="K60">
        <v>340.39378169999998</v>
      </c>
      <c r="L60">
        <v>54</v>
      </c>
      <c r="M60">
        <v>0.83718008799999999</v>
      </c>
      <c r="O60">
        <v>12764.136075974</v>
      </c>
      <c r="P60">
        <v>55</v>
      </c>
      <c r="Q60">
        <v>0.92155079558574005</v>
      </c>
      <c r="T60">
        <v>238.73090744019001</v>
      </c>
      <c r="U60">
        <v>55</v>
      </c>
      <c r="V60">
        <v>0.91551357294835001</v>
      </c>
      <c r="Y60" s="12">
        <v>0.8</v>
      </c>
      <c r="Z60">
        <v>8</v>
      </c>
      <c r="AA60">
        <f t="shared" si="0"/>
        <v>5.333333333333334E-3</v>
      </c>
      <c r="AB60">
        <v>0</v>
      </c>
      <c r="AC60">
        <f t="shared" si="1"/>
        <v>0</v>
      </c>
      <c r="AE60" s="9">
        <v>101.12023353577</v>
      </c>
      <c r="AF60" s="9">
        <v>55</v>
      </c>
      <c r="AG60" s="9">
        <v>0.78689007368505004</v>
      </c>
    </row>
    <row r="61" spans="1:33">
      <c r="A61" s="9">
        <v>3662.1420383453001</v>
      </c>
      <c r="B61" s="9">
        <v>55</v>
      </c>
      <c r="C61" s="9">
        <v>0.83511323073321997</v>
      </c>
      <c r="F61" s="9">
        <v>101.28617286682</v>
      </c>
      <c r="G61" s="9">
        <v>55</v>
      </c>
      <c r="H61" s="9">
        <v>0.84022358558374</v>
      </c>
      <c r="K61">
        <v>336.96866039999998</v>
      </c>
      <c r="L61">
        <v>55</v>
      </c>
      <c r="M61">
        <v>0.76150409799999996</v>
      </c>
      <c r="O61">
        <v>13037.597417831001</v>
      </c>
      <c r="P61">
        <v>56</v>
      </c>
      <c r="Q61">
        <v>0.83848085321488997</v>
      </c>
      <c r="T61">
        <v>240.56506156921</v>
      </c>
      <c r="U61">
        <v>56</v>
      </c>
      <c r="V61">
        <v>0.93911348860695998</v>
      </c>
      <c r="Y61" s="12">
        <v>0.85</v>
      </c>
      <c r="Z61">
        <v>52</v>
      </c>
      <c r="AA61">
        <f t="shared" si="0"/>
        <v>3.4666666666666672E-2</v>
      </c>
      <c r="AB61">
        <v>2</v>
      </c>
      <c r="AC61">
        <f t="shared" si="1"/>
        <v>1.3333333333333335E-3</v>
      </c>
      <c r="AE61" s="9">
        <v>101.81379318237001</v>
      </c>
      <c r="AF61" s="9">
        <v>56</v>
      </c>
      <c r="AG61" s="9">
        <v>0.84946093339549</v>
      </c>
    </row>
    <row r="62" spans="1:33">
      <c r="A62" s="9">
        <v>4017.8256034851001</v>
      </c>
      <c r="B62" s="9">
        <v>56</v>
      </c>
      <c r="C62" s="9">
        <v>0.83395282827600004</v>
      </c>
      <c r="F62" s="9">
        <v>103.22594642639</v>
      </c>
      <c r="G62" s="9">
        <v>56</v>
      </c>
      <c r="H62" s="9">
        <v>0.81146598098588996</v>
      </c>
      <c r="K62">
        <v>338.0794525</v>
      </c>
      <c r="L62">
        <v>56</v>
      </c>
      <c r="M62">
        <v>0.86514740499999998</v>
      </c>
      <c r="O62">
        <v>14149.664640427</v>
      </c>
      <c r="P62">
        <v>57</v>
      </c>
      <c r="Q62">
        <v>0.91553624344262996</v>
      </c>
      <c r="T62">
        <v>237.90788650512999</v>
      </c>
      <c r="U62">
        <v>57</v>
      </c>
      <c r="V62">
        <v>0.90336239622878001</v>
      </c>
      <c r="Y62" s="12">
        <v>0.9</v>
      </c>
      <c r="Z62">
        <v>6</v>
      </c>
      <c r="AA62">
        <f t="shared" si="0"/>
        <v>4.0000000000000001E-3</v>
      </c>
      <c r="AB62">
        <v>12</v>
      </c>
      <c r="AC62">
        <f t="shared" si="1"/>
        <v>8.0000000000000002E-3</v>
      </c>
      <c r="AE62" s="9">
        <v>102.10251808167</v>
      </c>
      <c r="AF62" s="9">
        <v>57</v>
      </c>
      <c r="AG62" s="9">
        <v>0.83245597580135</v>
      </c>
    </row>
    <row r="63" spans="1:33">
      <c r="A63" s="9">
        <v>3553.5860061645999</v>
      </c>
      <c r="B63" s="9">
        <v>57</v>
      </c>
      <c r="C63" s="9">
        <v>0.75460240470447004</v>
      </c>
      <c r="F63" s="9">
        <v>101.59707069397</v>
      </c>
      <c r="G63" s="9">
        <v>57</v>
      </c>
      <c r="H63" s="9">
        <v>0.83442749481827005</v>
      </c>
      <c r="K63">
        <v>338.19174770000001</v>
      </c>
      <c r="L63">
        <v>57</v>
      </c>
      <c r="M63">
        <v>0.84723051299999996</v>
      </c>
      <c r="O63">
        <v>14531.705617905</v>
      </c>
      <c r="P63">
        <v>58</v>
      </c>
      <c r="Q63">
        <v>0.90300635285879005</v>
      </c>
      <c r="T63">
        <v>239.23158645629999</v>
      </c>
      <c r="U63">
        <v>58</v>
      </c>
      <c r="V63">
        <v>0.92335763267352999</v>
      </c>
      <c r="Y63" s="12">
        <v>0.95</v>
      </c>
      <c r="Z63">
        <v>0</v>
      </c>
      <c r="AA63">
        <f t="shared" si="0"/>
        <v>0</v>
      </c>
      <c r="AB63">
        <v>61</v>
      </c>
      <c r="AC63">
        <f t="shared" si="1"/>
        <v>4.066666666666667E-2</v>
      </c>
      <c r="AE63" s="9">
        <v>103.6012172699</v>
      </c>
      <c r="AF63" s="9">
        <v>58</v>
      </c>
      <c r="AG63" s="9">
        <v>0.84730358805413997</v>
      </c>
    </row>
    <row r="64" spans="1:33">
      <c r="A64" s="9">
        <v>3238.067150116</v>
      </c>
      <c r="B64" s="9">
        <v>58</v>
      </c>
      <c r="C64" s="9">
        <v>0.81876721541026998</v>
      </c>
      <c r="F64" s="9">
        <v>103.5521030426</v>
      </c>
      <c r="G64" s="9">
        <v>58</v>
      </c>
      <c r="H64" s="9">
        <v>0.83720946894793002</v>
      </c>
      <c r="K64">
        <v>340.17968180000003</v>
      </c>
      <c r="L64">
        <v>58</v>
      </c>
      <c r="M64">
        <v>0.89514605599999997</v>
      </c>
      <c r="O64">
        <v>12813.697814941001</v>
      </c>
      <c r="P64">
        <v>59</v>
      </c>
      <c r="Q64">
        <v>0.89961944530822002</v>
      </c>
      <c r="T64">
        <v>237.99157142639001</v>
      </c>
      <c r="U64">
        <v>59</v>
      </c>
      <c r="V64">
        <v>0.90007053023372996</v>
      </c>
      <c r="Y64" s="12">
        <v>1</v>
      </c>
      <c r="Z64">
        <v>0</v>
      </c>
      <c r="AA64">
        <f t="shared" si="0"/>
        <v>0</v>
      </c>
      <c r="AB64">
        <v>0</v>
      </c>
      <c r="AC64">
        <f t="shared" si="1"/>
        <v>0</v>
      </c>
      <c r="AE64" s="9">
        <v>101.68671607971</v>
      </c>
      <c r="AF64" s="9">
        <v>59</v>
      </c>
      <c r="AG64" s="9">
        <v>0.85014250955856996</v>
      </c>
    </row>
    <row r="65" spans="1:33">
      <c r="A65" s="9">
        <v>2862.5309467316001</v>
      </c>
      <c r="B65" s="9">
        <v>59</v>
      </c>
      <c r="C65" s="9">
        <v>0.82434561233244996</v>
      </c>
      <c r="F65" s="9">
        <v>101.33171081543</v>
      </c>
      <c r="G65" s="9">
        <v>59</v>
      </c>
      <c r="H65" s="9">
        <v>0.83470922163093997</v>
      </c>
      <c r="K65">
        <v>337.56065369999999</v>
      </c>
      <c r="L65">
        <v>59</v>
      </c>
      <c r="M65">
        <v>0.88432335100000004</v>
      </c>
      <c r="O65">
        <v>12408.096790314001</v>
      </c>
      <c r="P65">
        <v>60</v>
      </c>
      <c r="Q65">
        <v>0.88635079704271003</v>
      </c>
      <c r="T65">
        <v>237.07294464111001</v>
      </c>
      <c r="U65">
        <v>60</v>
      </c>
      <c r="V65">
        <v>0.91170859045079999</v>
      </c>
      <c r="Y65" s="12"/>
      <c r="Z65">
        <v>0</v>
      </c>
      <c r="AB65">
        <v>0</v>
      </c>
      <c r="AC65">
        <f t="shared" si="1"/>
        <v>0</v>
      </c>
      <c r="AE65" s="9">
        <v>104.08639907836999</v>
      </c>
      <c r="AF65" s="9">
        <v>60</v>
      </c>
      <c r="AG65" s="9">
        <v>0.70596803528028995</v>
      </c>
    </row>
    <row r="66" spans="1:33">
      <c r="A66" s="9">
        <v>2927.4230003357002</v>
      </c>
      <c r="B66" s="9">
        <v>60</v>
      </c>
      <c r="C66" s="9">
        <v>0.83480180196479004</v>
      </c>
      <c r="F66" s="9">
        <v>103.16038131713999</v>
      </c>
      <c r="G66" s="9">
        <v>60</v>
      </c>
      <c r="H66" s="9">
        <v>0.75479910642847003</v>
      </c>
      <c r="K66">
        <v>339.640379</v>
      </c>
      <c r="L66">
        <v>60</v>
      </c>
      <c r="M66">
        <v>0.80240471599999996</v>
      </c>
      <c r="O66">
        <v>12755.726099014</v>
      </c>
      <c r="P66">
        <v>61</v>
      </c>
      <c r="Q66">
        <v>0.92870101596516996</v>
      </c>
      <c r="T66">
        <v>241.50419235229</v>
      </c>
      <c r="U66">
        <v>61</v>
      </c>
      <c r="V66">
        <v>0.91062429432985004</v>
      </c>
      <c r="Y66" s="12"/>
      <c r="AE66" s="9">
        <v>101.37581825255999</v>
      </c>
      <c r="AF66" s="9">
        <v>61</v>
      </c>
      <c r="AG66" s="9">
        <v>0.81679781509423999</v>
      </c>
    </row>
    <row r="67" spans="1:33">
      <c r="A67" s="9">
        <v>2793.2739257812</v>
      </c>
      <c r="B67" s="9">
        <v>61</v>
      </c>
      <c r="C67" s="9">
        <v>0.83885986423570003</v>
      </c>
      <c r="F67" s="9">
        <v>101.322889328</v>
      </c>
      <c r="G67" s="9">
        <v>61</v>
      </c>
      <c r="H67" s="9">
        <v>0.84963201899625995</v>
      </c>
      <c r="K67">
        <v>337.73207660000003</v>
      </c>
      <c r="L67">
        <v>61</v>
      </c>
      <c r="M67">
        <v>0.86032261399999999</v>
      </c>
      <c r="O67">
        <v>13305.496454239001</v>
      </c>
      <c r="P67">
        <v>62</v>
      </c>
      <c r="Q67">
        <v>0.90011871508380004</v>
      </c>
      <c r="T67">
        <v>243.28351020813</v>
      </c>
      <c r="U67">
        <v>62</v>
      </c>
      <c r="V67">
        <v>0.87914196415857004</v>
      </c>
      <c r="Y67" s="12"/>
      <c r="AE67" s="9">
        <v>101.99284553528</v>
      </c>
      <c r="AF67" s="9">
        <v>62</v>
      </c>
      <c r="AG67" s="9">
        <v>0.84169218989280004</v>
      </c>
    </row>
    <row r="68" spans="1:33">
      <c r="A68" s="9">
        <v>2847.7237224578998</v>
      </c>
      <c r="B68" s="9">
        <v>62</v>
      </c>
      <c r="C68" s="9">
        <v>0.83724312860049999</v>
      </c>
      <c r="F68" s="9">
        <v>103.04260253906</v>
      </c>
      <c r="G68" s="9">
        <v>62</v>
      </c>
      <c r="H68" s="9">
        <v>0.71896682099789</v>
      </c>
      <c r="K68">
        <v>339.38169479999999</v>
      </c>
      <c r="L68">
        <v>62</v>
      </c>
      <c r="M68">
        <v>0.85354167999999997</v>
      </c>
      <c r="O68">
        <v>12749.435901642</v>
      </c>
      <c r="P68">
        <v>63</v>
      </c>
      <c r="Q68">
        <v>0.85387826116051002</v>
      </c>
      <c r="T68">
        <v>239.76135253906</v>
      </c>
      <c r="U68">
        <v>63</v>
      </c>
      <c r="V68">
        <v>0.92995273208546003</v>
      </c>
      <c r="AE68" s="9">
        <v>101.73463821411001</v>
      </c>
      <c r="AF68" s="9">
        <v>63</v>
      </c>
      <c r="AG68" s="9">
        <v>0.82693441139602997</v>
      </c>
    </row>
    <row r="69" spans="1:33">
      <c r="A69" s="9">
        <v>2867.7041530608999</v>
      </c>
      <c r="B69" s="9">
        <v>63</v>
      </c>
      <c r="C69" s="9">
        <v>0.83619916700411001</v>
      </c>
      <c r="F69" s="9">
        <v>101.02128982543999</v>
      </c>
      <c r="G69" s="9">
        <v>63</v>
      </c>
      <c r="H69" s="9">
        <v>0.84014281932404999</v>
      </c>
      <c r="K69">
        <v>337.17250819999998</v>
      </c>
      <c r="L69">
        <v>63</v>
      </c>
      <c r="M69">
        <v>0.72578322500000003</v>
      </c>
      <c r="O69">
        <v>13556.483745575</v>
      </c>
      <c r="P69">
        <v>64</v>
      </c>
      <c r="Q69">
        <v>0.8487003138468</v>
      </c>
      <c r="T69">
        <v>246.21176719665999</v>
      </c>
      <c r="U69">
        <v>64</v>
      </c>
      <c r="V69">
        <v>0.91618264482585998</v>
      </c>
      <c r="AE69" s="9">
        <v>101.47285461426</v>
      </c>
      <c r="AF69" s="9">
        <v>64</v>
      </c>
      <c r="AG69" s="9">
        <v>0.83817892784598003</v>
      </c>
    </row>
    <row r="70" spans="1:33">
      <c r="A70" s="9">
        <v>2832.3373794556001</v>
      </c>
      <c r="B70" s="9">
        <v>64</v>
      </c>
      <c r="C70" s="9">
        <v>0.80824883786228996</v>
      </c>
      <c r="F70" s="9">
        <v>103.46341133118</v>
      </c>
      <c r="G70" s="9">
        <v>64</v>
      </c>
      <c r="H70" s="9">
        <v>0.83289395744238004</v>
      </c>
      <c r="K70">
        <v>337.3813629</v>
      </c>
      <c r="L70">
        <v>64</v>
      </c>
      <c r="M70">
        <v>0.80769023600000001</v>
      </c>
      <c r="O70">
        <v>13870.06354332</v>
      </c>
      <c r="P70">
        <v>65</v>
      </c>
      <c r="Q70">
        <v>0.92988519655740998</v>
      </c>
      <c r="T70">
        <v>239.52937126160001</v>
      </c>
      <c r="U70">
        <v>65</v>
      </c>
      <c r="V70">
        <v>0.91536785994533998</v>
      </c>
      <c r="AE70" s="9">
        <v>101.84454917908</v>
      </c>
      <c r="AF70" s="9">
        <v>65</v>
      </c>
      <c r="AG70" s="9">
        <v>0.75067790724308003</v>
      </c>
    </row>
    <row r="71" spans="1:33">
      <c r="A71" s="9">
        <v>2856.5959930419999</v>
      </c>
      <c r="B71" s="9">
        <v>65</v>
      </c>
      <c r="C71" s="9">
        <v>0.84013032853652003</v>
      </c>
      <c r="F71" s="9">
        <v>101.38320922852</v>
      </c>
      <c r="G71" s="9">
        <v>65</v>
      </c>
      <c r="H71" s="9">
        <v>0.80823635853118003</v>
      </c>
      <c r="K71">
        <v>339.19763569999998</v>
      </c>
      <c r="L71">
        <v>65</v>
      </c>
      <c r="M71">
        <v>0.83100396099999996</v>
      </c>
      <c r="O71">
        <v>14218.314170837</v>
      </c>
      <c r="P71">
        <v>66</v>
      </c>
      <c r="Q71">
        <v>0.90895495332184995</v>
      </c>
      <c r="T71">
        <v>242.03181266785001</v>
      </c>
      <c r="U71">
        <v>66</v>
      </c>
      <c r="V71">
        <v>0.92537977320585996</v>
      </c>
      <c r="AE71" s="9">
        <v>102.9634475708</v>
      </c>
      <c r="AF71" s="9">
        <v>66</v>
      </c>
      <c r="AG71" s="9">
        <v>0.86007280866661995</v>
      </c>
    </row>
    <row r="72" spans="1:33">
      <c r="A72" s="9">
        <v>2957.8514099120998</v>
      </c>
      <c r="B72" s="9">
        <v>66</v>
      </c>
      <c r="C72" s="9">
        <v>0.78345511600080997</v>
      </c>
      <c r="F72" s="9">
        <v>103.72829437256</v>
      </c>
      <c r="G72" s="9">
        <v>66</v>
      </c>
      <c r="H72" s="9">
        <v>0.82463195522318</v>
      </c>
      <c r="K72">
        <v>337.94569969999998</v>
      </c>
      <c r="L72">
        <v>66</v>
      </c>
      <c r="M72">
        <v>0.88843008400000001</v>
      </c>
      <c r="O72">
        <v>12413.632869720001</v>
      </c>
      <c r="P72">
        <v>67</v>
      </c>
      <c r="Q72">
        <v>0.88452367820383004</v>
      </c>
      <c r="T72">
        <v>238.38019371032999</v>
      </c>
      <c r="U72">
        <v>67</v>
      </c>
      <c r="V72">
        <v>0.89761131157443996</v>
      </c>
      <c r="AE72" s="9">
        <v>101.95827484131</v>
      </c>
      <c r="AF72" s="9">
        <v>67</v>
      </c>
      <c r="AG72" s="9">
        <v>0.84532118850714</v>
      </c>
    </row>
    <row r="73" spans="1:33">
      <c r="A73" s="9">
        <v>3104.2642593383998</v>
      </c>
      <c r="B73" s="9">
        <v>67</v>
      </c>
      <c r="C73" s="9">
        <v>0.84226174345950999</v>
      </c>
      <c r="F73" s="9">
        <v>101.28831863403001</v>
      </c>
      <c r="G73" s="9">
        <v>67</v>
      </c>
      <c r="H73" s="9">
        <v>0.84466895046382995</v>
      </c>
      <c r="K73">
        <v>337.44168280000002</v>
      </c>
      <c r="L73">
        <v>67</v>
      </c>
      <c r="M73">
        <v>0.85678312099999998</v>
      </c>
      <c r="O73">
        <v>14240.314722061001</v>
      </c>
      <c r="P73">
        <v>68</v>
      </c>
      <c r="Q73">
        <v>0.91325311134920995</v>
      </c>
      <c r="T73">
        <v>243.30353736877001</v>
      </c>
      <c r="U73">
        <v>68</v>
      </c>
      <c r="V73">
        <v>0.93327641477519996</v>
      </c>
      <c r="AE73" s="9">
        <v>101.35149955750001</v>
      </c>
      <c r="AF73" s="9">
        <v>68</v>
      </c>
      <c r="AG73" s="9">
        <v>0.81390014527105004</v>
      </c>
    </row>
    <row r="74" spans="1:33">
      <c r="A74" s="9">
        <v>3015.0809288024998</v>
      </c>
      <c r="B74" s="9">
        <v>68</v>
      </c>
      <c r="C74" s="9">
        <v>0.80540705243622002</v>
      </c>
      <c r="F74" s="9">
        <v>102.86784172058</v>
      </c>
      <c r="G74" s="9">
        <v>68</v>
      </c>
      <c r="H74" s="9">
        <v>0.83505101854221997</v>
      </c>
      <c r="K74">
        <v>337.68367769999998</v>
      </c>
      <c r="L74">
        <v>68</v>
      </c>
      <c r="M74">
        <v>0.743788008</v>
      </c>
      <c r="O74">
        <v>12314.117670059</v>
      </c>
      <c r="P74">
        <v>69</v>
      </c>
      <c r="Q74">
        <v>0.93328446928814002</v>
      </c>
      <c r="T74">
        <v>243.51263046265001</v>
      </c>
      <c r="U74">
        <v>69</v>
      </c>
      <c r="V74">
        <v>0.84873148280237998</v>
      </c>
      <c r="AE74" s="9">
        <v>101.42493247986</v>
      </c>
      <c r="AF74" s="9">
        <v>69</v>
      </c>
      <c r="AG74" s="9">
        <v>0.86024106822429003</v>
      </c>
    </row>
    <row r="75" spans="1:33">
      <c r="A75" s="9">
        <v>2946.5353488922001</v>
      </c>
      <c r="B75" s="9">
        <v>69</v>
      </c>
      <c r="C75" s="9">
        <v>0.78589747649052</v>
      </c>
      <c r="F75" s="9">
        <v>101.52530670166</v>
      </c>
      <c r="G75" s="9">
        <v>69</v>
      </c>
      <c r="H75" s="9">
        <v>0.82699702269741004</v>
      </c>
      <c r="K75">
        <v>337.74566650000003</v>
      </c>
      <c r="L75">
        <v>69</v>
      </c>
      <c r="M75">
        <v>0.82679497400000002</v>
      </c>
      <c r="O75">
        <v>12043.229341507</v>
      </c>
      <c r="P75">
        <v>70</v>
      </c>
      <c r="Q75">
        <v>0.9233489852215</v>
      </c>
      <c r="T75">
        <v>245.06068229675</v>
      </c>
      <c r="U75">
        <v>70</v>
      </c>
      <c r="V75">
        <v>0.93636480834240998</v>
      </c>
      <c r="AE75" s="9">
        <v>103.75714302063</v>
      </c>
      <c r="AF75" s="9">
        <v>70</v>
      </c>
      <c r="AG75" s="9">
        <v>0.85067355927563004</v>
      </c>
    </row>
    <row r="76" spans="1:33">
      <c r="A76" s="9">
        <v>2988.8606071472</v>
      </c>
      <c r="B76" s="9">
        <v>70</v>
      </c>
      <c r="C76" s="9">
        <v>0.76976342967882005</v>
      </c>
      <c r="F76" s="9">
        <v>103.0375957489</v>
      </c>
      <c r="G76" s="9">
        <v>70</v>
      </c>
      <c r="H76" s="9">
        <v>0.83490788852149</v>
      </c>
      <c r="K76">
        <v>338.037014</v>
      </c>
      <c r="L76">
        <v>70</v>
      </c>
      <c r="M76">
        <v>0.88150194599999998</v>
      </c>
      <c r="O76">
        <v>14345.021486281999</v>
      </c>
      <c r="P76">
        <v>71</v>
      </c>
      <c r="Q76">
        <v>0.92313370191333999</v>
      </c>
      <c r="T76">
        <v>239.37249183655001</v>
      </c>
      <c r="U76">
        <v>71</v>
      </c>
      <c r="V76">
        <v>0.91260542720938997</v>
      </c>
      <c r="AE76" s="9">
        <v>101.47500038147</v>
      </c>
      <c r="AF76" s="9">
        <v>71</v>
      </c>
      <c r="AG76" s="9">
        <v>0.72695182455276997</v>
      </c>
    </row>
    <row r="77" spans="1:33">
      <c r="A77" s="9">
        <v>3009.0124607086</v>
      </c>
      <c r="B77" s="9">
        <v>71</v>
      </c>
      <c r="C77" s="9">
        <v>0.83498814530854004</v>
      </c>
      <c r="F77" s="9">
        <v>101.39179229736</v>
      </c>
      <c r="G77" s="9">
        <v>71</v>
      </c>
      <c r="H77" s="9">
        <v>0.81874792733704005</v>
      </c>
      <c r="K77">
        <v>338.82999419999999</v>
      </c>
      <c r="L77">
        <v>71</v>
      </c>
      <c r="M77">
        <v>0.85425579100000004</v>
      </c>
      <c r="O77">
        <v>14194.014787673999</v>
      </c>
      <c r="P77">
        <v>72</v>
      </c>
      <c r="Q77">
        <v>0.89663704506311004</v>
      </c>
      <c r="T77">
        <v>244.8627948761</v>
      </c>
      <c r="U77">
        <v>72</v>
      </c>
      <c r="V77">
        <v>0.92486829181176999</v>
      </c>
      <c r="AE77" s="9">
        <v>103.35016250610001</v>
      </c>
      <c r="AF77" s="9">
        <v>72</v>
      </c>
      <c r="AG77" s="9">
        <v>0.81076152484927999</v>
      </c>
    </row>
    <row r="78" spans="1:33">
      <c r="A78" s="9">
        <v>3086.5390300751001</v>
      </c>
      <c r="B78" s="9">
        <v>72</v>
      </c>
      <c r="C78" s="9">
        <v>0.82757691685974</v>
      </c>
      <c r="F78" s="9">
        <v>103.08313369750999</v>
      </c>
      <c r="G78" s="9">
        <v>72</v>
      </c>
      <c r="H78" s="9">
        <v>0.83616775126537002</v>
      </c>
      <c r="K78">
        <v>338.26494220000001</v>
      </c>
      <c r="L78">
        <v>72</v>
      </c>
      <c r="M78">
        <v>0.83439438399999999</v>
      </c>
      <c r="O78">
        <v>14435.228347778</v>
      </c>
      <c r="P78">
        <v>73</v>
      </c>
      <c r="Q78">
        <v>0.89942824057321002</v>
      </c>
      <c r="T78">
        <v>239.16268348694001</v>
      </c>
      <c r="U78">
        <v>73</v>
      </c>
      <c r="V78">
        <v>0.92864822006907</v>
      </c>
      <c r="AE78" s="9">
        <v>101.68695449829001</v>
      </c>
      <c r="AF78" s="9">
        <v>73</v>
      </c>
      <c r="AG78" s="9">
        <v>0.82164096752064997</v>
      </c>
    </row>
    <row r="79" spans="1:33">
      <c r="A79" s="9">
        <v>3037.5897884369001</v>
      </c>
      <c r="B79" s="9">
        <v>73</v>
      </c>
      <c r="C79" s="9">
        <v>0.85860322504562003</v>
      </c>
      <c r="F79" s="9">
        <v>101.0730266571</v>
      </c>
      <c r="G79" s="9">
        <v>73</v>
      </c>
      <c r="H79" s="9">
        <v>0.82422102990710999</v>
      </c>
      <c r="K79">
        <v>337.30959890000003</v>
      </c>
      <c r="L79">
        <v>73</v>
      </c>
      <c r="M79">
        <v>0.88105385800000002</v>
      </c>
      <c r="O79">
        <v>13229.008197784</v>
      </c>
      <c r="P79">
        <v>74</v>
      </c>
      <c r="Q79">
        <v>0.9139514893299</v>
      </c>
      <c r="T79">
        <v>241.36376380920001</v>
      </c>
      <c r="U79">
        <v>74</v>
      </c>
      <c r="V79">
        <v>0.93419152336754996</v>
      </c>
      <c r="AE79" s="9">
        <v>101.44352912903</v>
      </c>
      <c r="AF79" s="9">
        <v>74</v>
      </c>
      <c r="AG79" s="9">
        <v>0.78984896784585001</v>
      </c>
    </row>
    <row r="80" spans="1:33">
      <c r="A80" s="9">
        <v>2989.9842739105002</v>
      </c>
      <c r="B80" s="9">
        <v>74</v>
      </c>
      <c r="C80" s="9">
        <v>0.79477492073690004</v>
      </c>
      <c r="F80" s="9">
        <v>103.89375686646</v>
      </c>
      <c r="G80" s="9">
        <v>74</v>
      </c>
      <c r="H80" s="9">
        <v>0.76924984500930005</v>
      </c>
      <c r="K80">
        <v>338.56701850000002</v>
      </c>
      <c r="L80">
        <v>74</v>
      </c>
      <c r="M80">
        <v>0.80657765699999995</v>
      </c>
      <c r="O80" t="s">
        <v>11</v>
      </c>
      <c r="P80" t="s">
        <v>12</v>
      </c>
      <c r="Q80" t="s">
        <v>13</v>
      </c>
      <c r="T80" t="s">
        <v>11</v>
      </c>
      <c r="U80" t="s">
        <v>12</v>
      </c>
      <c r="V80" t="s">
        <v>13</v>
      </c>
      <c r="AE80">
        <f>AVERAGE(Tabella7[time])</f>
        <v>107.80237515767413</v>
      </c>
      <c r="AG80">
        <f>SUBTOTAL(101,Tabella7[iou])</f>
        <v>0.82374378007855076</v>
      </c>
    </row>
    <row r="81" spans="1:22">
      <c r="A81" s="10">
        <f>SUBTOTAL(101,Tabella9[time])</f>
        <v>3225.1937770843483</v>
      </c>
      <c r="B81" s="10"/>
      <c r="C81" s="10">
        <f>SUBTOTAL(101,Tabella9[iou])</f>
        <v>0.81465866005420962</v>
      </c>
      <c r="F81" s="10">
        <f>SUBTOTAL(101,Tabella8[time])</f>
        <v>108.33916982014973</v>
      </c>
      <c r="G81" s="10"/>
      <c r="H81" s="10">
        <f>SUBTOTAL(101,Tabella8[iou])</f>
        <v>0.81460906991260795</v>
      </c>
      <c r="K81">
        <f>SUBTOTAL(101,Tabella6[time])</f>
        <v>344.39911524799999</v>
      </c>
      <c r="M81">
        <f>SUBTOTAL(101,Tabella6[iou])</f>
        <v>0.84396483640000008</v>
      </c>
      <c r="O81">
        <f>AVERAGE(O5:O79)</f>
        <v>14712.294597625711</v>
      </c>
      <c r="Q81">
        <f>AVERAGE(Q5:Q79)</f>
        <v>0.91146478888225169</v>
      </c>
      <c r="T81" s="8">
        <f>AVERAGE(T5:T80)</f>
        <v>247.55487124125176</v>
      </c>
      <c r="V81" s="8">
        <f>AVERAGE(V5:V80)</f>
        <v>0.91146189884682749</v>
      </c>
    </row>
    <row r="89" spans="1:22">
      <c r="J89">
        <f>TTEST(Tabella8[iou],Q5:Q79,2,1)</f>
        <v>1.2749219041819033E-28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2025-05-15T12:47:50Z</dcterms:created>
  <dcterms:modified xsi:type="dcterms:W3CDTF">2025-06-16T16:59:30Z</dcterms:modified>
</cp:coreProperties>
</file>