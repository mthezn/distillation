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13_ncr:1_{17CC0B14-D854-415C-B85C-0D9D9091B525}" xr6:coauthVersionLast="47" xr6:coauthVersionMax="47" xr10:uidLastSave="{00000000-0000-0000-0000-000000000000}"/>
  <bookViews>
    <workbookView minimized="1" xWindow="9480" yWindow="-14490" windowWidth="17280" windowHeight="8880" activeTab="1" xr2:uid="{00000000-000D-0000-FFFF-FFFF00000000}"/>
  </bookViews>
  <sheets>
    <sheet name="TimeDfBBoxAutoSam" sheetId="2" r:id="rId1"/>
    <sheet name="Worksheet" sheetId="1" r:id="rId2"/>
  </sheets>
  <definedNames>
    <definedName name="DatiEsterni_1" localSheetId="0" hidden="1">TimeDfBBoxAutoSam!$A$1:$F$77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1" l="1"/>
  <c r="F86" i="1"/>
  <c r="E86" i="1"/>
  <c r="G84" i="1"/>
  <c r="F84" i="1"/>
  <c r="E84" i="1"/>
  <c r="M86" i="1" l="1"/>
  <c r="L86" i="1"/>
  <c r="K86" i="1"/>
  <c r="J86" i="1"/>
  <c r="H86" i="1"/>
  <c r="M84" i="1"/>
  <c r="L84" i="1"/>
  <c r="K84" i="1"/>
  <c r="J84" i="1"/>
  <c r="H84" i="1"/>
  <c r="D86" i="1"/>
  <c r="B86" i="1"/>
  <c r="W84" i="1"/>
  <c r="U84" i="1"/>
  <c r="D84" i="1" l="1"/>
  <c r="B8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CB491-F96A-460E-9F34-ECC3126D812E}" keepAlive="1" name="Query - TimeDfBBoxAutoSam" description="Connessione alla query 'TimeDfBBoxAutoSam' nella cartella di lavoro." type="5" refreshedVersion="8" background="1" saveData="1">
    <dbPr connection="Provider=Microsoft.Mashup.OleDb.1;Data Source=$Workbook$;Location=TimeDfBBoxAutoSam;Extended Properties=&quot;&quot;" command="SELECT * FROM [TimeDfBBoxAutoSam]"/>
  </connection>
</connections>
</file>

<file path=xl/sharedStrings.xml><?xml version="1.0" encoding="utf-8"?>
<sst xmlns="http://schemas.openxmlformats.org/spreadsheetml/2006/main" count="489" uniqueCount="470">
  <si>
    <t>time</t>
  </si>
  <si>
    <t>index</t>
  </si>
  <si>
    <t>iou</t>
  </si>
  <si>
    <t>MASCHERE CON REFINING</t>
  </si>
  <si>
    <t>MODELLO CMT AUTOSAM</t>
  </si>
  <si>
    <t xml:space="preserve">CPU </t>
  </si>
  <si>
    <t>GPU</t>
  </si>
  <si>
    <t>MEDIA</t>
  </si>
  <si>
    <t>IOU</t>
  </si>
  <si>
    <t>SAM VITH</t>
  </si>
  <si>
    <t>sam_vit_h_4b8939.pth</t>
  </si>
  <si>
    <t>dice</t>
  </si>
  <si>
    <t>sensitivity</t>
  </si>
  <si>
    <t>specificity</t>
  </si>
  <si>
    <t>Column1</t>
  </si>
  <si>
    <t>Column2</t>
  </si>
  <si>
    <t>Column3</t>
  </si>
  <si>
    <t>Column4</t>
  </si>
  <si>
    <t>Column5</t>
  </si>
  <si>
    <t>Column6</t>
  </si>
  <si>
    <t>6605.830192565918</t>
  </si>
  <si>
    <t>0.0</t>
  </si>
  <si>
    <t>0.8645846526860513</t>
  </si>
  <si>
    <t>0.9273750606501698</t>
  </si>
  <si>
    <t>0.9764053591984361</t>
  </si>
  <si>
    <t>0.9789434696256112</t>
  </si>
  <si>
    <t>16915.863752365112</t>
  </si>
  <si>
    <t>1.0</t>
  </si>
  <si>
    <t>0.8849296413980935</t>
  </si>
  <si>
    <t>0.9389524382901866</t>
  </si>
  <si>
    <t>0.974169795930365</t>
  </si>
  <si>
    <t>0.9849610134850054</t>
  </si>
  <si>
    <t>7960.096120834351</t>
  </si>
  <si>
    <t>2.0</t>
  </si>
  <si>
    <t>0.8566982301585209</t>
  </si>
  <si>
    <t>0.9228190303013084</t>
  </si>
  <si>
    <t>0.9564005418032626</t>
  </si>
  <si>
    <t>0.9874753616268827</t>
  </si>
  <si>
    <t>5721.8921184539795</t>
  </si>
  <si>
    <t>3.0</t>
  </si>
  <si>
    <t>0.8817578431498656</t>
  </si>
  <si>
    <t>0.9371639888306725</t>
  </si>
  <si>
    <t>0.9752733377437276</t>
  </si>
  <si>
    <t>0.9835803783924872</t>
  </si>
  <si>
    <t>4568.132638931274</t>
  </si>
  <si>
    <t>4.0</t>
  </si>
  <si>
    <t>0.8670756070795465</t>
  </si>
  <si>
    <t>0.9288061006118696</t>
  </si>
  <si>
    <t>0.9761235398930905</t>
  </si>
  <si>
    <t>0.982781109420894</t>
  </si>
  <si>
    <t>4652.850151062012</t>
  </si>
  <si>
    <t>5.0</t>
  </si>
  <si>
    <t>0.853782669564612</t>
  </si>
  <si>
    <t>0.921124880043393</t>
  </si>
  <si>
    <t>0.9586934053622144</t>
  </si>
  <si>
    <t>0.9848431120686238</t>
  </si>
  <si>
    <t>4022.651195526123</t>
  </si>
  <si>
    <t>6.0</t>
  </si>
  <si>
    <t>0.851680141001571</t>
  </si>
  <si>
    <t>0.919899848945724</t>
  </si>
  <si>
    <t>0.9652764508676545</t>
  </si>
  <si>
    <t>0.9835479164122309</t>
  </si>
  <si>
    <t>4220.805406570435</t>
  </si>
  <si>
    <t>7.0</t>
  </si>
  <si>
    <t>0.8244086169126907</t>
  </si>
  <si>
    <t>0.9037543555431955</t>
  </si>
  <si>
    <t>0.9770027941852651</t>
  </si>
  <si>
    <t>0.9711577571259608</t>
  </si>
  <si>
    <t>6772.8376388549805</t>
  </si>
  <si>
    <t>8.0</t>
  </si>
  <si>
    <t>0.8593238152958595</t>
  </si>
  <si>
    <t>0.9243401372333008</t>
  </si>
  <si>
    <t>0.9679905976701579</t>
  </si>
  <si>
    <t>0.9843138305855113</t>
  </si>
  <si>
    <t>4559.003829956055</t>
  </si>
  <si>
    <t>9.0</t>
  </si>
  <si>
    <t>0.8739842804516378</t>
  </si>
  <si>
    <t>0.9327551885771465</t>
  </si>
  <si>
    <t>0.964023764119114</t>
  </si>
  <si>
    <t>0.9846026686076849</t>
  </si>
  <si>
    <t>4157.922744750977</t>
  </si>
  <si>
    <t>10.0</t>
  </si>
  <si>
    <t>0.8745569443855387</t>
  </si>
  <si>
    <t>0.9330812243446782</t>
  </si>
  <si>
    <t>0.9787160467040046</t>
  </si>
  <si>
    <t>0.980507028123592</t>
  </si>
  <si>
    <t>4373.910665512085</t>
  </si>
  <si>
    <t>11.0</t>
  </si>
  <si>
    <t>0.8769929544723007</t>
  </si>
  <si>
    <t>0.9344658991742025</t>
  </si>
  <si>
    <t>0.9789687165647307</t>
  </si>
  <si>
    <t>0.9842278092217984</t>
  </si>
  <si>
    <t>4004.08935546875</t>
  </si>
  <si>
    <t>12.0</t>
  </si>
  <si>
    <t>0.8570966075957173</t>
  </si>
  <si>
    <t>0.9230501031449883</t>
  </si>
  <si>
    <t>0.9682593589174221</t>
  </si>
  <si>
    <t>0.9840490758124059</t>
  </si>
  <si>
    <t>3936.695098876953</t>
  </si>
  <si>
    <t>13.0</t>
  </si>
  <si>
    <t>0.8478103681348046</t>
  </si>
  <si>
    <t>0.9176378515405685</t>
  </si>
  <si>
    <t>0.9698015840907661</t>
  </si>
  <si>
    <t>0.9829251769625912</t>
  </si>
  <si>
    <t>3715.6543731689453</t>
  </si>
  <si>
    <t>14.0</t>
  </si>
  <si>
    <t>0.8565068470892558</t>
  </si>
  <si>
    <t>0.9227079861645965</t>
  </si>
  <si>
    <t>0.9843808357111912</t>
  </si>
  <si>
    <t>0.9781491677070784</t>
  </si>
  <si>
    <t>3712.954044342041</t>
  </si>
  <si>
    <t>15.0</t>
  </si>
  <si>
    <t>0.879515580773158</t>
  </si>
  <si>
    <t>0.9358960253060101</t>
  </si>
  <si>
    <t>0.9781230685199293</t>
  </si>
  <si>
    <t>0.9828464737408102</t>
  </si>
  <si>
    <t>3587.4760150909424</t>
  </si>
  <si>
    <t>16.0</t>
  </si>
  <si>
    <t>0.8707045805932185</t>
  </si>
  <si>
    <t>0.9308841060485453</t>
  </si>
  <si>
    <t>0.9673553391910077</t>
  </si>
  <si>
    <t>0.9847947293889049</t>
  </si>
  <si>
    <t>4296.20099067688</t>
  </si>
  <si>
    <t>17.0</t>
  </si>
  <si>
    <t>0.8122374852991767</t>
  </si>
  <si>
    <t>0.8963918822869806</t>
  </si>
  <si>
    <t>0.959974280662273</t>
  </si>
  <si>
    <t>0.9795973564385104</t>
  </si>
  <si>
    <t>3858.914375305176</t>
  </si>
  <si>
    <t>18.0</t>
  </si>
  <si>
    <t>0.857977673762381</t>
  </si>
  <si>
    <t>0.923560800410467</t>
  </si>
  <si>
    <t>0.9531580953994747</t>
  </si>
  <si>
    <t>0.9890216653111873</t>
  </si>
  <si>
    <t>4059.0109825134277</t>
  </si>
  <si>
    <t>19.0</t>
  </si>
  <si>
    <t>0.8539745161806259</t>
  </si>
  <si>
    <t>0.921236520488857</t>
  </si>
  <si>
    <t>0.9684767411102294</t>
  </si>
  <si>
    <t>0.980637613081862</t>
  </si>
  <si>
    <t>5082.68666267395</t>
  </si>
  <si>
    <t>20.0</t>
  </si>
  <si>
    <t>0.8872862982050826</t>
  </si>
  <si>
    <t>0.9402773697334026</t>
  </si>
  <si>
    <t>0.9694905512361454</t>
  </si>
  <si>
    <t>0.9870323723213771</t>
  </si>
  <si>
    <t>4161.038637161255</t>
  </si>
  <si>
    <t>21.0</t>
  </si>
  <si>
    <t>0.8783448275862069</t>
  </si>
  <si>
    <t>0.9352327801439272</t>
  </si>
  <si>
    <t>0.9699103063124048</t>
  </si>
  <si>
    <t>0.986758326562023</t>
  </si>
  <si>
    <t>4639.994144439697</t>
  </si>
  <si>
    <t>22.0</t>
  </si>
  <si>
    <t>0.8594308806196329</t>
  </si>
  <si>
    <t>0.9244020733195933</t>
  </si>
  <si>
    <t>0.9676426204396721</t>
  </si>
  <si>
    <t>0.9818873028946062</t>
  </si>
  <si>
    <t>4745.987892150879</t>
  </si>
  <si>
    <t>23.0</t>
  </si>
  <si>
    <t>0.8667123011171665</t>
  </si>
  <si>
    <t>0.9285976211743688</t>
  </si>
  <si>
    <t>0.9498716012811018</t>
  </si>
  <si>
    <t>0.9894389494845983</t>
  </si>
  <si>
    <t>4261.399745941162</t>
  </si>
  <si>
    <t>24.0</t>
  </si>
  <si>
    <t>0.8706155408345825</t>
  </si>
  <si>
    <t>0.9308332170127849</t>
  </si>
  <si>
    <t>0.9495111429867212</t>
  </si>
  <si>
    <t>0.9909914727243561</t>
  </si>
  <si>
    <t>4044.6159839630127</t>
  </si>
  <si>
    <t>25.0</t>
  </si>
  <si>
    <t>0.841677145042324</t>
  </si>
  <si>
    <t>0.9140333280543385</t>
  </si>
  <si>
    <t>0.9800753213231798</t>
  </si>
  <si>
    <t>0.9762170647227253</t>
  </si>
  <si>
    <t>4123.684883117676</t>
  </si>
  <si>
    <t>26.0</t>
  </si>
  <si>
    <t>0.8566348625145231</t>
  </si>
  <si>
    <t>0.9227822657109266</t>
  </si>
  <si>
    <t>0.9409012249001808</t>
  </si>
  <si>
    <t>0.989234387746141</t>
  </si>
  <si>
    <t>4020.5764770507812</t>
  </si>
  <si>
    <t>27.0</t>
  </si>
  <si>
    <t>0.8688931438250239</t>
  </si>
  <si>
    <t>0.9298478585529816</t>
  </si>
  <si>
    <t>0.9673523600259082</t>
  </si>
  <si>
    <t>0.9850842913986189</t>
  </si>
  <si>
    <t>4423.075437545776</t>
  </si>
  <si>
    <t>28.0</t>
  </si>
  <si>
    <t>0.8711304026597709</t>
  </si>
  <si>
    <t>0.9311274098496589</t>
  </si>
  <si>
    <t>0.9507327594895881</t>
  </si>
  <si>
    <t>0.9904504288142985</t>
  </si>
  <si>
    <t>4269.386529922485</t>
  </si>
  <si>
    <t>29.0</t>
  </si>
  <si>
    <t>0.8638288004770265</t>
  </si>
  <si>
    <t>0.9269400711652691</t>
  </si>
  <si>
    <t>0.9773689852399907</t>
  </si>
  <si>
    <t>0.9808408227934549</t>
  </si>
  <si>
    <t>3641.655206680298</t>
  </si>
  <si>
    <t>30.0</t>
  </si>
  <si>
    <t>0.8710416633397742</t>
  </si>
  <si>
    <t>0.9310767156141048</t>
  </si>
  <si>
    <t>0.9669816338108069</t>
  </si>
  <si>
    <t>0.9867209540907925</t>
  </si>
  <si>
    <t>3534.9678993225098</t>
  </si>
  <si>
    <t>31.0</t>
  </si>
  <si>
    <t>0.8713704746466456</t>
  </si>
  <si>
    <t>0.9312645320122183</t>
  </si>
  <si>
    <t>0.9823031546550397</t>
  </si>
  <si>
    <t>0.9828059510201254</t>
  </si>
  <si>
    <t>3613.945722579956</t>
  </si>
  <si>
    <t>32.0</t>
  </si>
  <si>
    <t>0.8638203873033465</t>
  </si>
  <si>
    <t>0.9269352274369722</t>
  </si>
  <si>
    <t>0.9687864165666784</t>
  </si>
  <si>
    <t>0.9849077277537205</t>
  </si>
  <si>
    <t>3533.9951515197754</t>
  </si>
  <si>
    <t>33.0</t>
  </si>
  <si>
    <t>0.8361088016677628</t>
  </si>
  <si>
    <t>0.9107399309978947</t>
  </si>
  <si>
    <t>0.9792251013675537</t>
  </si>
  <si>
    <t>0.9741415081705194</t>
  </si>
  <si>
    <t>3810.764789581299</t>
  </si>
  <si>
    <t>34.0</t>
  </si>
  <si>
    <t>0.8925649604799213</t>
  </si>
  <si>
    <t>0.9432331033473033</t>
  </si>
  <si>
    <t>0.9729958315713164</t>
  </si>
  <si>
    <t>0.9869748687990639</t>
  </si>
  <si>
    <t>3897.6306915283203</t>
  </si>
  <si>
    <t>35.0</t>
  </si>
  <si>
    <t>0.8599566090511368</t>
  </si>
  <si>
    <t>0.9247060978372464</t>
  </si>
  <si>
    <t>0.9612582549178768</t>
  </si>
  <si>
    <t>0.9876104963495494</t>
  </si>
  <si>
    <t>3871.8173503875732</t>
  </si>
  <si>
    <t>36.0</t>
  </si>
  <si>
    <t>0.8686106143931982</t>
  </si>
  <si>
    <t>0.9296860541223735</t>
  </si>
  <si>
    <t>0.9665668615838034</t>
  </si>
  <si>
    <t>0.9872456968159357</t>
  </si>
  <si>
    <t>4121.3414669036865</t>
  </si>
  <si>
    <t>37.0</t>
  </si>
  <si>
    <t>0.8640223600207716</t>
  </si>
  <si>
    <t>0.9270514973985006</t>
  </si>
  <si>
    <t>0.9590418227745097</t>
  </si>
  <si>
    <t>0.9860584868719388</t>
  </si>
  <si>
    <t>3777.7392864227295</t>
  </si>
  <si>
    <t>38.0</t>
  </si>
  <si>
    <t>0.8768766887261621</t>
  </si>
  <si>
    <t>0.9343998931771048</t>
  </si>
  <si>
    <t>0.9687143104343312</t>
  </si>
  <si>
    <t>0.9870256678485224</t>
  </si>
  <si>
    <t>3590.595483779907</t>
  </si>
  <si>
    <t>39.0</t>
  </si>
  <si>
    <t>0.8713650192496467</t>
  </si>
  <si>
    <t>0.9312614164381829</t>
  </si>
  <si>
    <t>0.9781185039308544</t>
  </si>
  <si>
    <t>0.982971147516766</t>
  </si>
  <si>
    <t>3617.4585819244385</t>
  </si>
  <si>
    <t>40.0</t>
  </si>
  <si>
    <t>0.8654068133608108</t>
  </si>
  <si>
    <t>0.9278478100995571</t>
  </si>
  <si>
    <t>0.9818102035639111</t>
  </si>
  <si>
    <t>0.9782680218228142</t>
  </si>
  <si>
    <t>3678.4465312957764</t>
  </si>
  <si>
    <t>41.0</t>
  </si>
  <si>
    <t>0.8424799876847291</t>
  </si>
  <si>
    <t>0.9145065274151436</t>
  </si>
  <si>
    <t>0.9516377942487013</t>
  </si>
  <si>
    <t>0.9875366155042746</t>
  </si>
  <si>
    <t>3570.885181427002</t>
  </si>
  <si>
    <t>42.0</t>
  </si>
  <si>
    <t>0.8761692908070438</t>
  </si>
  <si>
    <t>0.9339981153088324</t>
  </si>
  <si>
    <t>0.9770089397730287</t>
  </si>
  <si>
    <t>0.9823405240642534</t>
  </si>
  <si>
    <t>3552.9868602752686</t>
  </si>
  <si>
    <t>43.0</t>
  </si>
  <si>
    <t>0.8454935357462433</t>
  </si>
  <si>
    <t>0.9162790542144703</t>
  </si>
  <si>
    <t>0.9811374801277553</t>
  </si>
  <si>
    <t>0.9753524458321506</t>
  </si>
  <si>
    <t>3550.936698913574</t>
  </si>
  <si>
    <t>44.0</t>
  </si>
  <si>
    <t>0.8595673171544063</t>
  </si>
  <si>
    <t>0.9244809899861597</t>
  </si>
  <si>
    <t>0.9672237270233898</t>
  </si>
  <si>
    <t>0.9842091810982695</t>
  </si>
  <si>
    <t>3816.1003589630127</t>
  </si>
  <si>
    <t>45.0</t>
  </si>
  <si>
    <t>0.8597069385290396</t>
  </si>
  <si>
    <t>0.9245617368175616</t>
  </si>
  <si>
    <t>0.9790835997571093</t>
  </si>
  <si>
    <t>0.9791860632160274</t>
  </si>
  <si>
    <t>4264.333724975586</t>
  </si>
  <si>
    <t>46.0</t>
  </si>
  <si>
    <t>0.8784840501401171</t>
  </si>
  <si>
    <t>0.9353116946343947</t>
  </si>
  <si>
    <t>0.9606573019790625</t>
  </si>
  <si>
    <t>0.9891494649233438</t>
  </si>
  <si>
    <t>4037.137508392334</t>
  </si>
  <si>
    <t>47.0</t>
  </si>
  <si>
    <t>0.8812224836357707</t>
  </si>
  <si>
    <t>0.9368615262695179</t>
  </si>
  <si>
    <t>0.9631509267431597</t>
  </si>
  <si>
    <t>0.9882298462305424</t>
  </si>
  <si>
    <t>3994.8816299438477</t>
  </si>
  <si>
    <t>48.0</t>
  </si>
  <si>
    <t>0.8606841391331239</t>
  </si>
  <si>
    <t>0.9251265392460527</t>
  </si>
  <si>
    <t>0.9704180930645365</t>
  </si>
  <si>
    <t>0.9825571562386165</t>
  </si>
  <si>
    <t>3791.52512550354</t>
  </si>
  <si>
    <t>49.0</t>
  </si>
  <si>
    <t>0.8663826239985181</t>
  </si>
  <si>
    <t>0.928408369064634</t>
  </si>
  <si>
    <t>0.9501650667885622</t>
  </si>
  <si>
    <t>0.9899803290283129</t>
  </si>
  <si>
    <t>3950.7193565368652</t>
  </si>
  <si>
    <t>50.0</t>
  </si>
  <si>
    <t>0.8522293258053802</t>
  </si>
  <si>
    <t>0.9202200979458273</t>
  </si>
  <si>
    <t>0.970408187383299</t>
  </si>
  <si>
    <t>0.980902708080842</t>
  </si>
  <si>
    <t>3899.2793560028076</t>
  </si>
  <si>
    <t>51.0</t>
  </si>
  <si>
    <t>0.8836765097100293</t>
  </si>
  <si>
    <t>0.9382465674491649</t>
  </si>
  <si>
    <t>0.9753300291271259</t>
  </si>
  <si>
    <t>0.9798904231869273</t>
  </si>
  <si>
    <t>4091.9318199157715</t>
  </si>
  <si>
    <t>52.0</t>
  </si>
  <si>
    <t>0.8719436954435354</t>
  </si>
  <si>
    <t>0.931591796875</t>
  </si>
  <si>
    <t>0.9579895224864847</t>
  </si>
  <si>
    <t>0.9873079017783145</t>
  </si>
  <si>
    <t>3915.6603813171387</t>
  </si>
  <si>
    <t>53.0</t>
  </si>
  <si>
    <t>0.8577088588811397</t>
  </si>
  <si>
    <t>0.9234050371033061</t>
  </si>
  <si>
    <t>0.9596871938767039</t>
  </si>
  <si>
    <t>0.9845687725052202</t>
  </si>
  <si>
    <t>4281.396389007568</t>
  </si>
  <si>
    <t>54.0</t>
  </si>
  <si>
    <t>0.8452348953200132</t>
  </si>
  <si>
    <t>0.9161271526608831</t>
  </si>
  <si>
    <t>0.9778454989599962</t>
  </si>
  <si>
    <t>0.97488120460467</t>
  </si>
  <si>
    <t>3908.094882965088</t>
  </si>
  <si>
    <t>55.0</t>
  </si>
  <si>
    <t>0.8737961361014994</t>
  </si>
  <si>
    <t>0.9326480285304289</t>
  </si>
  <si>
    <t>0.9682013515024682</t>
  </si>
  <si>
    <t>0.9853516746048764</t>
  </si>
  <si>
    <t>4192.977666854858</t>
  </si>
  <si>
    <t>56.0</t>
  </si>
  <si>
    <t>0.8838870431893687</t>
  </si>
  <si>
    <t>0.9383652235252623</t>
  </si>
  <si>
    <t>0.9761589509619373</t>
  </si>
  <si>
    <t>0.9858232849944324</t>
  </si>
  <si>
    <t>3828.559160232544</t>
  </si>
  <si>
    <t>57.0</t>
  </si>
  <si>
    <t>0.8698796906330565</t>
  </si>
  <si>
    <t>0.9304124698402972</t>
  </si>
  <si>
    <t>0.9497687822532002</t>
  </si>
  <si>
    <t>0.9914269329023513</t>
  </si>
  <si>
    <t>3542.9346561431885</t>
  </si>
  <si>
    <t>58.0</t>
  </si>
  <si>
    <t>0.8281868625717745</t>
  </si>
  <si>
    <t>0.9060199255635554</t>
  </si>
  <si>
    <t>0.9757064470678837</t>
  </si>
  <si>
    <t>0.9782148694165836</t>
  </si>
  <si>
    <t>3565.589427947998</t>
  </si>
  <si>
    <t>59.0</t>
  </si>
  <si>
    <t>0.8748955273777969</t>
  </si>
  <si>
    <t>0.9332738967076355</t>
  </si>
  <si>
    <t>0.9625536386723881</t>
  </si>
  <si>
    <t>0.9877555956531883</t>
  </si>
  <si>
    <t>3552.8454780578613</t>
  </si>
  <si>
    <t>60.0</t>
  </si>
  <si>
    <t>0.8675541693166868</t>
  </si>
  <si>
    <t>0.9290805948982067</t>
  </si>
  <si>
    <t>0.9563033603196097</t>
  </si>
  <si>
    <t>0.9887214661670456</t>
  </si>
  <si>
    <t>3450.56414604187</t>
  </si>
  <si>
    <t>61.0</t>
  </si>
  <si>
    <t>0.8352247734670537</t>
  </si>
  <si>
    <t>0.9102152341690235</t>
  </si>
  <si>
    <t>0.9635288364840802</t>
  </si>
  <si>
    <t>0.9822907947231886</t>
  </si>
  <si>
    <t>3700.8368968963623</t>
  </si>
  <si>
    <t>62.0</t>
  </si>
  <si>
    <t>0.7988201968285489</t>
  </si>
  <si>
    <t>0.8881601376690423</t>
  </si>
  <si>
    <t>0.9812566139938658</t>
  </si>
  <si>
    <t>0.9728238018504487</t>
  </si>
  <si>
    <t>3816.4193630218506</t>
  </si>
  <si>
    <t>63.0</t>
  </si>
  <si>
    <t>0.8544314439158516</t>
  </si>
  <si>
    <t>0.9215023253829415</t>
  </si>
  <si>
    <t>0.9618227972121401</t>
  </si>
  <si>
    <t>0.988225391600383</t>
  </si>
  <si>
    <t>3454.9758434295654</t>
  </si>
  <si>
    <t>64.0</t>
  </si>
  <si>
    <t>0.8846361992110173</t>
  </si>
  <si>
    <t>0.9387872307465608</t>
  </si>
  <si>
    <t>0.971313974761927</t>
  </si>
  <si>
    <t>0.9863882329684557</t>
  </si>
  <si>
    <t>3464.2295837402344</t>
  </si>
  <si>
    <t>65.0</t>
  </si>
  <si>
    <t>0.8517813549899693</t>
  </si>
  <si>
    <t>0.919958884664959</t>
  </si>
  <si>
    <t>0.987786077670175</t>
  </si>
  <si>
    <t>0.9748462803713557</t>
  </si>
  <si>
    <t>3332.07631111145</t>
  </si>
  <si>
    <t>66.0</t>
  </si>
  <si>
    <t>0.8669245624101529</t>
  </si>
  <si>
    <t>0.9287194350166725</t>
  </si>
  <si>
    <t>0.9755474401877334</t>
  </si>
  <si>
    <t>0.9800484665167566</t>
  </si>
  <si>
    <t>3328.2594680786133</t>
  </si>
  <si>
    <t>67.0</t>
  </si>
  <si>
    <t>0.866248922575967</t>
  </si>
  <si>
    <t>0.9283315983167896</t>
  </si>
  <si>
    <t>0.9768421377437669</t>
  </si>
  <si>
    <t>0.9819901974440227</t>
  </si>
  <si>
    <t>3230.3266525268555</t>
  </si>
  <si>
    <t>68.0</t>
  </si>
  <si>
    <t>0.867892520228059</t>
  </si>
  <si>
    <t>0.9292745817324588</t>
  </si>
  <si>
    <t>0.9708340552626585</t>
  </si>
  <si>
    <t>0.9844981469160737</t>
  </si>
  <si>
    <t>3244.138240814209</t>
  </si>
  <si>
    <t>69.0</t>
  </si>
  <si>
    <t>0.8821316116359015</t>
  </si>
  <si>
    <t>0.9373750551579917</t>
  </si>
  <si>
    <t>0.9798568884467904</t>
  </si>
  <si>
    <t>0.9850527860697594</t>
  </si>
  <si>
    <t>3844.0604209899902</t>
  </si>
  <si>
    <t>70.0</t>
  </si>
  <si>
    <t>0.8580071473113637</t>
  </si>
  <si>
    <t>0.9235778759548329</t>
  </si>
  <si>
    <t>0.9728596001006207</t>
  </si>
  <si>
    <t>0.9781594672813534</t>
  </si>
  <si>
    <t>3544.5427894592285</t>
  </si>
  <si>
    <t>71.0</t>
  </si>
  <si>
    <t>0.8571794297417518</t>
  </si>
  <si>
    <t>0.9230981304385285</t>
  </si>
  <si>
    <t>0.9772631087372123</t>
  </si>
  <si>
    <t>0.9789376103913201</t>
  </si>
  <si>
    <t>3582.801580429077</t>
  </si>
  <si>
    <t>72.0</t>
  </si>
  <si>
    <t>0.8726860741992473</t>
  </si>
  <si>
    <t>0.9320153401283813</t>
  </si>
  <si>
    <t>0.96872522019389</t>
  </si>
  <si>
    <t>0.9861407741709645</t>
  </si>
  <si>
    <t>4398.474931716919</t>
  </si>
  <si>
    <t>73.0</t>
  </si>
  <si>
    <t>0.8695359659122764</t>
  </si>
  <si>
    <t>0.9302158201465458</t>
  </si>
  <si>
    <t>0.947491676254671</t>
  </si>
  <si>
    <t>0.9907351191071201</t>
  </si>
  <si>
    <t>3746.318578720093</t>
  </si>
  <si>
    <t>74.0</t>
  </si>
  <si>
    <t>0.8824929876171581</t>
  </si>
  <si>
    <t>0.9375790437702607</t>
  </si>
  <si>
    <t>0.9708724710982659</t>
  </si>
  <si>
    <t>0.9854692305004193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</si>
</sst>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theme="4" tint="-0.249977111117893"/>
      <name val="Calibri"/>
    </font>
    <font>
      <sz val="11"/>
      <color rgb="FF000000"/>
      <name val="Calibri"/>
      <family val="2"/>
    </font>
    <font>
      <sz val="8"/>
      <name val="Calibri"/>
    </font>
    <font>
      <sz val="10"/>
      <color rgb="FF6A8759"/>
      <name val="JetBrains Mono"/>
      <family val="3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NumberFormat="1"/>
  </cellXfs>
  <cellStyles count="1">
    <cellStyle name="Normale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255270</xdr:colOff>
      <xdr:row>3</xdr:row>
      <xdr:rowOff>49530</xdr:rowOff>
    </xdr:from>
    <xdr:to>
      <xdr:col>9</xdr:col>
      <xdr:colOff>571500</xdr:colOff>
      <xdr:row>4</xdr:row>
      <xdr:rowOff>173003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535ECD-B7E6-47F7-A1A8-BAF0F24C4734}"/>
            </a:ext>
          </a:extLst>
        </xdr:cNvPr>
        <xdr:cNvSpPr>
          <a:spLocks noChangeArrowheads="1"/>
        </xdr:cNvSpPr>
      </xdr:nvSpPr>
      <xdr:spPr bwMode="auto">
        <a:xfrm>
          <a:off x="3910965" y="777240"/>
          <a:ext cx="1537335" cy="296828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it-IT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autoSamVitH4BeJo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7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4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it-IT" altLang="it-IT" sz="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006BA59-7BFF-4AC6-93BC-D184BCCEBB3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B5F362-3CA2-44BC-B28C-55F14FBCF48D}" name="TimeDfBBoxAutoSam" displayName="TimeDfBBoxAutoSam" ref="A1:F77" tableType="queryTable" totalsRowShown="0">
  <autoFilter ref="A1:F77" xr:uid="{1EB5F362-3CA2-44BC-B28C-55F14FBCF48D}"/>
  <tableColumns count="6">
    <tableColumn id="1" xr3:uid="{1FF8CD87-516C-40A9-8852-2BF2697B8987}" uniqueName="1" name="Column1" queryTableFieldId="1" dataDxfId="8"/>
    <tableColumn id="2" xr3:uid="{36A66ECA-BBFF-49E1-A5AF-D7FE8E9ABCE4}" uniqueName="2" name="Column2" queryTableFieldId="2" dataDxfId="7"/>
    <tableColumn id="3" xr3:uid="{E683F9AE-6972-4703-87B8-CDE27487BE35}" uniqueName="3" name="Column3" queryTableFieldId="3" dataDxfId="6"/>
    <tableColumn id="4" xr3:uid="{DE3BF603-3E5A-4BD0-8715-F35B1A0BE0DC}" uniqueName="4" name="Column4" queryTableFieldId="4" dataDxfId="5"/>
    <tableColumn id="5" xr3:uid="{D9F53C0C-B093-4615-AD5A-7357C3C68816}" uniqueName="5" name="Column5" queryTableFieldId="5" dataDxfId="4"/>
    <tableColumn id="6" xr3:uid="{CC56D811-3A72-4DEA-A195-4C2D4C4F1E23}" uniqueName="6" name="Column6" queryTableFieldId="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D476B-603E-438B-969B-513BD802CCB0}" name="Tabella1" displayName="Tabella1" ref="B7:G84" totalsRowShown="0">
  <autoFilter ref="B7:G84" xr:uid="{4EFD476B-603E-438B-969B-513BD802CCB0}"/>
  <tableColumns count="6">
    <tableColumn id="1" xr3:uid="{328CECD5-F33E-4C4D-BAAD-2856C074BF63}" name="time"/>
    <tableColumn id="2" xr3:uid="{FECD885C-1D63-4ED6-A078-599ACD856DA2}" name="index"/>
    <tableColumn id="3" xr3:uid="{17E96295-C242-4AD3-83FF-9705C06267C6}" name="iou"/>
    <tableColumn id="4" xr3:uid="{25321F87-590E-49AE-A8E9-791B0F354953}" name="dice" dataDxfId="2"/>
    <tableColumn id="5" xr3:uid="{2B8141A0-E410-4507-A898-FE02B1030542}" name="sensitivity" dataDxfId="1"/>
    <tableColumn id="6" xr3:uid="{7CB0EDBC-D5F8-418E-B2E0-E1872DE70744}" name="specificity" data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C09680-B4D6-4816-A96F-2D9A64682DA5}" name="Tabella2" displayName="Tabella2" ref="U8:W84" totalsRowCount="1">
  <autoFilter ref="U8:W83" xr:uid="{E3C09680-B4D6-4816-A96F-2D9A64682DA5}"/>
  <tableColumns count="3">
    <tableColumn id="1" xr3:uid="{7354F780-841F-4F2E-901D-BE83D38023C7}" name="time" totalsRowFunction="custom" totalsRowDxfId="14">
      <totalsRowFormula>AVERAGE(U9:U83)</totalsRowFormula>
    </tableColumn>
    <tableColumn id="2" xr3:uid="{4C40069F-6DED-4211-9A85-8FF4BB616D9B}" name="index" totalsRowLabel="MEDIA" totalsRowDxfId="13"/>
    <tableColumn id="3" xr3:uid="{AE63D1B8-31C4-4B23-ADF1-DBF019E98CD3}" name="iou" totalsRowFunction="custom" totalsRowDxfId="12">
      <totalsRowFormula>AVERAGE(W9:W83)</totalsRow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466AF9-68DB-45C7-8B69-9F3E4C5EDBDA}" name="Tabella35" displayName="Tabella35" ref="H7:M84" totalsRowShown="0">
  <autoFilter ref="H7:M84" xr:uid="{DE466AF9-68DB-45C7-8B69-9F3E4C5EDBDA}"/>
  <tableColumns count="6">
    <tableColumn id="1" xr3:uid="{F4F03057-7432-4B4D-967E-283B1A24224A}" name="time"/>
    <tableColumn id="2" xr3:uid="{A46111A5-1B3B-4840-93A5-427E1CB1B7AA}" name="index"/>
    <tableColumn id="3" xr3:uid="{E3761A9F-46D0-41FB-91C4-1FEFF4FBAF82}" name="iou"/>
    <tableColumn id="4" xr3:uid="{C4FC4403-C25C-4665-BA2A-10980036D7DD}" name="dice" dataDxfId="11"/>
    <tableColumn id="5" xr3:uid="{A8FA14EF-A49C-474D-B85D-A93F3324D57C}" name="sensitivity" dataDxfId="10"/>
    <tableColumn id="6" xr3:uid="{B5C1286C-8011-4DAB-912A-75323A33C793}" name="specificity" dataDxf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6C12-16EA-4B75-AD0F-A0695B6A265C}">
  <dimension ref="A1:F77"/>
  <sheetViews>
    <sheetView topLeftCell="A41" workbookViewId="0">
      <selection activeCell="C2" sqref="C2:F77"/>
    </sheetView>
  </sheetViews>
  <sheetFormatPr defaultRowHeight="14.4"/>
  <cols>
    <col min="1" max="1" width="18.77734375" bestFit="1" customWidth="1"/>
    <col min="2" max="2" width="10.77734375" bestFit="1" customWidth="1"/>
    <col min="3" max="6" width="18.77734375" bestFit="1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9" t="s">
        <v>0</v>
      </c>
      <c r="B2" s="9" t="s">
        <v>1</v>
      </c>
      <c r="C2" s="9" t="s">
        <v>2</v>
      </c>
      <c r="D2" s="9" t="s">
        <v>11</v>
      </c>
      <c r="E2" s="9" t="s">
        <v>12</v>
      </c>
      <c r="F2" s="9" t="s">
        <v>13</v>
      </c>
    </row>
    <row r="3" spans="1:6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</row>
    <row r="4" spans="1:6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</row>
    <row r="5" spans="1:6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</row>
    <row r="6" spans="1:6">
      <c r="A6" s="9" t="s">
        <v>38</v>
      </c>
      <c r="B6" s="9" t="s">
        <v>39</v>
      </c>
      <c r="C6" s="9" t="s">
        <v>40</v>
      </c>
      <c r="D6" s="9" t="s">
        <v>41</v>
      </c>
      <c r="E6" s="9" t="s">
        <v>42</v>
      </c>
      <c r="F6" s="9" t="s">
        <v>43</v>
      </c>
    </row>
    <row r="7" spans="1:6">
      <c r="A7" s="9" t="s">
        <v>44</v>
      </c>
      <c r="B7" s="9" t="s">
        <v>45</v>
      </c>
      <c r="C7" s="9" t="s">
        <v>46</v>
      </c>
      <c r="D7" s="9" t="s">
        <v>47</v>
      </c>
      <c r="E7" s="9" t="s">
        <v>48</v>
      </c>
      <c r="F7" s="9" t="s">
        <v>49</v>
      </c>
    </row>
    <row r="8" spans="1:6">
      <c r="A8" s="9" t="s">
        <v>50</v>
      </c>
      <c r="B8" s="9" t="s">
        <v>51</v>
      </c>
      <c r="C8" s="9" t="s">
        <v>52</v>
      </c>
      <c r="D8" s="9" t="s">
        <v>53</v>
      </c>
      <c r="E8" s="9" t="s">
        <v>54</v>
      </c>
      <c r="F8" s="9" t="s">
        <v>55</v>
      </c>
    </row>
    <row r="9" spans="1:6">
      <c r="A9" s="9" t="s">
        <v>56</v>
      </c>
      <c r="B9" s="9" t="s">
        <v>57</v>
      </c>
      <c r="C9" s="9" t="s">
        <v>58</v>
      </c>
      <c r="D9" s="9" t="s">
        <v>59</v>
      </c>
      <c r="E9" s="9" t="s">
        <v>60</v>
      </c>
      <c r="F9" s="9" t="s">
        <v>61</v>
      </c>
    </row>
    <row r="10" spans="1:6">
      <c r="A10" s="9" t="s">
        <v>62</v>
      </c>
      <c r="B10" s="9" t="s">
        <v>63</v>
      </c>
      <c r="C10" s="9" t="s">
        <v>64</v>
      </c>
      <c r="D10" s="9" t="s">
        <v>65</v>
      </c>
      <c r="E10" s="9" t="s">
        <v>66</v>
      </c>
      <c r="F10" s="9" t="s">
        <v>67</v>
      </c>
    </row>
    <row r="11" spans="1:6">
      <c r="A11" s="9" t="s">
        <v>68</v>
      </c>
      <c r="B11" s="9" t="s">
        <v>69</v>
      </c>
      <c r="C11" s="9" t="s">
        <v>70</v>
      </c>
      <c r="D11" s="9" t="s">
        <v>71</v>
      </c>
      <c r="E11" s="9" t="s">
        <v>72</v>
      </c>
      <c r="F11" s="9" t="s">
        <v>73</v>
      </c>
    </row>
    <row r="12" spans="1:6">
      <c r="A12" s="9" t="s">
        <v>74</v>
      </c>
      <c r="B12" s="9" t="s">
        <v>75</v>
      </c>
      <c r="C12" s="9" t="s">
        <v>76</v>
      </c>
      <c r="D12" s="9" t="s">
        <v>77</v>
      </c>
      <c r="E12" s="9" t="s">
        <v>78</v>
      </c>
      <c r="F12" s="9" t="s">
        <v>79</v>
      </c>
    </row>
    <row r="13" spans="1:6">
      <c r="A13" s="9" t="s">
        <v>80</v>
      </c>
      <c r="B13" s="9" t="s">
        <v>81</v>
      </c>
      <c r="C13" s="9" t="s">
        <v>82</v>
      </c>
      <c r="D13" s="9" t="s">
        <v>83</v>
      </c>
      <c r="E13" s="9" t="s">
        <v>84</v>
      </c>
      <c r="F13" s="9" t="s">
        <v>85</v>
      </c>
    </row>
    <row r="14" spans="1:6">
      <c r="A14" s="9" t="s">
        <v>86</v>
      </c>
      <c r="B14" s="9" t="s">
        <v>87</v>
      </c>
      <c r="C14" s="9" t="s">
        <v>88</v>
      </c>
      <c r="D14" s="9" t="s">
        <v>89</v>
      </c>
      <c r="E14" s="9" t="s">
        <v>90</v>
      </c>
      <c r="F14" s="9" t="s">
        <v>91</v>
      </c>
    </row>
    <row r="15" spans="1:6">
      <c r="A15" s="9" t="s">
        <v>92</v>
      </c>
      <c r="B15" s="9" t="s">
        <v>93</v>
      </c>
      <c r="C15" s="9" t="s">
        <v>94</v>
      </c>
      <c r="D15" s="9" t="s">
        <v>95</v>
      </c>
      <c r="E15" s="9" t="s">
        <v>96</v>
      </c>
      <c r="F15" s="9" t="s">
        <v>97</v>
      </c>
    </row>
    <row r="16" spans="1:6">
      <c r="A16" s="9" t="s">
        <v>98</v>
      </c>
      <c r="B16" s="9" t="s">
        <v>99</v>
      </c>
      <c r="C16" s="9" t="s">
        <v>100</v>
      </c>
      <c r="D16" s="9" t="s">
        <v>101</v>
      </c>
      <c r="E16" s="9" t="s">
        <v>102</v>
      </c>
      <c r="F16" s="9" t="s">
        <v>103</v>
      </c>
    </row>
    <row r="17" spans="1:6">
      <c r="A17" s="9" t="s">
        <v>104</v>
      </c>
      <c r="B17" s="9" t="s">
        <v>105</v>
      </c>
      <c r="C17" s="9" t="s">
        <v>106</v>
      </c>
      <c r="D17" s="9" t="s">
        <v>107</v>
      </c>
      <c r="E17" s="9" t="s">
        <v>108</v>
      </c>
      <c r="F17" s="9" t="s">
        <v>109</v>
      </c>
    </row>
    <row r="18" spans="1:6">
      <c r="A18" s="9" t="s">
        <v>110</v>
      </c>
      <c r="B18" s="9" t="s">
        <v>111</v>
      </c>
      <c r="C18" s="9" t="s">
        <v>112</v>
      </c>
      <c r="D18" s="9" t="s">
        <v>113</v>
      </c>
      <c r="E18" s="9" t="s">
        <v>114</v>
      </c>
      <c r="F18" s="9" t="s">
        <v>115</v>
      </c>
    </row>
    <row r="19" spans="1:6">
      <c r="A19" s="9" t="s">
        <v>116</v>
      </c>
      <c r="B19" s="9" t="s">
        <v>117</v>
      </c>
      <c r="C19" s="9" t="s">
        <v>118</v>
      </c>
      <c r="D19" s="9" t="s">
        <v>119</v>
      </c>
      <c r="E19" s="9" t="s">
        <v>120</v>
      </c>
      <c r="F19" s="9" t="s">
        <v>121</v>
      </c>
    </row>
    <row r="20" spans="1:6">
      <c r="A20" s="9" t="s">
        <v>122</v>
      </c>
      <c r="B20" s="9" t="s">
        <v>123</v>
      </c>
      <c r="C20" s="9" t="s">
        <v>124</v>
      </c>
      <c r="D20" s="9" t="s">
        <v>125</v>
      </c>
      <c r="E20" s="9" t="s">
        <v>126</v>
      </c>
      <c r="F20" s="9" t="s">
        <v>127</v>
      </c>
    </row>
    <row r="21" spans="1:6">
      <c r="A21" s="9" t="s">
        <v>128</v>
      </c>
      <c r="B21" s="9" t="s">
        <v>129</v>
      </c>
      <c r="C21" s="9" t="s">
        <v>130</v>
      </c>
      <c r="D21" s="9" t="s">
        <v>131</v>
      </c>
      <c r="E21" s="9" t="s">
        <v>132</v>
      </c>
      <c r="F21" s="9" t="s">
        <v>133</v>
      </c>
    </row>
    <row r="22" spans="1:6">
      <c r="A22" s="9" t="s">
        <v>134</v>
      </c>
      <c r="B22" s="9" t="s">
        <v>135</v>
      </c>
      <c r="C22" s="9" t="s">
        <v>136</v>
      </c>
      <c r="D22" s="9" t="s">
        <v>137</v>
      </c>
      <c r="E22" s="9" t="s">
        <v>138</v>
      </c>
      <c r="F22" s="9" t="s">
        <v>139</v>
      </c>
    </row>
    <row r="23" spans="1:6">
      <c r="A23" s="9" t="s">
        <v>140</v>
      </c>
      <c r="B23" s="9" t="s">
        <v>141</v>
      </c>
      <c r="C23" s="9" t="s">
        <v>142</v>
      </c>
      <c r="D23" s="9" t="s">
        <v>143</v>
      </c>
      <c r="E23" s="9" t="s">
        <v>144</v>
      </c>
      <c r="F23" s="9" t="s">
        <v>145</v>
      </c>
    </row>
    <row r="24" spans="1:6">
      <c r="A24" s="9" t="s">
        <v>146</v>
      </c>
      <c r="B24" s="9" t="s">
        <v>147</v>
      </c>
      <c r="C24" s="9" t="s">
        <v>148</v>
      </c>
      <c r="D24" s="9" t="s">
        <v>149</v>
      </c>
      <c r="E24" s="9" t="s">
        <v>150</v>
      </c>
      <c r="F24" s="9" t="s">
        <v>151</v>
      </c>
    </row>
    <row r="25" spans="1:6">
      <c r="A25" s="9" t="s">
        <v>152</v>
      </c>
      <c r="B25" s="9" t="s">
        <v>153</v>
      </c>
      <c r="C25" s="9" t="s">
        <v>154</v>
      </c>
      <c r="D25" s="9" t="s">
        <v>155</v>
      </c>
      <c r="E25" s="9" t="s">
        <v>156</v>
      </c>
      <c r="F25" s="9" t="s">
        <v>157</v>
      </c>
    </row>
    <row r="26" spans="1:6">
      <c r="A26" s="9" t="s">
        <v>158</v>
      </c>
      <c r="B26" s="9" t="s">
        <v>159</v>
      </c>
      <c r="C26" s="9" t="s">
        <v>160</v>
      </c>
      <c r="D26" s="9" t="s">
        <v>161</v>
      </c>
      <c r="E26" s="9" t="s">
        <v>162</v>
      </c>
      <c r="F26" s="9" t="s">
        <v>163</v>
      </c>
    </row>
    <row r="27" spans="1:6">
      <c r="A27" s="9" t="s">
        <v>164</v>
      </c>
      <c r="B27" s="9" t="s">
        <v>165</v>
      </c>
      <c r="C27" s="9" t="s">
        <v>166</v>
      </c>
      <c r="D27" s="9" t="s">
        <v>167</v>
      </c>
      <c r="E27" s="9" t="s">
        <v>168</v>
      </c>
      <c r="F27" s="9" t="s">
        <v>169</v>
      </c>
    </row>
    <row r="28" spans="1:6">
      <c r="A28" s="9" t="s">
        <v>170</v>
      </c>
      <c r="B28" s="9" t="s">
        <v>171</v>
      </c>
      <c r="C28" s="9" t="s">
        <v>172</v>
      </c>
      <c r="D28" s="9" t="s">
        <v>173</v>
      </c>
      <c r="E28" s="9" t="s">
        <v>174</v>
      </c>
      <c r="F28" s="9" t="s">
        <v>175</v>
      </c>
    </row>
    <row r="29" spans="1:6">
      <c r="A29" s="9" t="s">
        <v>176</v>
      </c>
      <c r="B29" s="9" t="s">
        <v>177</v>
      </c>
      <c r="C29" s="9" t="s">
        <v>178</v>
      </c>
      <c r="D29" s="9" t="s">
        <v>179</v>
      </c>
      <c r="E29" s="9" t="s">
        <v>180</v>
      </c>
      <c r="F29" s="9" t="s">
        <v>181</v>
      </c>
    </row>
    <row r="30" spans="1:6">
      <c r="A30" s="9" t="s">
        <v>182</v>
      </c>
      <c r="B30" s="9" t="s">
        <v>183</v>
      </c>
      <c r="C30" s="9" t="s">
        <v>184</v>
      </c>
      <c r="D30" s="9" t="s">
        <v>185</v>
      </c>
      <c r="E30" s="9" t="s">
        <v>186</v>
      </c>
      <c r="F30" s="9" t="s">
        <v>187</v>
      </c>
    </row>
    <row r="31" spans="1:6">
      <c r="A31" s="9" t="s">
        <v>188</v>
      </c>
      <c r="B31" s="9" t="s">
        <v>189</v>
      </c>
      <c r="C31" s="9" t="s">
        <v>190</v>
      </c>
      <c r="D31" s="9" t="s">
        <v>191</v>
      </c>
      <c r="E31" s="9" t="s">
        <v>192</v>
      </c>
      <c r="F31" s="9" t="s">
        <v>193</v>
      </c>
    </row>
    <row r="32" spans="1:6">
      <c r="A32" s="9" t="s">
        <v>194</v>
      </c>
      <c r="B32" s="9" t="s">
        <v>195</v>
      </c>
      <c r="C32" s="9" t="s">
        <v>196</v>
      </c>
      <c r="D32" s="9" t="s">
        <v>197</v>
      </c>
      <c r="E32" s="9" t="s">
        <v>198</v>
      </c>
      <c r="F32" s="9" t="s">
        <v>199</v>
      </c>
    </row>
    <row r="33" spans="1:6">
      <c r="A33" s="9" t="s">
        <v>200</v>
      </c>
      <c r="B33" s="9" t="s">
        <v>201</v>
      </c>
      <c r="C33" s="9" t="s">
        <v>202</v>
      </c>
      <c r="D33" s="9" t="s">
        <v>203</v>
      </c>
      <c r="E33" s="9" t="s">
        <v>204</v>
      </c>
      <c r="F33" s="9" t="s">
        <v>205</v>
      </c>
    </row>
    <row r="34" spans="1:6">
      <c r="A34" s="9" t="s">
        <v>206</v>
      </c>
      <c r="B34" s="9" t="s">
        <v>207</v>
      </c>
      <c r="C34" s="9" t="s">
        <v>208</v>
      </c>
      <c r="D34" s="9" t="s">
        <v>209</v>
      </c>
      <c r="E34" s="9" t="s">
        <v>210</v>
      </c>
      <c r="F34" s="9" t="s">
        <v>211</v>
      </c>
    </row>
    <row r="35" spans="1:6">
      <c r="A35" s="9" t="s">
        <v>212</v>
      </c>
      <c r="B35" s="9" t="s">
        <v>213</v>
      </c>
      <c r="C35" s="9" t="s">
        <v>214</v>
      </c>
      <c r="D35" s="9" t="s">
        <v>215</v>
      </c>
      <c r="E35" s="9" t="s">
        <v>216</v>
      </c>
      <c r="F35" s="9" t="s">
        <v>217</v>
      </c>
    </row>
    <row r="36" spans="1:6">
      <c r="A36" s="9" t="s">
        <v>218</v>
      </c>
      <c r="B36" s="9" t="s">
        <v>219</v>
      </c>
      <c r="C36" s="9" t="s">
        <v>220</v>
      </c>
      <c r="D36" s="9" t="s">
        <v>221</v>
      </c>
      <c r="E36" s="9" t="s">
        <v>222</v>
      </c>
      <c r="F36" s="9" t="s">
        <v>223</v>
      </c>
    </row>
    <row r="37" spans="1:6">
      <c r="A37" s="9" t="s">
        <v>224</v>
      </c>
      <c r="B37" s="9" t="s">
        <v>225</v>
      </c>
      <c r="C37" s="9" t="s">
        <v>226</v>
      </c>
      <c r="D37" s="9" t="s">
        <v>227</v>
      </c>
      <c r="E37" s="9" t="s">
        <v>228</v>
      </c>
      <c r="F37" s="9" t="s">
        <v>229</v>
      </c>
    </row>
    <row r="38" spans="1:6">
      <c r="A38" s="9" t="s">
        <v>230</v>
      </c>
      <c r="B38" s="9" t="s">
        <v>231</v>
      </c>
      <c r="C38" s="9" t="s">
        <v>232</v>
      </c>
      <c r="D38" s="9" t="s">
        <v>233</v>
      </c>
      <c r="E38" s="9" t="s">
        <v>234</v>
      </c>
      <c r="F38" s="9" t="s">
        <v>235</v>
      </c>
    </row>
    <row r="39" spans="1:6">
      <c r="A39" s="9" t="s">
        <v>236</v>
      </c>
      <c r="B39" s="9" t="s">
        <v>237</v>
      </c>
      <c r="C39" s="9" t="s">
        <v>238</v>
      </c>
      <c r="D39" s="9" t="s">
        <v>239</v>
      </c>
      <c r="E39" s="9" t="s">
        <v>240</v>
      </c>
      <c r="F39" s="9" t="s">
        <v>241</v>
      </c>
    </row>
    <row r="40" spans="1:6">
      <c r="A40" s="9" t="s">
        <v>242</v>
      </c>
      <c r="B40" s="9" t="s">
        <v>243</v>
      </c>
      <c r="C40" s="9" t="s">
        <v>244</v>
      </c>
      <c r="D40" s="9" t="s">
        <v>245</v>
      </c>
      <c r="E40" s="9" t="s">
        <v>246</v>
      </c>
      <c r="F40" s="9" t="s">
        <v>247</v>
      </c>
    </row>
    <row r="41" spans="1:6">
      <c r="A41" s="9" t="s">
        <v>248</v>
      </c>
      <c r="B41" s="9" t="s">
        <v>249</v>
      </c>
      <c r="C41" s="9" t="s">
        <v>250</v>
      </c>
      <c r="D41" s="9" t="s">
        <v>251</v>
      </c>
      <c r="E41" s="9" t="s">
        <v>252</v>
      </c>
      <c r="F41" s="9" t="s">
        <v>253</v>
      </c>
    </row>
    <row r="42" spans="1:6">
      <c r="A42" s="9" t="s">
        <v>254</v>
      </c>
      <c r="B42" s="9" t="s">
        <v>255</v>
      </c>
      <c r="C42" s="9" t="s">
        <v>256</v>
      </c>
      <c r="D42" s="9" t="s">
        <v>257</v>
      </c>
      <c r="E42" s="9" t="s">
        <v>258</v>
      </c>
      <c r="F42" s="9" t="s">
        <v>259</v>
      </c>
    </row>
    <row r="43" spans="1:6">
      <c r="A43" s="9" t="s">
        <v>260</v>
      </c>
      <c r="B43" s="9" t="s">
        <v>261</v>
      </c>
      <c r="C43" s="9" t="s">
        <v>262</v>
      </c>
      <c r="D43" s="9" t="s">
        <v>263</v>
      </c>
      <c r="E43" s="9" t="s">
        <v>264</v>
      </c>
      <c r="F43" s="9" t="s">
        <v>265</v>
      </c>
    </row>
    <row r="44" spans="1:6">
      <c r="A44" s="9" t="s">
        <v>266</v>
      </c>
      <c r="B44" s="9" t="s">
        <v>267</v>
      </c>
      <c r="C44" s="9" t="s">
        <v>268</v>
      </c>
      <c r="D44" s="9" t="s">
        <v>269</v>
      </c>
      <c r="E44" s="9" t="s">
        <v>270</v>
      </c>
      <c r="F44" s="9" t="s">
        <v>271</v>
      </c>
    </row>
    <row r="45" spans="1:6">
      <c r="A45" s="9" t="s">
        <v>272</v>
      </c>
      <c r="B45" s="9" t="s">
        <v>273</v>
      </c>
      <c r="C45" s="9" t="s">
        <v>274</v>
      </c>
      <c r="D45" s="9" t="s">
        <v>275</v>
      </c>
      <c r="E45" s="9" t="s">
        <v>276</v>
      </c>
      <c r="F45" s="9" t="s">
        <v>277</v>
      </c>
    </row>
    <row r="46" spans="1:6">
      <c r="A46" s="9" t="s">
        <v>278</v>
      </c>
      <c r="B46" s="9" t="s">
        <v>279</v>
      </c>
      <c r="C46" s="9" t="s">
        <v>280</v>
      </c>
      <c r="D46" s="9" t="s">
        <v>281</v>
      </c>
      <c r="E46" s="9" t="s">
        <v>282</v>
      </c>
      <c r="F46" s="9" t="s">
        <v>283</v>
      </c>
    </row>
    <row r="47" spans="1:6">
      <c r="A47" s="9" t="s">
        <v>284</v>
      </c>
      <c r="B47" s="9" t="s">
        <v>285</v>
      </c>
      <c r="C47" s="9" t="s">
        <v>286</v>
      </c>
      <c r="D47" s="9" t="s">
        <v>287</v>
      </c>
      <c r="E47" s="9" t="s">
        <v>288</v>
      </c>
      <c r="F47" s="9" t="s">
        <v>289</v>
      </c>
    </row>
    <row r="48" spans="1:6">
      <c r="A48" s="9" t="s">
        <v>290</v>
      </c>
      <c r="B48" s="9" t="s">
        <v>291</v>
      </c>
      <c r="C48" s="9" t="s">
        <v>292</v>
      </c>
      <c r="D48" s="9" t="s">
        <v>293</v>
      </c>
      <c r="E48" s="9" t="s">
        <v>294</v>
      </c>
      <c r="F48" s="9" t="s">
        <v>295</v>
      </c>
    </row>
    <row r="49" spans="1:6">
      <c r="A49" s="9" t="s">
        <v>296</v>
      </c>
      <c r="B49" s="9" t="s">
        <v>297</v>
      </c>
      <c r="C49" s="9" t="s">
        <v>298</v>
      </c>
      <c r="D49" s="9" t="s">
        <v>299</v>
      </c>
      <c r="E49" s="9" t="s">
        <v>300</v>
      </c>
      <c r="F49" s="9" t="s">
        <v>301</v>
      </c>
    </row>
    <row r="50" spans="1:6">
      <c r="A50" s="9" t="s">
        <v>302</v>
      </c>
      <c r="B50" s="9" t="s">
        <v>303</v>
      </c>
      <c r="C50" s="9" t="s">
        <v>304</v>
      </c>
      <c r="D50" s="9" t="s">
        <v>305</v>
      </c>
      <c r="E50" s="9" t="s">
        <v>306</v>
      </c>
      <c r="F50" s="9" t="s">
        <v>307</v>
      </c>
    </row>
    <row r="51" spans="1:6">
      <c r="A51" s="9" t="s">
        <v>308</v>
      </c>
      <c r="B51" s="9" t="s">
        <v>309</v>
      </c>
      <c r="C51" s="9" t="s">
        <v>310</v>
      </c>
      <c r="D51" s="9" t="s">
        <v>311</v>
      </c>
      <c r="E51" s="9" t="s">
        <v>312</v>
      </c>
      <c r="F51" s="9" t="s">
        <v>313</v>
      </c>
    </row>
    <row r="52" spans="1:6">
      <c r="A52" s="9" t="s">
        <v>314</v>
      </c>
      <c r="B52" s="9" t="s">
        <v>315</v>
      </c>
      <c r="C52" s="9" t="s">
        <v>316</v>
      </c>
      <c r="D52" s="9" t="s">
        <v>317</v>
      </c>
      <c r="E52" s="9" t="s">
        <v>318</v>
      </c>
      <c r="F52" s="9" t="s">
        <v>319</v>
      </c>
    </row>
    <row r="53" spans="1:6">
      <c r="A53" s="9" t="s">
        <v>320</v>
      </c>
      <c r="B53" s="9" t="s">
        <v>321</v>
      </c>
      <c r="C53" s="9" t="s">
        <v>322</v>
      </c>
      <c r="D53" s="9" t="s">
        <v>323</v>
      </c>
      <c r="E53" s="9" t="s">
        <v>324</v>
      </c>
      <c r="F53" s="9" t="s">
        <v>325</v>
      </c>
    </row>
    <row r="54" spans="1:6">
      <c r="A54" s="9" t="s">
        <v>326</v>
      </c>
      <c r="B54" s="9" t="s">
        <v>327</v>
      </c>
      <c r="C54" s="9" t="s">
        <v>328</v>
      </c>
      <c r="D54" s="9" t="s">
        <v>329</v>
      </c>
      <c r="E54" s="9" t="s">
        <v>330</v>
      </c>
      <c r="F54" s="9" t="s">
        <v>331</v>
      </c>
    </row>
    <row r="55" spans="1:6">
      <c r="A55" s="9" t="s">
        <v>332</v>
      </c>
      <c r="B55" s="9" t="s">
        <v>333</v>
      </c>
      <c r="C55" s="9" t="s">
        <v>334</v>
      </c>
      <c r="D55" s="9" t="s">
        <v>335</v>
      </c>
      <c r="E55" s="9" t="s">
        <v>336</v>
      </c>
      <c r="F55" s="9" t="s">
        <v>337</v>
      </c>
    </row>
    <row r="56" spans="1:6">
      <c r="A56" s="9" t="s">
        <v>338</v>
      </c>
      <c r="B56" s="9" t="s">
        <v>339</v>
      </c>
      <c r="C56" s="9" t="s">
        <v>340</v>
      </c>
      <c r="D56" s="9" t="s">
        <v>341</v>
      </c>
      <c r="E56" s="9" t="s">
        <v>342</v>
      </c>
      <c r="F56" s="9" t="s">
        <v>343</v>
      </c>
    </row>
    <row r="57" spans="1:6">
      <c r="A57" s="9" t="s">
        <v>344</v>
      </c>
      <c r="B57" s="9" t="s">
        <v>345</v>
      </c>
      <c r="C57" s="9" t="s">
        <v>346</v>
      </c>
      <c r="D57" s="9" t="s">
        <v>347</v>
      </c>
      <c r="E57" s="9" t="s">
        <v>348</v>
      </c>
      <c r="F57" s="9" t="s">
        <v>349</v>
      </c>
    </row>
    <row r="58" spans="1:6">
      <c r="A58" s="9" t="s">
        <v>350</v>
      </c>
      <c r="B58" s="9" t="s">
        <v>351</v>
      </c>
      <c r="C58" s="9" t="s">
        <v>352</v>
      </c>
      <c r="D58" s="9" t="s">
        <v>353</v>
      </c>
      <c r="E58" s="9" t="s">
        <v>354</v>
      </c>
      <c r="F58" s="9" t="s">
        <v>355</v>
      </c>
    </row>
    <row r="59" spans="1:6">
      <c r="A59" s="9" t="s">
        <v>356</v>
      </c>
      <c r="B59" s="9" t="s">
        <v>357</v>
      </c>
      <c r="C59" s="9" t="s">
        <v>358</v>
      </c>
      <c r="D59" s="9" t="s">
        <v>359</v>
      </c>
      <c r="E59" s="9" t="s">
        <v>360</v>
      </c>
      <c r="F59" s="9" t="s">
        <v>361</v>
      </c>
    </row>
    <row r="60" spans="1:6">
      <c r="A60" s="9" t="s">
        <v>362</v>
      </c>
      <c r="B60" s="9" t="s">
        <v>363</v>
      </c>
      <c r="C60" s="9" t="s">
        <v>364</v>
      </c>
      <c r="D60" s="9" t="s">
        <v>365</v>
      </c>
      <c r="E60" s="9" t="s">
        <v>366</v>
      </c>
      <c r="F60" s="9" t="s">
        <v>367</v>
      </c>
    </row>
    <row r="61" spans="1:6">
      <c r="A61" s="9" t="s">
        <v>368</v>
      </c>
      <c r="B61" s="9" t="s">
        <v>369</v>
      </c>
      <c r="C61" s="9" t="s">
        <v>370</v>
      </c>
      <c r="D61" s="9" t="s">
        <v>371</v>
      </c>
      <c r="E61" s="9" t="s">
        <v>372</v>
      </c>
      <c r="F61" s="9" t="s">
        <v>373</v>
      </c>
    </row>
    <row r="62" spans="1:6">
      <c r="A62" s="9" t="s">
        <v>374</v>
      </c>
      <c r="B62" s="9" t="s">
        <v>375</v>
      </c>
      <c r="C62" s="9" t="s">
        <v>376</v>
      </c>
      <c r="D62" s="9" t="s">
        <v>377</v>
      </c>
      <c r="E62" s="9" t="s">
        <v>378</v>
      </c>
      <c r="F62" s="9" t="s">
        <v>379</v>
      </c>
    </row>
    <row r="63" spans="1:6">
      <c r="A63" s="9" t="s">
        <v>380</v>
      </c>
      <c r="B63" s="9" t="s">
        <v>381</v>
      </c>
      <c r="C63" s="9" t="s">
        <v>382</v>
      </c>
      <c r="D63" s="9" t="s">
        <v>383</v>
      </c>
      <c r="E63" s="9" t="s">
        <v>384</v>
      </c>
      <c r="F63" s="9" t="s">
        <v>385</v>
      </c>
    </row>
    <row r="64" spans="1:6">
      <c r="A64" s="9" t="s">
        <v>386</v>
      </c>
      <c r="B64" s="9" t="s">
        <v>387</v>
      </c>
      <c r="C64" s="9" t="s">
        <v>388</v>
      </c>
      <c r="D64" s="9" t="s">
        <v>389</v>
      </c>
      <c r="E64" s="9" t="s">
        <v>390</v>
      </c>
      <c r="F64" s="9" t="s">
        <v>391</v>
      </c>
    </row>
    <row r="65" spans="1:6">
      <c r="A65" s="9" t="s">
        <v>392</v>
      </c>
      <c r="B65" s="9" t="s">
        <v>393</v>
      </c>
      <c r="C65" s="9" t="s">
        <v>394</v>
      </c>
      <c r="D65" s="9" t="s">
        <v>395</v>
      </c>
      <c r="E65" s="9" t="s">
        <v>396</v>
      </c>
      <c r="F65" s="9" t="s">
        <v>397</v>
      </c>
    </row>
    <row r="66" spans="1:6">
      <c r="A66" s="9" t="s">
        <v>398</v>
      </c>
      <c r="B66" s="9" t="s">
        <v>399</v>
      </c>
      <c r="C66" s="9" t="s">
        <v>400</v>
      </c>
      <c r="D66" s="9" t="s">
        <v>401</v>
      </c>
      <c r="E66" s="9" t="s">
        <v>402</v>
      </c>
      <c r="F66" s="9" t="s">
        <v>403</v>
      </c>
    </row>
    <row r="67" spans="1:6">
      <c r="A67" s="9" t="s">
        <v>404</v>
      </c>
      <c r="B67" s="9" t="s">
        <v>405</v>
      </c>
      <c r="C67" s="9" t="s">
        <v>406</v>
      </c>
      <c r="D67" s="9" t="s">
        <v>407</v>
      </c>
      <c r="E67" s="9" t="s">
        <v>408</v>
      </c>
      <c r="F67" s="9" t="s">
        <v>409</v>
      </c>
    </row>
    <row r="68" spans="1:6">
      <c r="A68" s="9" t="s">
        <v>410</v>
      </c>
      <c r="B68" s="9" t="s">
        <v>411</v>
      </c>
      <c r="C68" s="9" t="s">
        <v>412</v>
      </c>
      <c r="D68" s="9" t="s">
        <v>413</v>
      </c>
      <c r="E68" s="9" t="s">
        <v>414</v>
      </c>
      <c r="F68" s="9" t="s">
        <v>415</v>
      </c>
    </row>
    <row r="69" spans="1:6">
      <c r="A69" s="9" t="s">
        <v>416</v>
      </c>
      <c r="B69" s="9" t="s">
        <v>417</v>
      </c>
      <c r="C69" s="9" t="s">
        <v>418</v>
      </c>
      <c r="D69" s="9" t="s">
        <v>419</v>
      </c>
      <c r="E69" s="9" t="s">
        <v>420</v>
      </c>
      <c r="F69" s="9" t="s">
        <v>421</v>
      </c>
    </row>
    <row r="70" spans="1:6">
      <c r="A70" s="9" t="s">
        <v>422</v>
      </c>
      <c r="B70" s="9" t="s">
        <v>423</v>
      </c>
      <c r="C70" s="9" t="s">
        <v>424</v>
      </c>
      <c r="D70" s="9" t="s">
        <v>425</v>
      </c>
      <c r="E70" s="9" t="s">
        <v>426</v>
      </c>
      <c r="F70" s="9" t="s">
        <v>427</v>
      </c>
    </row>
    <row r="71" spans="1:6">
      <c r="A71" s="9" t="s">
        <v>428</v>
      </c>
      <c r="B71" s="9" t="s">
        <v>429</v>
      </c>
      <c r="C71" s="9" t="s">
        <v>430</v>
      </c>
      <c r="D71" s="9" t="s">
        <v>431</v>
      </c>
      <c r="E71" s="9" t="s">
        <v>432</v>
      </c>
      <c r="F71" s="9" t="s">
        <v>433</v>
      </c>
    </row>
    <row r="72" spans="1:6">
      <c r="A72" s="9" t="s">
        <v>434</v>
      </c>
      <c r="B72" s="9" t="s">
        <v>435</v>
      </c>
      <c r="C72" s="9" t="s">
        <v>436</v>
      </c>
      <c r="D72" s="9" t="s">
        <v>437</v>
      </c>
      <c r="E72" s="9" t="s">
        <v>438</v>
      </c>
      <c r="F72" s="9" t="s">
        <v>439</v>
      </c>
    </row>
    <row r="73" spans="1:6">
      <c r="A73" s="9" t="s">
        <v>440</v>
      </c>
      <c r="B73" s="9" t="s">
        <v>441</v>
      </c>
      <c r="C73" s="9" t="s">
        <v>442</v>
      </c>
      <c r="D73" s="9" t="s">
        <v>443</v>
      </c>
      <c r="E73" s="9" t="s">
        <v>444</v>
      </c>
      <c r="F73" s="9" t="s">
        <v>445</v>
      </c>
    </row>
    <row r="74" spans="1:6">
      <c r="A74" s="9" t="s">
        <v>446</v>
      </c>
      <c r="B74" s="9" t="s">
        <v>447</v>
      </c>
      <c r="C74" s="9" t="s">
        <v>448</v>
      </c>
      <c r="D74" s="9" t="s">
        <v>449</v>
      </c>
      <c r="E74" s="9" t="s">
        <v>450</v>
      </c>
      <c r="F74" s="9" t="s">
        <v>451</v>
      </c>
    </row>
    <row r="75" spans="1:6">
      <c r="A75" s="9" t="s">
        <v>452</v>
      </c>
      <c r="B75" s="9" t="s">
        <v>453</v>
      </c>
      <c r="C75" s="9" t="s">
        <v>454</v>
      </c>
      <c r="D75" s="9" t="s">
        <v>455</v>
      </c>
      <c r="E75" s="9" t="s">
        <v>456</v>
      </c>
      <c r="F75" s="9" t="s">
        <v>457</v>
      </c>
    </row>
    <row r="76" spans="1:6">
      <c r="A76" s="9" t="s">
        <v>458</v>
      </c>
      <c r="B76" s="9" t="s">
        <v>459</v>
      </c>
      <c r="C76" s="9" t="s">
        <v>460</v>
      </c>
      <c r="D76" s="9" t="s">
        <v>461</v>
      </c>
      <c r="E76" s="9" t="s">
        <v>462</v>
      </c>
      <c r="F76" s="9" t="s">
        <v>463</v>
      </c>
    </row>
    <row r="77" spans="1:6">
      <c r="A77" s="9" t="s">
        <v>464</v>
      </c>
      <c r="B77" s="9" t="s">
        <v>465</v>
      </c>
      <c r="C77" s="9" t="s">
        <v>466</v>
      </c>
      <c r="D77" s="9" t="s">
        <v>467</v>
      </c>
      <c r="E77" s="9" t="s">
        <v>468</v>
      </c>
      <c r="F77" s="9" t="s">
        <v>469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86"/>
  <sheetViews>
    <sheetView tabSelected="1" topLeftCell="A50" workbookViewId="0">
      <selection activeCell="G86" sqref="G86"/>
    </sheetView>
  </sheetViews>
  <sheetFormatPr defaultRowHeight="14.4"/>
  <sheetData>
    <row r="2" spans="2:23">
      <c r="I2" t="s">
        <v>3</v>
      </c>
    </row>
    <row r="3" spans="2:23">
      <c r="H3" s="2" t="s">
        <v>4</v>
      </c>
      <c r="I3" s="3"/>
      <c r="J3" s="3"/>
      <c r="V3" s="6" t="s">
        <v>9</v>
      </c>
    </row>
    <row r="4" spans="2:23">
      <c r="V4" s="8" t="s">
        <v>10</v>
      </c>
    </row>
    <row r="5" spans="2:23">
      <c r="D5" s="4" t="s">
        <v>5</v>
      </c>
      <c r="I5" s="5" t="s">
        <v>6</v>
      </c>
    </row>
    <row r="7" spans="2:23">
      <c r="B7" t="s">
        <v>0</v>
      </c>
      <c r="C7" t="s">
        <v>1</v>
      </c>
      <c r="D7" s="9" t="s">
        <v>2</v>
      </c>
      <c r="E7" s="9" t="s">
        <v>11</v>
      </c>
      <c r="F7" s="9" t="s">
        <v>12</v>
      </c>
      <c r="G7" s="9" t="s">
        <v>13</v>
      </c>
      <c r="H7" t="s">
        <v>0</v>
      </c>
      <c r="I7" t="s">
        <v>1</v>
      </c>
      <c r="J7" t="s">
        <v>2</v>
      </c>
      <c r="K7" t="s">
        <v>11</v>
      </c>
      <c r="L7" t="s">
        <v>12</v>
      </c>
      <c r="M7" t="s">
        <v>13</v>
      </c>
      <c r="V7" s="5" t="s">
        <v>6</v>
      </c>
    </row>
    <row r="8" spans="2:23">
      <c r="B8">
        <v>31631.437063216999</v>
      </c>
      <c r="C8">
        <v>0</v>
      </c>
      <c r="D8" s="9">
        <v>0.864584652686051</v>
      </c>
      <c r="E8" s="9">
        <v>0.92737506065016895</v>
      </c>
      <c r="F8" s="9">
        <v>0.97640535919843596</v>
      </c>
      <c r="G8" s="9">
        <v>0.97894346962561096</v>
      </c>
      <c r="H8">
        <v>516.47806167603005</v>
      </c>
      <c r="I8">
        <v>0</v>
      </c>
      <c r="J8">
        <v>0.87676778750529005</v>
      </c>
      <c r="K8">
        <v>0.92127795710906701</v>
      </c>
      <c r="L8">
        <v>0.96849941427653696</v>
      </c>
      <c r="M8">
        <v>0.98064743561059498</v>
      </c>
      <c r="U8" t="s">
        <v>0</v>
      </c>
      <c r="V8" t="s">
        <v>1</v>
      </c>
      <c r="W8" t="s">
        <v>2</v>
      </c>
    </row>
    <row r="9" spans="2:23">
      <c r="B9">
        <v>105930.40180206001</v>
      </c>
      <c r="C9">
        <v>1</v>
      </c>
      <c r="D9" s="9">
        <v>0.88492964139809305</v>
      </c>
      <c r="E9" s="9">
        <v>0.93895243829018604</v>
      </c>
      <c r="F9" s="9">
        <v>0.97416979593036501</v>
      </c>
      <c r="G9" s="9">
        <v>0.98496101348500498</v>
      </c>
      <c r="H9">
        <v>45.124292373656999</v>
      </c>
      <c r="I9">
        <v>1</v>
      </c>
      <c r="J9">
        <v>0.85975022163975001</v>
      </c>
      <c r="K9">
        <v>0.91444953290061104</v>
      </c>
      <c r="L9">
        <v>0.95158345469167704</v>
      </c>
      <c r="M9">
        <v>0.98753034304101495</v>
      </c>
      <c r="U9">
        <v>1040.5108928679999</v>
      </c>
      <c r="V9">
        <v>0</v>
      </c>
      <c r="W9">
        <v>0.93054479899513998</v>
      </c>
    </row>
    <row r="10" spans="2:23">
      <c r="B10">
        <v>20426.547765732001</v>
      </c>
      <c r="C10">
        <v>2</v>
      </c>
      <c r="D10" s="9">
        <v>0.85669823015851998</v>
      </c>
      <c r="E10" s="9">
        <v>0.92281903030130796</v>
      </c>
      <c r="F10" s="9">
        <v>0.95640054180326195</v>
      </c>
      <c r="G10" s="9">
        <v>0.98747536162688199</v>
      </c>
      <c r="H10">
        <v>25.734663009643999</v>
      </c>
      <c r="I10">
        <v>2</v>
      </c>
      <c r="J10">
        <v>0.88387511465156998</v>
      </c>
      <c r="K10">
        <v>0.92153505613782405</v>
      </c>
      <c r="L10">
        <v>0.96180052996058696</v>
      </c>
      <c r="M10">
        <v>0.98823477874500099</v>
      </c>
      <c r="U10">
        <v>671.68617248534997</v>
      </c>
      <c r="V10">
        <v>1</v>
      </c>
      <c r="W10">
        <v>0.92999765721743999</v>
      </c>
    </row>
    <row r="11" spans="2:23">
      <c r="B11">
        <v>15612.75434494</v>
      </c>
      <c r="C11">
        <v>3</v>
      </c>
      <c r="D11" s="9">
        <v>0.88175784314986505</v>
      </c>
      <c r="E11" s="9">
        <v>0.93716398883067198</v>
      </c>
      <c r="F11" s="9">
        <v>0.97527333774372704</v>
      </c>
      <c r="G11" s="9">
        <v>0.98358037839248702</v>
      </c>
      <c r="H11">
        <v>24.735927581786999</v>
      </c>
      <c r="I11">
        <v>3</v>
      </c>
      <c r="J11">
        <v>0.85658758531037005</v>
      </c>
      <c r="K11">
        <v>0.929842742142032</v>
      </c>
      <c r="L11">
        <v>0.96738515524436497</v>
      </c>
      <c r="M11">
        <v>0.985077816161544</v>
      </c>
      <c r="U11">
        <v>925.08506774902003</v>
      </c>
      <c r="V11">
        <v>2</v>
      </c>
      <c r="W11">
        <v>0.93259511077847002</v>
      </c>
    </row>
    <row r="12" spans="2:23">
      <c r="B12">
        <v>3884.2408657074002</v>
      </c>
      <c r="C12">
        <v>4</v>
      </c>
      <c r="D12" s="9">
        <v>0.86707560707954601</v>
      </c>
      <c r="E12" s="9">
        <v>0.92880610061186897</v>
      </c>
      <c r="F12" s="9">
        <v>0.97612353989308998</v>
      </c>
      <c r="G12" s="9">
        <v>0.98278110942089403</v>
      </c>
      <c r="H12">
        <v>26.153564453125</v>
      </c>
      <c r="I12">
        <v>4</v>
      </c>
      <c r="J12">
        <v>0.84764434107552999</v>
      </c>
      <c r="K12">
        <v>0.91072025951644697</v>
      </c>
      <c r="L12">
        <v>0.97921056838494902</v>
      </c>
      <c r="M12">
        <v>0.97413711718871698</v>
      </c>
      <c r="U12">
        <v>699.02896881104004</v>
      </c>
      <c r="V12">
        <v>3</v>
      </c>
      <c r="W12">
        <v>0.93481036904610004</v>
      </c>
    </row>
    <row r="13" spans="2:23">
      <c r="B13">
        <v>4490.5872344971003</v>
      </c>
      <c r="C13">
        <v>5</v>
      </c>
      <c r="D13" s="9">
        <v>0.85378266956461202</v>
      </c>
      <c r="E13" s="9">
        <v>0.92112488004339299</v>
      </c>
      <c r="F13" s="9">
        <v>0.95869340536221404</v>
      </c>
      <c r="G13" s="9">
        <v>0.98484311206862296</v>
      </c>
      <c r="H13">
        <v>24.775743484496999</v>
      </c>
      <c r="I13">
        <v>5</v>
      </c>
      <c r="J13">
        <v>0.88137396517713995</v>
      </c>
      <c r="K13">
        <v>0.93113847824477403</v>
      </c>
      <c r="L13">
        <v>0.95069244259882602</v>
      </c>
      <c r="M13">
        <v>0.99045780218715296</v>
      </c>
      <c r="U13">
        <v>666.57757759094</v>
      </c>
      <c r="V13">
        <v>4</v>
      </c>
      <c r="W13">
        <v>0.94088215833649003</v>
      </c>
    </row>
    <row r="14" spans="2:23">
      <c r="B14">
        <v>4702.3766040802002</v>
      </c>
      <c r="C14">
        <v>6</v>
      </c>
      <c r="D14" s="9">
        <v>0.85168014100157097</v>
      </c>
      <c r="E14" s="9">
        <v>0.91989984894572396</v>
      </c>
      <c r="F14" s="9">
        <v>0.96527645086765401</v>
      </c>
      <c r="G14" s="9">
        <v>0.98354791641223005</v>
      </c>
      <c r="H14">
        <v>25.252342224121001</v>
      </c>
      <c r="I14">
        <v>6</v>
      </c>
      <c r="J14">
        <v>0.85807570947846001</v>
      </c>
      <c r="K14">
        <v>0.88815388985836596</v>
      </c>
      <c r="L14">
        <v>0.98133732713934596</v>
      </c>
      <c r="M14">
        <v>0.97280992882068495</v>
      </c>
      <c r="U14">
        <v>665.88354110718001</v>
      </c>
      <c r="V14">
        <v>5</v>
      </c>
      <c r="W14">
        <v>0.91230168980002002</v>
      </c>
    </row>
    <row r="15" spans="2:23">
      <c r="B15">
        <v>5621.3133335113998</v>
      </c>
      <c r="C15">
        <v>7</v>
      </c>
      <c r="D15" s="9">
        <v>0.82440861691268996</v>
      </c>
      <c r="E15" s="9">
        <v>0.90375435554319505</v>
      </c>
      <c r="F15" s="9">
        <v>0.97700279418526503</v>
      </c>
      <c r="G15" s="9">
        <v>0.97115775712595998</v>
      </c>
      <c r="H15">
        <v>24.701833724976002</v>
      </c>
      <c r="I15">
        <v>7</v>
      </c>
      <c r="J15">
        <v>0.84238325219833998</v>
      </c>
      <c r="K15">
        <v>0.92307117597250499</v>
      </c>
      <c r="L15">
        <v>0.96828548290185201</v>
      </c>
      <c r="M15">
        <v>0.98405121773857496</v>
      </c>
      <c r="U15">
        <v>662.44316101074003</v>
      </c>
      <c r="V15">
        <v>6</v>
      </c>
      <c r="W15">
        <v>0.93266715411487999</v>
      </c>
    </row>
    <row r="16" spans="2:23">
      <c r="B16">
        <v>4925.4529476165999</v>
      </c>
      <c r="C16">
        <v>8</v>
      </c>
      <c r="D16" s="9">
        <v>0.85932381529585899</v>
      </c>
      <c r="E16" s="9">
        <v>0.9243401372333</v>
      </c>
      <c r="F16" s="9">
        <v>0.96799059767015705</v>
      </c>
      <c r="G16" s="9">
        <v>0.98431383058551103</v>
      </c>
      <c r="H16">
        <v>25.173425674438</v>
      </c>
      <c r="I16">
        <v>8</v>
      </c>
      <c r="J16">
        <v>0.88366302393138996</v>
      </c>
      <c r="K16">
        <v>0.93527791942886196</v>
      </c>
      <c r="L16">
        <v>0.96996107632425099</v>
      </c>
      <c r="M16">
        <v>0.98676370061780105</v>
      </c>
      <c r="U16">
        <v>669.53730583190998</v>
      </c>
      <c r="V16">
        <v>7</v>
      </c>
      <c r="W16">
        <v>0.92609263279341003</v>
      </c>
    </row>
    <row r="17" spans="2:23">
      <c r="B17">
        <v>4717.7793979645003</v>
      </c>
      <c r="C17">
        <v>9</v>
      </c>
      <c r="D17" s="9">
        <v>0.87398428045163701</v>
      </c>
      <c r="E17" s="9">
        <v>0.93275518857714601</v>
      </c>
      <c r="F17" s="9">
        <v>0.96402376411911395</v>
      </c>
      <c r="G17" s="9">
        <v>0.98460266860768397</v>
      </c>
      <c r="H17">
        <v>24.697780609131001</v>
      </c>
      <c r="I17">
        <v>9</v>
      </c>
      <c r="J17">
        <v>0.87698216852991995</v>
      </c>
      <c r="K17">
        <v>0.92088690796639605</v>
      </c>
      <c r="L17">
        <v>0.95824177733000904</v>
      </c>
      <c r="M17">
        <v>0.98484204075904402</v>
      </c>
      <c r="U17">
        <v>667.66786575316996</v>
      </c>
      <c r="V17">
        <v>8</v>
      </c>
      <c r="W17">
        <v>0.93932692200293</v>
      </c>
    </row>
    <row r="18" spans="2:23">
      <c r="B18">
        <v>4937.1318817138999</v>
      </c>
      <c r="C18">
        <v>10</v>
      </c>
      <c r="D18" s="9">
        <v>0.87455694438553799</v>
      </c>
      <c r="E18" s="9">
        <v>0.933081224344678</v>
      </c>
      <c r="F18" s="9">
        <v>0.97871604670400403</v>
      </c>
      <c r="G18" s="9">
        <v>0.98050702812359203</v>
      </c>
      <c r="H18">
        <v>24.939298629761002</v>
      </c>
      <c r="I18">
        <v>10</v>
      </c>
      <c r="J18">
        <v>0.86622953248870005</v>
      </c>
      <c r="K18">
        <v>0.93445977615950004</v>
      </c>
      <c r="L18">
        <v>0.97898468564858399</v>
      </c>
      <c r="M18">
        <v>0.98422347709496205</v>
      </c>
      <c r="U18">
        <v>657.55820274353005</v>
      </c>
      <c r="V18">
        <v>9</v>
      </c>
      <c r="W18">
        <v>0.93616167899941005</v>
      </c>
    </row>
    <row r="19" spans="2:23">
      <c r="B19">
        <v>5195.5049037933004</v>
      </c>
      <c r="C19">
        <v>11</v>
      </c>
      <c r="D19" s="9">
        <v>0.87699295447229997</v>
      </c>
      <c r="E19" s="9">
        <v>0.93446589917420197</v>
      </c>
      <c r="F19" s="9">
        <v>0.97896871656472995</v>
      </c>
      <c r="G19" s="9">
        <v>0.98422780922179798</v>
      </c>
      <c r="H19">
        <v>25.927066802978999</v>
      </c>
      <c r="I19">
        <v>11</v>
      </c>
      <c r="J19">
        <v>0.87114977879988997</v>
      </c>
      <c r="K19">
        <v>0.90373007122502402</v>
      </c>
      <c r="L19">
        <v>0.976995720298518</v>
      </c>
      <c r="M19">
        <v>0.97115004117013504</v>
      </c>
      <c r="U19">
        <v>667.45829582214003</v>
      </c>
      <c r="V19">
        <v>10</v>
      </c>
      <c r="W19">
        <v>0.93789735623255999</v>
      </c>
    </row>
    <row r="20" spans="2:23">
      <c r="B20">
        <v>5251.6319751740002</v>
      </c>
      <c r="C20">
        <v>12</v>
      </c>
      <c r="D20" s="9">
        <v>0.85709660759571704</v>
      </c>
      <c r="E20" s="9">
        <v>0.92305010314498803</v>
      </c>
      <c r="F20" s="9">
        <v>0.96825935891742199</v>
      </c>
      <c r="G20" s="9">
        <v>0.98404907581240497</v>
      </c>
      <c r="H20">
        <v>25.147676467896002</v>
      </c>
      <c r="I20">
        <v>12</v>
      </c>
      <c r="J20">
        <v>0.87147263397551</v>
      </c>
      <c r="K20">
        <v>0.93876101379841903</v>
      </c>
      <c r="L20">
        <v>0.97129051930384203</v>
      </c>
      <c r="M20">
        <v>0.986383888325292</v>
      </c>
      <c r="U20">
        <v>669.68750953673998</v>
      </c>
      <c r="V20">
        <v>11</v>
      </c>
      <c r="W20">
        <v>0.91828727523078002</v>
      </c>
    </row>
    <row r="21" spans="2:23">
      <c r="B21">
        <v>4757.180929184</v>
      </c>
      <c r="C21">
        <v>13</v>
      </c>
      <c r="D21" s="9">
        <v>0.84781036813480404</v>
      </c>
      <c r="E21" s="9">
        <v>0.91763785154056798</v>
      </c>
      <c r="F21" s="9">
        <v>0.969801584090766</v>
      </c>
      <c r="G21" s="9">
        <v>0.98292517696259096</v>
      </c>
      <c r="H21">
        <v>25.147438049316001</v>
      </c>
      <c r="I21">
        <v>13</v>
      </c>
      <c r="J21">
        <v>0.86623023039457003</v>
      </c>
      <c r="K21">
        <v>0.93105640684272695</v>
      </c>
      <c r="L21">
        <v>0.96703481775634603</v>
      </c>
      <c r="M21">
        <v>0.98670813028981696</v>
      </c>
      <c r="U21">
        <v>657.88078308105003</v>
      </c>
      <c r="V21">
        <v>12</v>
      </c>
      <c r="W21">
        <v>0.92812201519126003</v>
      </c>
    </row>
    <row r="22" spans="2:23">
      <c r="B22">
        <v>5928.6425113677997</v>
      </c>
      <c r="C22">
        <v>14</v>
      </c>
      <c r="D22" s="9">
        <v>0.85650684708925495</v>
      </c>
      <c r="E22" s="9">
        <v>0.92270798616459604</v>
      </c>
      <c r="F22" s="9">
        <v>0.98438083571119095</v>
      </c>
      <c r="G22" s="9">
        <v>0.97814916770707805</v>
      </c>
      <c r="H22">
        <v>25.207757949828999</v>
      </c>
      <c r="I22">
        <v>14</v>
      </c>
      <c r="J22">
        <v>0.87843982817638999</v>
      </c>
      <c r="K22">
        <v>0.92690339818053402</v>
      </c>
      <c r="L22">
        <v>0.96876915241654904</v>
      </c>
      <c r="M22">
        <v>0.984901295017095</v>
      </c>
      <c r="U22">
        <v>662.35542297362997</v>
      </c>
      <c r="V22">
        <v>13</v>
      </c>
      <c r="W22">
        <v>0.92795149768141005</v>
      </c>
    </row>
    <row r="23" spans="2:23">
      <c r="B23">
        <v>4832.2708606719998</v>
      </c>
      <c r="C23">
        <v>15</v>
      </c>
      <c r="D23" s="9">
        <v>0.87951558077315795</v>
      </c>
      <c r="E23" s="9">
        <v>0.93589602530601002</v>
      </c>
      <c r="F23" s="9">
        <v>0.97812306851992903</v>
      </c>
      <c r="G23" s="9">
        <v>0.98284647374081002</v>
      </c>
      <c r="H23">
        <v>24.837255477905</v>
      </c>
      <c r="I23">
        <v>15</v>
      </c>
      <c r="J23">
        <v>0.87979417297485996</v>
      </c>
      <c r="K23">
        <v>0.90591289720993096</v>
      </c>
      <c r="L23">
        <v>0.97561893426913604</v>
      </c>
      <c r="M23">
        <v>0.97819667411247002</v>
      </c>
      <c r="U23">
        <v>676.30290985107001</v>
      </c>
      <c r="V23">
        <v>14</v>
      </c>
      <c r="W23">
        <v>0.93761455065080002</v>
      </c>
    </row>
    <row r="24" spans="2:23">
      <c r="B24">
        <v>4600.4810333251999</v>
      </c>
      <c r="C24">
        <v>16</v>
      </c>
      <c r="D24" s="9">
        <v>0.87070458059321798</v>
      </c>
      <c r="E24" s="9">
        <v>0.93088410604854499</v>
      </c>
      <c r="F24" s="9">
        <v>0.96735533919100702</v>
      </c>
      <c r="G24" s="9">
        <v>0.984794729388904</v>
      </c>
      <c r="H24">
        <v>25.155305862426999</v>
      </c>
      <c r="I24">
        <v>16</v>
      </c>
      <c r="J24">
        <v>0.87146869555942996</v>
      </c>
      <c r="K24">
        <v>0.93736066825519204</v>
      </c>
      <c r="L24">
        <v>0.97985688844678998</v>
      </c>
      <c r="M24">
        <v>0.98504845668121999</v>
      </c>
      <c r="U24">
        <v>961.69471740722997</v>
      </c>
      <c r="V24">
        <v>15</v>
      </c>
      <c r="W24">
        <v>0.93056787620213999</v>
      </c>
    </row>
    <row r="25" spans="2:23">
      <c r="B25">
        <v>4231.9834232330004</v>
      </c>
      <c r="C25">
        <v>17</v>
      </c>
      <c r="D25" s="9">
        <v>0.81223748529917605</v>
      </c>
      <c r="E25" s="9">
        <v>0.89639188228697997</v>
      </c>
      <c r="F25" s="9">
        <v>0.95997428066227297</v>
      </c>
      <c r="G25" s="9">
        <v>0.97959735643850998</v>
      </c>
      <c r="H25">
        <v>24.856090545653998</v>
      </c>
      <c r="I25">
        <v>17</v>
      </c>
      <c r="J25">
        <v>0.85938362899206999</v>
      </c>
      <c r="K25">
        <v>0.91015808829937395</v>
      </c>
      <c r="L25">
        <v>0.963556515080221</v>
      </c>
      <c r="M25">
        <v>0.98227164963640201</v>
      </c>
      <c r="U25">
        <v>664.83259201049998</v>
      </c>
      <c r="V25">
        <v>16</v>
      </c>
      <c r="W25">
        <v>0.93082491807664003</v>
      </c>
    </row>
    <row r="26" spans="2:23">
      <c r="B26">
        <v>4111.6123199463</v>
      </c>
      <c r="C26">
        <v>18</v>
      </c>
      <c r="D26" s="9">
        <v>0.85797767376238099</v>
      </c>
      <c r="E26" s="9">
        <v>0.92356080041046695</v>
      </c>
      <c r="F26" s="9">
        <v>0.95315809539947405</v>
      </c>
      <c r="G26" s="9">
        <v>0.98902166531118696</v>
      </c>
      <c r="H26">
        <v>25.172710418701001</v>
      </c>
      <c r="I26">
        <v>18</v>
      </c>
      <c r="J26">
        <v>0.85806285265423998</v>
      </c>
      <c r="K26">
        <v>0.92444763579039402</v>
      </c>
      <c r="L26">
        <v>0.96794738843375105</v>
      </c>
      <c r="M26">
        <v>0.98435027764080296</v>
      </c>
      <c r="U26">
        <v>660.47596931457997</v>
      </c>
      <c r="V26">
        <v>17</v>
      </c>
      <c r="W26">
        <v>0.90821419420958005</v>
      </c>
    </row>
    <row r="27" spans="2:23">
      <c r="B27">
        <v>5149.3837833404996</v>
      </c>
      <c r="C27">
        <v>19</v>
      </c>
      <c r="D27" s="9">
        <v>0.85397451618062503</v>
      </c>
      <c r="E27" s="9">
        <v>0.92123652048885696</v>
      </c>
      <c r="F27" s="9">
        <v>0.96847674111022897</v>
      </c>
      <c r="G27" s="9">
        <v>0.98063761308186204</v>
      </c>
      <c r="H27">
        <v>24.729490280151001</v>
      </c>
      <c r="I27">
        <v>19</v>
      </c>
      <c r="J27">
        <v>0.87382321987226996</v>
      </c>
      <c r="K27">
        <v>0.93823896599838397</v>
      </c>
      <c r="L27">
        <v>0.97533590153152305</v>
      </c>
      <c r="M27">
        <v>0.979885868872169</v>
      </c>
      <c r="U27">
        <v>671.30827903748002</v>
      </c>
      <c r="V27">
        <v>18</v>
      </c>
      <c r="W27">
        <v>0.92634264614994999</v>
      </c>
    </row>
    <row r="28" spans="2:23">
      <c r="B28">
        <v>5126.0385513306001</v>
      </c>
      <c r="C28">
        <v>20</v>
      </c>
      <c r="D28" s="9">
        <v>0.88728629820508198</v>
      </c>
      <c r="E28" s="9">
        <v>0.94027736973340204</v>
      </c>
      <c r="F28" s="9">
        <v>0.96949055123614503</v>
      </c>
      <c r="G28" s="9">
        <v>0.98703237232137697</v>
      </c>
      <c r="H28">
        <v>24.940967559813998</v>
      </c>
      <c r="I28">
        <v>20</v>
      </c>
      <c r="J28">
        <v>0.85962017363923005</v>
      </c>
      <c r="K28">
        <v>0.92337553416669904</v>
      </c>
      <c r="L28">
        <v>0.95968719387670298</v>
      </c>
      <c r="M28">
        <v>0.98456015291159005</v>
      </c>
      <c r="U28">
        <v>681.11634254455998</v>
      </c>
      <c r="V28">
        <v>19</v>
      </c>
      <c r="W28">
        <v>0.92030293291139997</v>
      </c>
    </row>
    <row r="29" spans="2:23">
      <c r="B29">
        <v>4112.6453876494998</v>
      </c>
      <c r="C29">
        <v>21</v>
      </c>
      <c r="D29" s="9">
        <v>0.87834482758620602</v>
      </c>
      <c r="E29" s="9">
        <v>0.93523278014392697</v>
      </c>
      <c r="F29" s="9">
        <v>0.96991030631240405</v>
      </c>
      <c r="G29" s="9">
        <v>0.986758326562023</v>
      </c>
      <c r="H29">
        <v>24.760961532593001</v>
      </c>
      <c r="I29">
        <v>21</v>
      </c>
      <c r="J29">
        <v>0.87842446070730995</v>
      </c>
      <c r="K29">
        <v>0.92780452404248004</v>
      </c>
      <c r="L29">
        <v>0.98174849675353604</v>
      </c>
      <c r="M29">
        <v>0.97826359079453795</v>
      </c>
      <c r="U29">
        <v>667.05942153931005</v>
      </c>
      <c r="V29">
        <v>20</v>
      </c>
      <c r="W29">
        <v>0.92365156090764999</v>
      </c>
    </row>
    <row r="30" spans="2:23">
      <c r="B30">
        <v>4081.2766551970999</v>
      </c>
      <c r="C30">
        <v>22</v>
      </c>
      <c r="D30" s="9">
        <v>0.85943088061963202</v>
      </c>
      <c r="E30" s="9">
        <v>0.92440207331959301</v>
      </c>
      <c r="F30" s="9">
        <v>0.96764262043967197</v>
      </c>
      <c r="G30" s="9">
        <v>0.98188730289460602</v>
      </c>
      <c r="H30">
        <v>25.018930435181002</v>
      </c>
      <c r="I30">
        <v>22</v>
      </c>
      <c r="J30">
        <v>0.85765795174644999</v>
      </c>
      <c r="K30">
        <v>0.93694712639882405</v>
      </c>
      <c r="L30">
        <v>0.96315941340213096</v>
      </c>
      <c r="M30">
        <v>0.98825240882562704</v>
      </c>
      <c r="U30">
        <v>663.44666481017998</v>
      </c>
      <c r="V30">
        <v>21</v>
      </c>
      <c r="W30">
        <v>0.93016868823154997</v>
      </c>
    </row>
    <row r="31" spans="2:23">
      <c r="B31">
        <v>12836.832284927001</v>
      </c>
      <c r="C31">
        <v>23</v>
      </c>
      <c r="D31" s="9">
        <v>0.86671230111716602</v>
      </c>
      <c r="E31" s="9">
        <v>0.92859762117436795</v>
      </c>
      <c r="F31" s="9">
        <v>0.94987160128110104</v>
      </c>
      <c r="G31" s="9">
        <v>0.98943894948459798</v>
      </c>
      <c r="H31">
        <v>24.87587928772</v>
      </c>
      <c r="I31">
        <v>23</v>
      </c>
      <c r="J31">
        <v>0.87100611557315999</v>
      </c>
      <c r="K31">
        <v>0.93132287179029205</v>
      </c>
      <c r="L31">
        <v>0.97815757803097703</v>
      </c>
      <c r="M31">
        <v>0.98298418229572804</v>
      </c>
      <c r="U31">
        <v>664.22319412231002</v>
      </c>
      <c r="V31">
        <v>22</v>
      </c>
      <c r="W31">
        <v>0.93270712607128003</v>
      </c>
    </row>
    <row r="32" spans="2:23">
      <c r="B32">
        <v>11081.079959868999</v>
      </c>
      <c r="C32">
        <v>24</v>
      </c>
      <c r="D32" s="9">
        <v>0.87061554083458204</v>
      </c>
      <c r="E32" s="9">
        <v>0.93083321701278399</v>
      </c>
      <c r="F32" s="9">
        <v>0.94951114298672101</v>
      </c>
      <c r="G32" s="9">
        <v>0.99099147272435595</v>
      </c>
      <c r="H32">
        <v>25.09069442749</v>
      </c>
      <c r="I32">
        <v>24</v>
      </c>
      <c r="J32">
        <v>0.89276484892993002</v>
      </c>
      <c r="K32">
        <v>0.93266345576807597</v>
      </c>
      <c r="L32">
        <v>0.96827323993162595</v>
      </c>
      <c r="M32">
        <v>0.98534517675241595</v>
      </c>
      <c r="U32">
        <v>666.80884361266999</v>
      </c>
      <c r="V32">
        <v>23</v>
      </c>
      <c r="W32">
        <v>0.94010587170021997</v>
      </c>
    </row>
    <row r="33" spans="2:23">
      <c r="B33">
        <v>7301.3231754302997</v>
      </c>
      <c r="C33">
        <v>25</v>
      </c>
      <c r="D33" s="9">
        <v>0.84167714504232405</v>
      </c>
      <c r="E33" s="9">
        <v>0.91403332805433801</v>
      </c>
      <c r="F33" s="9">
        <v>0.98007532132317898</v>
      </c>
      <c r="G33" s="9">
        <v>0.97621706472272496</v>
      </c>
      <c r="H33">
        <v>25.093793869018999</v>
      </c>
      <c r="I33">
        <v>25</v>
      </c>
      <c r="J33">
        <v>0.86695334575472005</v>
      </c>
      <c r="K33">
        <v>0.92879263964554504</v>
      </c>
      <c r="L33">
        <v>0.97613145911700605</v>
      </c>
      <c r="M33">
        <v>0.98277568819723704</v>
      </c>
      <c r="U33">
        <v>669.87681388855003</v>
      </c>
      <c r="V33">
        <v>24</v>
      </c>
      <c r="W33">
        <v>0.90532046563174995</v>
      </c>
    </row>
    <row r="34" spans="2:23">
      <c r="B34">
        <v>5151.2298583984002</v>
      </c>
      <c r="C34">
        <v>26</v>
      </c>
      <c r="D34" s="9">
        <v>0.85663486251452303</v>
      </c>
      <c r="E34" s="9">
        <v>0.92278226571092603</v>
      </c>
      <c r="F34" s="9">
        <v>0.94090122490018002</v>
      </c>
      <c r="G34" s="9">
        <v>0.98923438774614103</v>
      </c>
      <c r="H34">
        <v>24.699449539185</v>
      </c>
      <c r="I34">
        <v>26</v>
      </c>
      <c r="J34">
        <v>0.85337386300353002</v>
      </c>
      <c r="K34">
        <v>0.93891961952249003</v>
      </c>
      <c r="L34">
        <v>0.97417714449482296</v>
      </c>
      <c r="M34">
        <v>0.98494895862442999</v>
      </c>
      <c r="U34">
        <v>870.27025222778002</v>
      </c>
      <c r="V34">
        <v>25</v>
      </c>
      <c r="W34">
        <v>0.91350683711073</v>
      </c>
    </row>
    <row r="35" spans="2:23">
      <c r="B35">
        <v>5657.1993827819997</v>
      </c>
      <c r="C35">
        <v>27</v>
      </c>
      <c r="D35" s="9">
        <v>0.86889314382502303</v>
      </c>
      <c r="E35" s="9">
        <v>0.92984785855298102</v>
      </c>
      <c r="F35" s="9">
        <v>0.96735236002590796</v>
      </c>
      <c r="G35" s="9">
        <v>0.98508429139861797</v>
      </c>
      <c r="H35">
        <v>24.665594100951999</v>
      </c>
      <c r="I35">
        <v>27</v>
      </c>
      <c r="J35">
        <v>0.85950964969497001</v>
      </c>
      <c r="K35">
        <v>0.92308063421173203</v>
      </c>
      <c r="L35">
        <v>0.97728499919734901</v>
      </c>
      <c r="M35">
        <v>0.97892773688194501</v>
      </c>
      <c r="U35">
        <v>672.10006713867006</v>
      </c>
      <c r="V35">
        <v>26</v>
      </c>
      <c r="W35">
        <v>0.92171545937872001</v>
      </c>
    </row>
    <row r="36" spans="2:23">
      <c r="B36">
        <v>5333.9784145354997</v>
      </c>
      <c r="C36">
        <v>28</v>
      </c>
      <c r="D36" s="9">
        <v>0.87113040265977004</v>
      </c>
      <c r="E36" s="9">
        <v>0.93112740984965803</v>
      </c>
      <c r="F36" s="9">
        <v>0.95073275948958802</v>
      </c>
      <c r="G36" s="9">
        <v>0.99045042881429801</v>
      </c>
      <c r="H36">
        <v>24.99532699585</v>
      </c>
      <c r="I36">
        <v>28</v>
      </c>
      <c r="J36">
        <v>0.86705214510309003</v>
      </c>
      <c r="K36">
        <v>0.917540591802539</v>
      </c>
      <c r="L36">
        <v>0.96985552588756696</v>
      </c>
      <c r="M36">
        <v>0.98289103798494604</v>
      </c>
      <c r="U36">
        <v>666.65339469909998</v>
      </c>
      <c r="V36">
        <v>27</v>
      </c>
      <c r="W36">
        <v>0.92435720627964002</v>
      </c>
    </row>
    <row r="37" spans="2:23">
      <c r="B37">
        <v>5109.7977161406998</v>
      </c>
      <c r="C37">
        <v>29</v>
      </c>
      <c r="D37" s="9">
        <v>0.86382880047702604</v>
      </c>
      <c r="E37" s="9">
        <v>0.926940071165269</v>
      </c>
      <c r="F37" s="9">
        <v>0.97736898523999005</v>
      </c>
      <c r="G37" s="9">
        <v>0.98084082279345397</v>
      </c>
      <c r="H37">
        <v>24.903059005736999</v>
      </c>
      <c r="I37">
        <v>29</v>
      </c>
      <c r="J37">
        <v>0.86987969063306003</v>
      </c>
      <c r="K37">
        <v>0.93757699757605195</v>
      </c>
      <c r="L37">
        <v>0.97089505057803405</v>
      </c>
      <c r="M37">
        <v>0.98546486231478803</v>
      </c>
      <c r="U37">
        <v>667.28401184081997</v>
      </c>
      <c r="V37">
        <v>28</v>
      </c>
      <c r="W37">
        <v>0.94299502739597996</v>
      </c>
    </row>
    <row r="38" spans="2:23">
      <c r="B38">
        <v>9542.4191951752</v>
      </c>
      <c r="C38">
        <v>30</v>
      </c>
      <c r="D38" s="9">
        <v>0.87104166333977395</v>
      </c>
      <c r="E38" s="9">
        <v>0.93107671561410399</v>
      </c>
      <c r="F38" s="9">
        <v>0.96698163381080604</v>
      </c>
      <c r="G38" s="9">
        <v>0.98672095409079197</v>
      </c>
      <c r="H38">
        <v>24.628400802611999</v>
      </c>
      <c r="I38">
        <v>30</v>
      </c>
      <c r="J38">
        <v>0.79881008869584003</v>
      </c>
      <c r="K38">
        <v>0.92275483482474197</v>
      </c>
      <c r="L38">
        <v>0.98440324484216501</v>
      </c>
      <c r="M38">
        <v>0.97816119348159203</v>
      </c>
      <c r="U38">
        <v>666.53251647949003</v>
      </c>
      <c r="V38">
        <v>29</v>
      </c>
      <c r="W38">
        <v>0.92897621995860002</v>
      </c>
    </row>
    <row r="39" spans="2:23">
      <c r="B39">
        <v>16190.443992615001</v>
      </c>
      <c r="C39">
        <v>31</v>
      </c>
      <c r="D39" s="9">
        <v>0.87137047464664497</v>
      </c>
      <c r="E39" s="9">
        <v>0.93126453201221804</v>
      </c>
      <c r="F39" s="9">
        <v>0.98230315465503903</v>
      </c>
      <c r="G39" s="9">
        <v>0.98280595102012502</v>
      </c>
      <c r="H39">
        <v>25.017261505126999</v>
      </c>
      <c r="I39">
        <v>31</v>
      </c>
      <c r="J39">
        <v>0.86392822354601995</v>
      </c>
      <c r="K39">
        <v>0.92699730883675602</v>
      </c>
      <c r="L39">
        <v>0.97733900045726796</v>
      </c>
      <c r="M39">
        <v>0.98086486191165601</v>
      </c>
      <c r="U39">
        <v>669.15774345397995</v>
      </c>
      <c r="V39">
        <v>30</v>
      </c>
      <c r="W39">
        <v>0.93414555077239003</v>
      </c>
    </row>
    <row r="40" spans="2:23">
      <c r="B40">
        <v>10099.493026733</v>
      </c>
      <c r="C40">
        <v>32</v>
      </c>
      <c r="D40" s="9">
        <v>0.86382038730334598</v>
      </c>
      <c r="E40" s="9">
        <v>0.92693522743697199</v>
      </c>
      <c r="F40" s="9">
        <v>0.96878641656667797</v>
      </c>
      <c r="G40" s="9">
        <v>0.98490772775372004</v>
      </c>
      <c r="H40">
        <v>24.611949920653998</v>
      </c>
      <c r="I40">
        <v>32</v>
      </c>
      <c r="J40">
        <v>0.85664744972054996</v>
      </c>
      <c r="K40">
        <v>0.92458676615368596</v>
      </c>
      <c r="L40">
        <v>0.97907628377241396</v>
      </c>
      <c r="M40">
        <v>0.97919593283831696</v>
      </c>
      <c r="U40">
        <v>653.64694595337005</v>
      </c>
      <c r="V40">
        <v>31</v>
      </c>
      <c r="W40">
        <v>0.93015058104243997</v>
      </c>
    </row>
    <row r="41" spans="2:23">
      <c r="B41">
        <v>11408.508300781001</v>
      </c>
      <c r="C41">
        <v>33</v>
      </c>
      <c r="D41" s="9">
        <v>0.83610880166776202</v>
      </c>
      <c r="E41" s="9">
        <v>0.91073993099789396</v>
      </c>
      <c r="F41" s="9">
        <v>0.97922510136755303</v>
      </c>
      <c r="G41" s="9">
        <v>0.97414150817051903</v>
      </c>
      <c r="H41">
        <v>24.913787841796999</v>
      </c>
      <c r="I41">
        <v>33</v>
      </c>
      <c r="J41">
        <v>0.88248936199324002</v>
      </c>
      <c r="K41">
        <v>0.93719367561914202</v>
      </c>
      <c r="L41">
        <v>0.97528756482212597</v>
      </c>
      <c r="M41">
        <v>0.98358808765207895</v>
      </c>
      <c r="U41">
        <v>664.60371017455998</v>
      </c>
      <c r="V41">
        <v>32</v>
      </c>
      <c r="W41">
        <v>0.93137308421928999</v>
      </c>
    </row>
    <row r="42" spans="2:23">
      <c r="B42">
        <v>8701.3602256774993</v>
      </c>
      <c r="C42">
        <v>34</v>
      </c>
      <c r="D42" s="9">
        <v>0.89256496047992095</v>
      </c>
      <c r="E42" s="9">
        <v>0.94323310334730304</v>
      </c>
      <c r="F42" s="9">
        <v>0.97299583157131597</v>
      </c>
      <c r="G42" s="9">
        <v>0.98697486879906304</v>
      </c>
      <c r="H42">
        <v>25.944709777831999</v>
      </c>
      <c r="I42">
        <v>34</v>
      </c>
      <c r="J42">
        <v>0.87460085675680999</v>
      </c>
      <c r="K42">
        <v>0.92832046370367405</v>
      </c>
      <c r="L42">
        <v>0.95009396109502697</v>
      </c>
      <c r="M42">
        <v>0.98996875167739995</v>
      </c>
      <c r="U42">
        <v>667.78111457825003</v>
      </c>
      <c r="V42">
        <v>33</v>
      </c>
      <c r="W42">
        <v>0.92665956546082995</v>
      </c>
    </row>
    <row r="43" spans="2:23">
      <c r="B43">
        <v>8278.7563800812004</v>
      </c>
      <c r="C43">
        <v>35</v>
      </c>
      <c r="D43" s="9">
        <v>0.85995660905113602</v>
      </c>
      <c r="E43" s="9">
        <v>0.924706097837246</v>
      </c>
      <c r="F43" s="9">
        <v>0.96125825491787598</v>
      </c>
      <c r="G43" s="9">
        <v>0.98761049634954901</v>
      </c>
      <c r="H43">
        <v>24.899482727051002</v>
      </c>
      <c r="I43">
        <v>35</v>
      </c>
      <c r="J43">
        <v>0.82800802139037</v>
      </c>
      <c r="K43">
        <v>0.93433806072592296</v>
      </c>
      <c r="L43">
        <v>0.96872296245025002</v>
      </c>
      <c r="M43">
        <v>0.98700744697726395</v>
      </c>
      <c r="U43">
        <v>663.17057609558003</v>
      </c>
      <c r="V43">
        <v>34</v>
      </c>
      <c r="W43">
        <v>0.93419858083914997</v>
      </c>
    </row>
    <row r="44" spans="2:23">
      <c r="B44">
        <v>10641.392946243001</v>
      </c>
      <c r="C44">
        <v>36</v>
      </c>
      <c r="D44" s="9">
        <v>0.86861061439319798</v>
      </c>
      <c r="E44" s="9">
        <v>0.92968605412237304</v>
      </c>
      <c r="F44" s="9">
        <v>0.96656686158380301</v>
      </c>
      <c r="G44" s="9">
        <v>0.98724569681593499</v>
      </c>
      <c r="H44">
        <v>25.360584259033001</v>
      </c>
      <c r="I44">
        <v>36</v>
      </c>
      <c r="J44">
        <v>0.86864724886335998</v>
      </c>
      <c r="K44">
        <v>0.91608885090734804</v>
      </c>
      <c r="L44">
        <v>0.97781094733641505</v>
      </c>
      <c r="M44">
        <v>0.97487346008529996</v>
      </c>
      <c r="U44">
        <v>657.20319747924998</v>
      </c>
      <c r="V44">
        <v>35</v>
      </c>
      <c r="W44">
        <v>0.92857957486380005</v>
      </c>
    </row>
    <row r="45" spans="2:23">
      <c r="B45">
        <v>7159.7144603729002</v>
      </c>
      <c r="C45">
        <v>37</v>
      </c>
      <c r="D45" s="9">
        <v>0.86402236002077104</v>
      </c>
      <c r="E45" s="9">
        <v>0.92705149739850001</v>
      </c>
      <c r="F45" s="9">
        <v>0.959041822774509</v>
      </c>
      <c r="G45" s="9">
        <v>0.98605848687193798</v>
      </c>
      <c r="H45">
        <v>24.965524673461999</v>
      </c>
      <c r="I45">
        <v>37</v>
      </c>
      <c r="J45">
        <v>0.83607564307783999</v>
      </c>
      <c r="K45">
        <v>0.91404880726970605</v>
      </c>
      <c r="L45">
        <v>0.980067774096408</v>
      </c>
      <c r="M45">
        <v>0.97622361439049299</v>
      </c>
      <c r="U45">
        <v>862.14351654052996</v>
      </c>
      <c r="V45">
        <v>36</v>
      </c>
      <c r="W45">
        <v>0.90318476565705996</v>
      </c>
    </row>
    <row r="46" spans="2:23">
      <c r="B46">
        <v>6922.3074913025002</v>
      </c>
      <c r="C46">
        <v>38</v>
      </c>
      <c r="D46" s="9">
        <v>0.87687668872616198</v>
      </c>
      <c r="E46" s="9">
        <v>0.93439989317710404</v>
      </c>
      <c r="F46" s="9">
        <v>0.96871431043433098</v>
      </c>
      <c r="G46" s="9">
        <v>0.98702566784852197</v>
      </c>
      <c r="H46">
        <v>24.828195571898998</v>
      </c>
      <c r="I46">
        <v>38</v>
      </c>
      <c r="J46">
        <v>0.85668442615744</v>
      </c>
      <c r="K46">
        <v>0.91989024587076895</v>
      </c>
      <c r="L46">
        <v>0.96525039517795996</v>
      </c>
      <c r="M46">
        <v>0.98354898772066202</v>
      </c>
      <c r="U46">
        <v>761.11292839049997</v>
      </c>
      <c r="V46">
        <v>37</v>
      </c>
      <c r="W46">
        <v>0.93602300296523</v>
      </c>
    </row>
    <row r="47" spans="2:23">
      <c r="B47">
        <v>6188.4126663207999</v>
      </c>
      <c r="C47">
        <v>39</v>
      </c>
      <c r="D47" s="9">
        <v>0.87136501924964604</v>
      </c>
      <c r="E47" s="9">
        <v>0.93126141643818205</v>
      </c>
      <c r="F47" s="9">
        <v>0.97811850393085398</v>
      </c>
      <c r="G47" s="9">
        <v>0.98297114751676595</v>
      </c>
      <c r="H47">
        <v>24.650096893311002</v>
      </c>
      <c r="I47">
        <v>39</v>
      </c>
      <c r="J47">
        <v>0.83512854344089005</v>
      </c>
      <c r="K47">
        <v>0.925093392459857</v>
      </c>
      <c r="L47">
        <v>0.97039431976670398</v>
      </c>
      <c r="M47">
        <v>0.98255065135561703</v>
      </c>
      <c r="U47">
        <v>665.22431373595998</v>
      </c>
      <c r="V47">
        <v>38</v>
      </c>
      <c r="W47">
        <v>0.93456393238618996</v>
      </c>
    </row>
    <row r="48" spans="2:23">
      <c r="B48">
        <v>5168.5841083527002</v>
      </c>
      <c r="C48">
        <v>40</v>
      </c>
      <c r="D48" s="9">
        <v>0.86540681336081005</v>
      </c>
      <c r="E48" s="9">
        <v>0.92784781009955697</v>
      </c>
      <c r="F48" s="9">
        <v>0.98181020356391102</v>
      </c>
      <c r="G48" s="9">
        <v>0.97826802182281403</v>
      </c>
      <c r="H48">
        <v>24.890661239623999</v>
      </c>
      <c r="I48">
        <v>40</v>
      </c>
      <c r="J48">
        <v>0.86405639051808003</v>
      </c>
      <c r="K48">
        <v>0.89636022514071201</v>
      </c>
      <c r="L48">
        <v>0.95997428066227297</v>
      </c>
      <c r="M48">
        <v>0.97958887124676097</v>
      </c>
      <c r="U48">
        <v>665.10796546936001</v>
      </c>
      <c r="V48">
        <v>39</v>
      </c>
      <c r="W48">
        <v>0.94205077661311998</v>
      </c>
    </row>
    <row r="49" spans="2:23">
      <c r="B49">
        <v>13466.912508011001</v>
      </c>
      <c r="C49">
        <v>41</v>
      </c>
      <c r="D49" s="9">
        <v>0.84247998768472898</v>
      </c>
      <c r="E49" s="9">
        <v>0.91450652741514304</v>
      </c>
      <c r="F49" s="9">
        <v>0.95163779424870099</v>
      </c>
      <c r="G49" s="9">
        <v>0.98753661550427396</v>
      </c>
      <c r="H49">
        <v>24.999618530273001</v>
      </c>
      <c r="I49">
        <v>41</v>
      </c>
      <c r="J49">
        <v>0.87398428045164001</v>
      </c>
      <c r="K49">
        <v>0.92468153403476905</v>
      </c>
      <c r="L49">
        <v>0.96128831835172202</v>
      </c>
      <c r="M49">
        <v>0.98760101055347504</v>
      </c>
      <c r="U49">
        <v>670.34983634949003</v>
      </c>
      <c r="V49">
        <v>40</v>
      </c>
      <c r="W49">
        <v>0.93069784601412997</v>
      </c>
    </row>
    <row r="50" spans="2:23">
      <c r="B50">
        <v>6187.9177093505996</v>
      </c>
      <c r="C50">
        <v>42</v>
      </c>
      <c r="D50" s="9">
        <v>0.87616929080704298</v>
      </c>
      <c r="E50" s="9">
        <v>0.93399811530883203</v>
      </c>
      <c r="F50" s="9">
        <v>0.97700893977302805</v>
      </c>
      <c r="G50" s="9">
        <v>0.98234052406425298</v>
      </c>
      <c r="H50">
        <v>25.866270065308001</v>
      </c>
      <c r="I50">
        <v>42</v>
      </c>
      <c r="J50">
        <v>0.86533150423331995</v>
      </c>
      <c r="K50">
        <v>0.92925535905363199</v>
      </c>
      <c r="L50">
        <v>0.97087530836695402</v>
      </c>
      <c r="M50">
        <v>0.98448628545364103</v>
      </c>
      <c r="U50">
        <v>662.83559799193995</v>
      </c>
      <c r="V50">
        <v>41</v>
      </c>
      <c r="W50">
        <v>0.92904424479815995</v>
      </c>
    </row>
    <row r="51" spans="2:23">
      <c r="B51">
        <v>7230.1425933838</v>
      </c>
      <c r="C51">
        <v>43</v>
      </c>
      <c r="D51" s="9">
        <v>0.84549353574624297</v>
      </c>
      <c r="E51" s="9">
        <v>0.91627905421446998</v>
      </c>
      <c r="F51" s="9">
        <v>0.98113748012775504</v>
      </c>
      <c r="G51" s="9">
        <v>0.97535244583214997</v>
      </c>
      <c r="H51">
        <v>24.837017059326001</v>
      </c>
      <c r="I51">
        <v>43</v>
      </c>
      <c r="J51">
        <v>0.86888420866593996</v>
      </c>
      <c r="K51">
        <v>0.92738106020417399</v>
      </c>
      <c r="L51">
        <v>0.97640535919843596</v>
      </c>
      <c r="M51">
        <v>0.97894568750325694</v>
      </c>
      <c r="U51">
        <v>663.90562057495004</v>
      </c>
      <c r="V51">
        <v>42</v>
      </c>
      <c r="W51">
        <v>0.94203407236965997</v>
      </c>
    </row>
    <row r="52" spans="2:23">
      <c r="B52">
        <v>11771.863460541001</v>
      </c>
      <c r="C52">
        <v>44</v>
      </c>
      <c r="D52" s="9">
        <v>0.85956731715440604</v>
      </c>
      <c r="E52" s="9">
        <v>0.92448098998615902</v>
      </c>
      <c r="F52" s="9">
        <v>0.96722372702338899</v>
      </c>
      <c r="G52" s="9">
        <v>0.98420918109826905</v>
      </c>
      <c r="H52">
        <v>25.026559829711999</v>
      </c>
      <c r="I52">
        <v>44</v>
      </c>
      <c r="J52">
        <v>0.8719796459368</v>
      </c>
      <c r="K52">
        <v>0.93161231515467102</v>
      </c>
      <c r="L52">
        <v>0.95795604800240997</v>
      </c>
      <c r="M52">
        <v>0.98731866509091704</v>
      </c>
      <c r="U52">
        <v>669.49200630188</v>
      </c>
      <c r="V52">
        <v>43</v>
      </c>
      <c r="W52">
        <v>0.92516082797239996</v>
      </c>
    </row>
    <row r="53" spans="2:23">
      <c r="B53">
        <v>7021.4502811432003</v>
      </c>
      <c r="C53">
        <v>45</v>
      </c>
      <c r="D53" s="9">
        <v>0.85970693852903901</v>
      </c>
      <c r="E53" s="9">
        <v>0.92456173681756104</v>
      </c>
      <c r="F53" s="9">
        <v>0.97908359975710901</v>
      </c>
      <c r="G53" s="9">
        <v>0.97918606321602697</v>
      </c>
      <c r="H53">
        <v>24.634122848511002</v>
      </c>
      <c r="I53">
        <v>45</v>
      </c>
      <c r="J53">
        <v>0.85404573233720005</v>
      </c>
      <c r="K53">
        <v>0.92873595125030095</v>
      </c>
      <c r="L53">
        <v>0.97560992543427205</v>
      </c>
      <c r="M53">
        <v>0.98004293885745497</v>
      </c>
      <c r="U53">
        <v>667.14429855346998</v>
      </c>
      <c r="V53">
        <v>44</v>
      </c>
      <c r="W53">
        <v>0.91151124500806002</v>
      </c>
    </row>
    <row r="54" spans="2:23">
      <c r="B54">
        <v>7433.5911273955999</v>
      </c>
      <c r="C54">
        <v>46</v>
      </c>
      <c r="D54" s="9">
        <v>0.87848405014011699</v>
      </c>
      <c r="E54" s="9">
        <v>0.93531169463439401</v>
      </c>
      <c r="F54" s="9">
        <v>0.96065730197906196</v>
      </c>
      <c r="G54" s="9">
        <v>0.98914946492334299</v>
      </c>
      <c r="H54">
        <v>25.205373764038001</v>
      </c>
      <c r="I54">
        <v>46</v>
      </c>
      <c r="J54">
        <v>0.86376510428691999</v>
      </c>
      <c r="K54">
        <v>0.92903960178952105</v>
      </c>
      <c r="L54">
        <v>0.95627454934839096</v>
      </c>
      <c r="M54">
        <v>0.98871511325651196</v>
      </c>
      <c r="U54">
        <v>672.52850532532</v>
      </c>
      <c r="V54">
        <v>45</v>
      </c>
      <c r="W54">
        <v>0.89948500297611</v>
      </c>
    </row>
    <row r="55" spans="2:23">
      <c r="B55">
        <v>7740.1483058928998</v>
      </c>
      <c r="C55">
        <v>47</v>
      </c>
      <c r="D55" s="9">
        <v>0.88122248363577005</v>
      </c>
      <c r="E55" s="9">
        <v>0.93686152626951702</v>
      </c>
      <c r="F55" s="9">
        <v>0.96315092674315905</v>
      </c>
      <c r="G55" s="9">
        <v>0.988229846230542</v>
      </c>
      <c r="H55">
        <v>24.834156036376999</v>
      </c>
      <c r="I55">
        <v>47</v>
      </c>
      <c r="J55">
        <v>0.8666970890997</v>
      </c>
      <c r="K55">
        <v>0.93202465864672701</v>
      </c>
      <c r="L55">
        <v>0.96875079934858399</v>
      </c>
      <c r="M55">
        <v>0.98613970039504195</v>
      </c>
      <c r="U55">
        <v>676.40256881714004</v>
      </c>
      <c r="V55">
        <v>46</v>
      </c>
      <c r="W55">
        <v>0.92358479689481998</v>
      </c>
    </row>
    <row r="56" spans="2:23">
      <c r="B56">
        <v>5527.8694629668998</v>
      </c>
      <c r="C56">
        <v>48</v>
      </c>
      <c r="D56" s="9">
        <v>0.86068413913312303</v>
      </c>
      <c r="E56" s="9">
        <v>0.92512653924605204</v>
      </c>
      <c r="F56" s="9">
        <v>0.97041809306453597</v>
      </c>
      <c r="G56" s="9">
        <v>0.98255715623861595</v>
      </c>
      <c r="H56">
        <v>24.967193603516002</v>
      </c>
      <c r="I56">
        <v>48</v>
      </c>
      <c r="J56">
        <v>0.84570275125155003</v>
      </c>
      <c r="K56">
        <v>0.922811021720498</v>
      </c>
      <c r="L56">
        <v>0.95641035707975897</v>
      </c>
      <c r="M56">
        <v>0.98747219270429498</v>
      </c>
      <c r="U56">
        <v>662.99557685852005</v>
      </c>
      <c r="V56">
        <v>47</v>
      </c>
      <c r="W56">
        <v>0.93435448577681002</v>
      </c>
    </row>
    <row r="57" spans="2:23">
      <c r="B57">
        <v>12753.866195679</v>
      </c>
      <c r="C57">
        <v>49</v>
      </c>
      <c r="D57" s="9">
        <v>0.86638262399851795</v>
      </c>
      <c r="E57" s="9">
        <v>0.92840836906463398</v>
      </c>
      <c r="F57" s="9">
        <v>0.95016506678856205</v>
      </c>
      <c r="G57" s="9">
        <v>0.98998032902831201</v>
      </c>
      <c r="H57">
        <v>24.87325668335</v>
      </c>
      <c r="I57">
        <v>49</v>
      </c>
      <c r="J57">
        <v>0.84170339642209002</v>
      </c>
      <c r="K57">
        <v>0.93275518857714601</v>
      </c>
      <c r="L57">
        <v>0.96402376411911395</v>
      </c>
      <c r="M57">
        <v>0.98460266860768397</v>
      </c>
      <c r="U57">
        <v>664.57915306091002</v>
      </c>
      <c r="V57">
        <v>48</v>
      </c>
      <c r="W57">
        <v>0.92427537382139002</v>
      </c>
    </row>
    <row r="58" spans="2:23">
      <c r="B58">
        <v>5410.1107120513998</v>
      </c>
      <c r="C58">
        <v>50</v>
      </c>
      <c r="D58" s="9">
        <v>0.85222932580538002</v>
      </c>
      <c r="E58" s="9">
        <v>0.92022009794582704</v>
      </c>
      <c r="F58" s="9">
        <v>0.97040818738329904</v>
      </c>
      <c r="G58" s="9">
        <v>0.98090270808084201</v>
      </c>
      <c r="H58">
        <v>26.168584823608001</v>
      </c>
      <c r="I58">
        <v>50</v>
      </c>
      <c r="J58">
        <v>0.85713294637282</v>
      </c>
      <c r="K58">
        <v>0.92437473966350903</v>
      </c>
      <c r="L58">
        <v>0.96763503727127198</v>
      </c>
      <c r="M58">
        <v>0.98187966685029504</v>
      </c>
      <c r="U58">
        <v>931.66017532348997</v>
      </c>
      <c r="V58">
        <v>49</v>
      </c>
      <c r="W58">
        <v>0.87858821554473998</v>
      </c>
    </row>
    <row r="59" spans="2:23">
      <c r="B59">
        <v>5060.7323646545001</v>
      </c>
      <c r="C59">
        <v>51</v>
      </c>
      <c r="D59" s="9">
        <v>0.88367650971002898</v>
      </c>
      <c r="E59" s="9">
        <v>0.93824656744916402</v>
      </c>
      <c r="F59" s="9">
        <v>0.97533002912712496</v>
      </c>
      <c r="G59" s="9">
        <v>0.97989042318692698</v>
      </c>
      <c r="H59">
        <v>24.987697601318001</v>
      </c>
      <c r="I59">
        <v>51</v>
      </c>
      <c r="J59">
        <v>0.88181040526373</v>
      </c>
      <c r="K59">
        <v>0.92002375855046703</v>
      </c>
      <c r="L59">
        <v>0.98773001835942398</v>
      </c>
      <c r="M59">
        <v>0.97488050161722895</v>
      </c>
      <c r="U59">
        <v>657.96041488646995</v>
      </c>
      <c r="V59">
        <v>50</v>
      </c>
      <c r="W59">
        <v>0.92994689745144998</v>
      </c>
    </row>
    <row r="60" spans="2:23">
      <c r="B60">
        <v>4453.6426067352004</v>
      </c>
      <c r="C60">
        <v>52</v>
      </c>
      <c r="D60" s="9">
        <v>0.87194369544353501</v>
      </c>
      <c r="E60" s="9">
        <v>0.93159179687500004</v>
      </c>
      <c r="F60" s="9">
        <v>0.95798952248648395</v>
      </c>
      <c r="G60" s="9">
        <v>0.98730790177831396</v>
      </c>
      <c r="H60">
        <v>24.872064590453999</v>
      </c>
      <c r="I60">
        <v>52</v>
      </c>
      <c r="J60">
        <v>0.87062487306208003</v>
      </c>
      <c r="K60">
        <v>0.92832086447493301</v>
      </c>
      <c r="L60">
        <v>0.97683442359911099</v>
      </c>
      <c r="M60">
        <v>0.981988021032837</v>
      </c>
      <c r="U60">
        <v>670.59445381165006</v>
      </c>
      <c r="V60">
        <v>51</v>
      </c>
      <c r="W60">
        <v>0.94861146150710995</v>
      </c>
    </row>
    <row r="61" spans="2:23">
      <c r="B61">
        <v>4876.4309883118003</v>
      </c>
      <c r="C61">
        <v>53</v>
      </c>
      <c r="D61" s="9">
        <v>0.85770885888113901</v>
      </c>
      <c r="E61" s="9">
        <v>0.92340503710330601</v>
      </c>
      <c r="F61" s="9">
        <v>0.95968719387670298</v>
      </c>
      <c r="G61" s="9">
        <v>0.98456877250522001</v>
      </c>
      <c r="H61">
        <v>24.665117263793999</v>
      </c>
      <c r="I61">
        <v>53</v>
      </c>
      <c r="J61">
        <v>0.86459508199687995</v>
      </c>
      <c r="K61">
        <v>0.922789568746059</v>
      </c>
      <c r="L61">
        <v>0.94093989578197301</v>
      </c>
      <c r="M61">
        <v>0.98923121360985</v>
      </c>
      <c r="U61">
        <v>666.14556312561001</v>
      </c>
      <c r="V61">
        <v>52</v>
      </c>
      <c r="W61">
        <v>0.93402029727789004</v>
      </c>
    </row>
    <row r="62" spans="2:23">
      <c r="B62">
        <v>7527.6837348937997</v>
      </c>
      <c r="C62">
        <v>54</v>
      </c>
      <c r="D62" s="9">
        <v>0.84523489532001295</v>
      </c>
      <c r="E62" s="9">
        <v>0.91612715266088296</v>
      </c>
      <c r="F62" s="9">
        <v>0.97784549895999595</v>
      </c>
      <c r="G62" s="9">
        <v>0.97488120460466998</v>
      </c>
      <c r="H62">
        <v>24.999141693115</v>
      </c>
      <c r="I62">
        <v>54</v>
      </c>
      <c r="J62">
        <v>0.86965744080435003</v>
      </c>
      <c r="K62">
        <v>0.923617595452353</v>
      </c>
      <c r="L62">
        <v>0.953285181733457</v>
      </c>
      <c r="M62">
        <v>0.98901956920909795</v>
      </c>
      <c r="U62">
        <v>666.21303558349996</v>
      </c>
      <c r="V62">
        <v>53</v>
      </c>
      <c r="W62">
        <v>0.92482843909890999</v>
      </c>
    </row>
    <row r="63" spans="2:23">
      <c r="B63">
        <v>5531.51512146</v>
      </c>
      <c r="C63">
        <v>55</v>
      </c>
      <c r="D63" s="9">
        <v>0.87379613610149898</v>
      </c>
      <c r="E63" s="9">
        <v>0.93264802853042805</v>
      </c>
      <c r="F63" s="9">
        <v>0.968201351502468</v>
      </c>
      <c r="G63" s="9">
        <v>0.98535167460487605</v>
      </c>
      <c r="H63">
        <v>24.729251861571999</v>
      </c>
      <c r="I63">
        <v>55</v>
      </c>
      <c r="J63">
        <v>0.86062676140477001</v>
      </c>
      <c r="K63">
        <v>0.940256120527307</v>
      </c>
      <c r="L63">
        <v>0.96949055123614503</v>
      </c>
      <c r="M63">
        <v>0.98702584936982796</v>
      </c>
      <c r="U63">
        <v>671.70119285582996</v>
      </c>
      <c r="V63">
        <v>54</v>
      </c>
      <c r="W63">
        <v>0.93979533497357004</v>
      </c>
    </row>
    <row r="64" spans="2:23">
      <c r="B64">
        <v>4878.3125877379998</v>
      </c>
      <c r="C64">
        <v>56</v>
      </c>
      <c r="D64" s="9">
        <v>0.88388704318936795</v>
      </c>
      <c r="E64" s="9">
        <v>0.93836522352526197</v>
      </c>
      <c r="F64" s="9">
        <v>0.97615895096193706</v>
      </c>
      <c r="G64" s="9">
        <v>0.98582328499443195</v>
      </c>
      <c r="H64">
        <v>24.998426437378001</v>
      </c>
      <c r="I64">
        <v>56</v>
      </c>
      <c r="J64">
        <v>0.88724845572608002</v>
      </c>
      <c r="K64">
        <v>0.94334470490051103</v>
      </c>
      <c r="L64">
        <v>0.97307889808493897</v>
      </c>
      <c r="M64">
        <v>0.98699669923768096</v>
      </c>
      <c r="U64">
        <v>656.58140182495004</v>
      </c>
      <c r="V64">
        <v>55</v>
      </c>
      <c r="W64">
        <v>0.92174435028249002</v>
      </c>
    </row>
    <row r="65" spans="2:23">
      <c r="B65">
        <v>4729.8386096954</v>
      </c>
      <c r="C65">
        <v>57</v>
      </c>
      <c r="D65" s="9">
        <v>0.86987969063305604</v>
      </c>
      <c r="E65" s="9">
        <v>0.93041246984029702</v>
      </c>
      <c r="F65" s="9">
        <v>0.94976878225320005</v>
      </c>
      <c r="G65" s="9">
        <v>0.99142693290235095</v>
      </c>
      <c r="H65">
        <v>24.840593338013001</v>
      </c>
      <c r="I65">
        <v>57</v>
      </c>
      <c r="J65">
        <v>0.85166367802350995</v>
      </c>
      <c r="K65">
        <v>0.935286629893476</v>
      </c>
      <c r="L65">
        <v>0.96065730197906196</v>
      </c>
      <c r="M65">
        <v>0.98914307912535804</v>
      </c>
      <c r="U65">
        <v>669.61455345154002</v>
      </c>
      <c r="V65">
        <v>56</v>
      </c>
      <c r="W65">
        <v>0.92841400516521999</v>
      </c>
    </row>
    <row r="66" spans="2:23">
      <c r="B66">
        <v>4962.3074531555003</v>
      </c>
      <c r="C66">
        <v>58</v>
      </c>
      <c r="D66" s="9">
        <v>0.82818686257177399</v>
      </c>
      <c r="E66" s="9">
        <v>0.90601992556355504</v>
      </c>
      <c r="F66" s="9">
        <v>0.97570644706788301</v>
      </c>
      <c r="G66" s="9">
        <v>0.97821486941658298</v>
      </c>
      <c r="H66">
        <v>25.581836700438998</v>
      </c>
      <c r="I66">
        <v>58</v>
      </c>
      <c r="J66">
        <v>0.85189259100332004</v>
      </c>
      <c r="K66">
        <v>0.920217395364473</v>
      </c>
      <c r="L66">
        <v>0.97046333719382005</v>
      </c>
      <c r="M66">
        <v>0.98089294297503704</v>
      </c>
      <c r="U66">
        <v>670.88723182677995</v>
      </c>
      <c r="V66">
        <v>57</v>
      </c>
      <c r="W66">
        <v>0.93529169947254998</v>
      </c>
    </row>
    <row r="67" spans="2:23">
      <c r="B67">
        <v>4482.2161197661999</v>
      </c>
      <c r="C67">
        <v>59</v>
      </c>
      <c r="D67" s="9">
        <v>0.87489552737779597</v>
      </c>
      <c r="E67" s="9">
        <v>0.93327389670763505</v>
      </c>
      <c r="F67" s="9">
        <v>0.96255363867238797</v>
      </c>
      <c r="G67" s="9">
        <v>0.98775559565318805</v>
      </c>
      <c r="H67">
        <v>25.018453598021999</v>
      </c>
      <c r="I67">
        <v>59</v>
      </c>
      <c r="J67">
        <v>0.85448772478188995</v>
      </c>
      <c r="K67">
        <v>0.91640189697727703</v>
      </c>
      <c r="L67">
        <v>0.98110167428137596</v>
      </c>
      <c r="M67">
        <v>0.97540305456721799</v>
      </c>
      <c r="U67">
        <v>663.19251060485999</v>
      </c>
      <c r="V67">
        <v>58</v>
      </c>
      <c r="W67">
        <v>0.93251631767742005</v>
      </c>
    </row>
    <row r="68" spans="2:23">
      <c r="B68">
        <v>5371.0930347443</v>
      </c>
      <c r="C68">
        <v>60</v>
      </c>
      <c r="D68" s="9">
        <v>0.86755416931668605</v>
      </c>
      <c r="E68" s="9">
        <v>0.92908059489820605</v>
      </c>
      <c r="F68" s="9">
        <v>0.95630336031960905</v>
      </c>
      <c r="G68" s="9">
        <v>0.98872146616704504</v>
      </c>
      <c r="H68">
        <v>25.015830993651999</v>
      </c>
      <c r="I68">
        <v>60</v>
      </c>
      <c r="J68">
        <v>0.85714925697902</v>
      </c>
      <c r="K68">
        <v>0.93083855090297096</v>
      </c>
      <c r="L68">
        <v>0.94944786052545505</v>
      </c>
      <c r="M68">
        <v>0.990999860552359</v>
      </c>
      <c r="U68">
        <v>658.01692008971997</v>
      </c>
      <c r="V68">
        <v>59</v>
      </c>
      <c r="W68">
        <v>0.93114333787356995</v>
      </c>
    </row>
    <row r="69" spans="2:23">
      <c r="B69">
        <v>3782.5617790222</v>
      </c>
      <c r="C69">
        <v>61</v>
      </c>
      <c r="D69" s="9">
        <v>0.83522477346705304</v>
      </c>
      <c r="E69" s="9">
        <v>0.91021523416902295</v>
      </c>
      <c r="F69" s="9">
        <v>0.96352883648408005</v>
      </c>
      <c r="G69" s="9">
        <v>0.98229079472318803</v>
      </c>
      <c r="H69">
        <v>24.779081344603998</v>
      </c>
      <c r="I69">
        <v>61</v>
      </c>
      <c r="J69">
        <v>0.88487134132096001</v>
      </c>
      <c r="K69">
        <v>0.93400865628780205</v>
      </c>
      <c r="L69">
        <v>0.97697309465262405</v>
      </c>
      <c r="M69">
        <v>0.98235042410682305</v>
      </c>
      <c r="U69">
        <v>672.32155799865996</v>
      </c>
      <c r="V69">
        <v>60</v>
      </c>
      <c r="W69">
        <v>0.92364230592028995</v>
      </c>
    </row>
    <row r="70" spans="2:23">
      <c r="B70">
        <v>3766.8366432190001</v>
      </c>
      <c r="C70">
        <v>62</v>
      </c>
      <c r="D70" s="9">
        <v>0.79882019682854799</v>
      </c>
      <c r="E70" s="9">
        <v>0.888160137669042</v>
      </c>
      <c r="F70" s="9">
        <v>0.98125661399386499</v>
      </c>
      <c r="G70" s="9">
        <v>0.97282380185044803</v>
      </c>
      <c r="H70">
        <v>24.883508682251001</v>
      </c>
      <c r="I70">
        <v>62</v>
      </c>
      <c r="J70">
        <v>0.8522246898718</v>
      </c>
      <c r="K70">
        <v>0.92970703742156802</v>
      </c>
      <c r="L70">
        <v>0.96656686158380301</v>
      </c>
      <c r="M70">
        <v>0.98725100447435599</v>
      </c>
      <c r="U70">
        <v>667.50431060791004</v>
      </c>
      <c r="V70">
        <v>61</v>
      </c>
      <c r="W70">
        <v>0.93254295729190995</v>
      </c>
    </row>
    <row r="71" spans="2:23">
      <c r="B71">
        <v>5503.3097267150997</v>
      </c>
      <c r="C71">
        <v>63</v>
      </c>
      <c r="D71" s="9">
        <v>0.85443144391585102</v>
      </c>
      <c r="E71" s="9">
        <v>0.92150232538294097</v>
      </c>
      <c r="F71" s="9">
        <v>0.96182279721214003</v>
      </c>
      <c r="G71" s="9">
        <v>0.98822539160038303</v>
      </c>
      <c r="H71">
        <v>24.888753890991001</v>
      </c>
      <c r="I71">
        <v>63</v>
      </c>
      <c r="J71">
        <v>0.86785898665092998</v>
      </c>
      <c r="K71">
        <v>0.92361014744845404</v>
      </c>
      <c r="L71">
        <v>0.97289359358746796</v>
      </c>
      <c r="M71">
        <v>0.97816501366073205</v>
      </c>
      <c r="U71">
        <v>710.00504493713004</v>
      </c>
      <c r="V71">
        <v>62</v>
      </c>
      <c r="W71">
        <v>0.93387497349850002</v>
      </c>
    </row>
    <row r="72" spans="2:23">
      <c r="B72">
        <v>4303.9317131041998</v>
      </c>
      <c r="C72">
        <v>64</v>
      </c>
      <c r="D72" s="9">
        <v>0.88463619921101699</v>
      </c>
      <c r="E72" s="9">
        <v>0.93878723074656001</v>
      </c>
      <c r="F72" s="9">
        <v>0.97131397476192705</v>
      </c>
      <c r="G72" s="9">
        <v>0.98638823296845501</v>
      </c>
      <c r="H72">
        <v>24.799346923828001</v>
      </c>
      <c r="I72">
        <v>64</v>
      </c>
      <c r="J72">
        <v>0.87061589427564001</v>
      </c>
      <c r="K72">
        <v>0.93310621682946204</v>
      </c>
      <c r="L72">
        <v>0.97872960768093697</v>
      </c>
      <c r="M72">
        <v>0.98051368669639305</v>
      </c>
      <c r="U72">
        <v>910.76159477234</v>
      </c>
      <c r="V72">
        <v>63</v>
      </c>
      <c r="W72">
        <v>0.93960805414742998</v>
      </c>
    </row>
    <row r="73" spans="2:23">
      <c r="B73">
        <v>3887.3913288116</v>
      </c>
      <c r="C73">
        <v>65</v>
      </c>
      <c r="D73" s="9">
        <v>0.85178135498996899</v>
      </c>
      <c r="E73" s="9">
        <v>0.91995888466495901</v>
      </c>
      <c r="F73" s="9">
        <v>0.98778607767017501</v>
      </c>
      <c r="G73" s="9">
        <v>0.97484628037135501</v>
      </c>
      <c r="H73">
        <v>24.956941604613998</v>
      </c>
      <c r="I73">
        <v>65</v>
      </c>
      <c r="J73">
        <v>0.86748268501981995</v>
      </c>
      <c r="K73">
        <v>0.93323823836572495</v>
      </c>
      <c r="L73">
        <v>0.96255363867238797</v>
      </c>
      <c r="M73">
        <v>0.98774596365955802</v>
      </c>
      <c r="U73">
        <v>667.86837577819995</v>
      </c>
      <c r="V73">
        <v>64</v>
      </c>
      <c r="W73">
        <v>0.93017033858390996</v>
      </c>
    </row>
    <row r="74" spans="2:23">
      <c r="B74">
        <v>3828.9966583251999</v>
      </c>
      <c r="C74">
        <v>66</v>
      </c>
      <c r="D74" s="9">
        <v>0.86692456241015203</v>
      </c>
      <c r="E74" s="9">
        <v>0.92871943501667198</v>
      </c>
      <c r="F74" s="9">
        <v>0.97554744018773298</v>
      </c>
      <c r="G74" s="9">
        <v>0.98004846651675603</v>
      </c>
      <c r="H74">
        <v>26.13377571106</v>
      </c>
      <c r="I74">
        <v>66</v>
      </c>
      <c r="J74">
        <v>0.85991412153864</v>
      </c>
      <c r="K74">
        <v>0.93041246984029702</v>
      </c>
      <c r="L74">
        <v>0.94976878225320005</v>
      </c>
      <c r="M74">
        <v>0.99142693290235095</v>
      </c>
      <c r="U74">
        <v>668.27678680420001</v>
      </c>
      <c r="V74">
        <v>65</v>
      </c>
      <c r="W74">
        <v>0.94048181698832001</v>
      </c>
    </row>
    <row r="75" spans="2:23">
      <c r="B75">
        <v>14586.652994156</v>
      </c>
      <c r="C75">
        <v>67</v>
      </c>
      <c r="D75" s="9">
        <v>0.86624892257596697</v>
      </c>
      <c r="E75" s="9">
        <v>0.92833159831678902</v>
      </c>
      <c r="F75" s="9">
        <v>0.97684213774376605</v>
      </c>
      <c r="G75" s="9">
        <v>0.98199019744402205</v>
      </c>
      <c r="H75">
        <v>24.896383285521999</v>
      </c>
      <c r="I75">
        <v>67</v>
      </c>
      <c r="J75">
        <v>0.88458964098035997</v>
      </c>
      <c r="K75">
        <v>0.92451155975252297</v>
      </c>
      <c r="L75">
        <v>0.96733445767533699</v>
      </c>
      <c r="M75">
        <v>0.98420166370624595</v>
      </c>
      <c r="U75">
        <v>664.63446617125999</v>
      </c>
      <c r="V75">
        <v>66</v>
      </c>
      <c r="W75">
        <v>0.93292346100593004</v>
      </c>
    </row>
    <row r="76" spans="2:23">
      <c r="B76">
        <v>9144.6192264556994</v>
      </c>
      <c r="C76">
        <v>68</v>
      </c>
      <c r="D76" s="9">
        <v>0.86789252022805896</v>
      </c>
      <c r="E76" s="9">
        <v>0.92927458173245803</v>
      </c>
      <c r="F76" s="9">
        <v>0.97083405526265798</v>
      </c>
      <c r="G76" s="9">
        <v>0.98449814691607296</v>
      </c>
      <c r="H76">
        <v>24.626493453978998</v>
      </c>
      <c r="I76">
        <v>68</v>
      </c>
      <c r="J76">
        <v>0.81218550251597998</v>
      </c>
      <c r="K76">
        <v>0.93132062281054995</v>
      </c>
      <c r="L76">
        <v>0.98229513977942995</v>
      </c>
      <c r="M76">
        <v>0.98282435311233496</v>
      </c>
      <c r="U76">
        <v>673.00820350646995</v>
      </c>
      <c r="V76">
        <v>67</v>
      </c>
      <c r="W76">
        <v>0.86717501132663</v>
      </c>
    </row>
    <row r="77" spans="2:23">
      <c r="B77">
        <v>4859.6947193145998</v>
      </c>
      <c r="C77">
        <v>69</v>
      </c>
      <c r="D77" s="9">
        <v>0.88213161163590104</v>
      </c>
      <c r="E77" s="9">
        <v>0.93737505515799102</v>
      </c>
      <c r="F77" s="9">
        <v>0.97985688844678998</v>
      </c>
      <c r="G77" s="9">
        <v>0.98505278606975899</v>
      </c>
      <c r="H77">
        <v>24.895668029785</v>
      </c>
      <c r="I77">
        <v>69</v>
      </c>
      <c r="J77">
        <v>0.82436820303453995</v>
      </c>
      <c r="K77">
        <v>0.93083341902509398</v>
      </c>
      <c r="L77">
        <v>0.96733950763872401</v>
      </c>
      <c r="M77">
        <v>0.98478171767619405</v>
      </c>
      <c r="U77">
        <v>671.62466049193995</v>
      </c>
      <c r="V77">
        <v>68</v>
      </c>
      <c r="W77">
        <v>0.93190389926646999</v>
      </c>
    </row>
    <row r="78" spans="2:23">
      <c r="B78">
        <v>10495.931386947999</v>
      </c>
      <c r="C78">
        <v>70</v>
      </c>
      <c r="D78" s="9">
        <v>0.85800714731136296</v>
      </c>
      <c r="E78" s="9">
        <v>0.92357787595483198</v>
      </c>
      <c r="F78" s="9">
        <v>0.97285960010062</v>
      </c>
      <c r="G78" s="9">
        <v>0.97815946728135295</v>
      </c>
      <c r="H78">
        <v>24.869680404663001</v>
      </c>
      <c r="I78">
        <v>70</v>
      </c>
      <c r="J78">
        <v>0.87270241414536998</v>
      </c>
      <c r="K78">
        <v>0.93835850134369903</v>
      </c>
      <c r="L78">
        <v>0.97616692722457898</v>
      </c>
      <c r="M78">
        <v>0.98582003544178698</v>
      </c>
      <c r="U78">
        <v>672.44291305542004</v>
      </c>
      <c r="V78">
        <v>69</v>
      </c>
      <c r="W78">
        <v>0.91866366480959005</v>
      </c>
    </row>
    <row r="79" spans="2:23">
      <c r="B79">
        <v>4806.8706989288003</v>
      </c>
      <c r="C79">
        <v>71</v>
      </c>
      <c r="D79" s="9">
        <v>0.85717942974175099</v>
      </c>
      <c r="E79" s="9">
        <v>0.92309813043852795</v>
      </c>
      <c r="F79" s="9">
        <v>0.97726310873721201</v>
      </c>
      <c r="G79" s="9">
        <v>0.97893761039131999</v>
      </c>
      <c r="H79">
        <v>24.892091751098999</v>
      </c>
      <c r="I79">
        <v>71</v>
      </c>
      <c r="J79">
        <v>0.88210612975907998</v>
      </c>
      <c r="K79">
        <v>0.92707108530974602</v>
      </c>
      <c r="L79">
        <v>0.95905029921847096</v>
      </c>
      <c r="M79">
        <v>0.986062785164871</v>
      </c>
      <c r="U79">
        <v>661.94677352905001</v>
      </c>
      <c r="V79">
        <v>70</v>
      </c>
      <c r="W79">
        <v>0.91008285490605001</v>
      </c>
    </row>
    <row r="80" spans="2:23">
      <c r="B80">
        <v>4550.0063896178999</v>
      </c>
      <c r="C80">
        <v>72</v>
      </c>
      <c r="D80" s="9">
        <v>0.87268607419924704</v>
      </c>
      <c r="E80" s="9">
        <v>0.93201534012838105</v>
      </c>
      <c r="F80" s="9">
        <v>0.96872522019388996</v>
      </c>
      <c r="G80" s="9">
        <v>0.98614077417096402</v>
      </c>
      <c r="H80">
        <v>25.090456008911001</v>
      </c>
      <c r="I80">
        <v>72</v>
      </c>
      <c r="J80">
        <v>0.87483285577840997</v>
      </c>
      <c r="K80">
        <v>0.92858889014253998</v>
      </c>
      <c r="L80">
        <v>0.94987160128110104</v>
      </c>
      <c r="M80">
        <v>0.98943683219299505</v>
      </c>
      <c r="U80">
        <v>656.63456916809002</v>
      </c>
      <c r="V80">
        <v>71</v>
      </c>
      <c r="W80">
        <v>0.90980320164488004</v>
      </c>
    </row>
    <row r="81" spans="2:23">
      <c r="B81">
        <v>4411.5209579468001</v>
      </c>
      <c r="C81">
        <v>73</v>
      </c>
      <c r="D81" s="9">
        <v>0.869535965912276</v>
      </c>
      <c r="E81" s="9">
        <v>0.93021582014654502</v>
      </c>
      <c r="F81" s="9">
        <v>0.94749167625467101</v>
      </c>
      <c r="G81" s="9">
        <v>0.99073511910711998</v>
      </c>
      <c r="H81">
        <v>24.726390838623001</v>
      </c>
      <c r="I81">
        <v>73</v>
      </c>
      <c r="J81">
        <v>0.84516969096057004</v>
      </c>
      <c r="K81">
        <v>0.93605372931074204</v>
      </c>
      <c r="L81">
        <v>0.97812306851992903</v>
      </c>
      <c r="M81">
        <v>0.98290035340662396</v>
      </c>
      <c r="U81">
        <v>669.48175430297999</v>
      </c>
      <c r="V81">
        <v>72</v>
      </c>
      <c r="W81">
        <v>0.9272468437418</v>
      </c>
    </row>
    <row r="82" spans="2:23">
      <c r="B82">
        <v>4211.1642360687001</v>
      </c>
      <c r="C82">
        <v>74</v>
      </c>
      <c r="D82" s="9">
        <v>0.882492987617158</v>
      </c>
      <c r="E82" s="9">
        <v>0.93757904377026002</v>
      </c>
      <c r="F82" s="9">
        <v>0.97087247109826502</v>
      </c>
      <c r="G82" s="9">
        <v>0.98546923050041901</v>
      </c>
      <c r="H82">
        <v>24.93953704834</v>
      </c>
      <c r="I82">
        <v>74</v>
      </c>
      <c r="J82">
        <v>0.87618784317255005</v>
      </c>
      <c r="K82">
        <v>0.93028532588323998</v>
      </c>
      <c r="L82">
        <v>0.94762404162381697</v>
      </c>
      <c r="M82">
        <v>0.99073511910711998</v>
      </c>
      <c r="U82">
        <v>653.69105339049997</v>
      </c>
      <c r="V82">
        <v>73</v>
      </c>
      <c r="W82">
        <v>0.92743547689571004</v>
      </c>
    </row>
    <row r="83" spans="2:23">
      <c r="C83" t="s">
        <v>7</v>
      </c>
      <c r="D83" t="s">
        <v>8</v>
      </c>
      <c r="I83" t="s">
        <v>7</v>
      </c>
      <c r="J83" t="s">
        <v>8</v>
      </c>
      <c r="U83">
        <v>664.55459594726995</v>
      </c>
      <c r="V83">
        <v>74</v>
      </c>
      <c r="W83">
        <v>0.91413769034908998</v>
      </c>
    </row>
    <row r="84" spans="2:23">
      <c r="B84" s="7">
        <f>AVERAGE(B8:B83)</f>
        <v>8474.5152346292689</v>
      </c>
      <c r="D84" s="7">
        <f>AVERAGE(D8:D83)</f>
        <v>0.86317965229771587</v>
      </c>
      <c r="E84" s="7">
        <f>AVERAGE(E8:E83)</f>
        <v>0.92647887651315808</v>
      </c>
      <c r="F84" s="7">
        <f>AVERAGE(F8:F83)</f>
        <v>0.96858225883093396</v>
      </c>
      <c r="G84" s="7">
        <f>AVERAGE(G8:G83)</f>
        <v>0.98366161892804538</v>
      </c>
      <c r="H84" s="7">
        <f>AVERAGE(H8:H83)</f>
        <v>31.842689514160192</v>
      </c>
      <c r="J84" s="7">
        <f>AVERAGE(J8:J83)</f>
        <v>0.8631809222594643</v>
      </c>
      <c r="K84" s="7">
        <f>AVERAGE(K8:K83)</f>
        <v>0.92647938510839523</v>
      </c>
      <c r="L84" s="7">
        <f>AVERAGE(L8:L83)</f>
        <v>0.96858303757965192</v>
      </c>
      <c r="M84" s="7">
        <f>AVERAGE(M8:M83)</f>
        <v>0.98366210934011145</v>
      </c>
      <c r="U84" s="1">
        <f>AVERAGE(U9:U83)</f>
        <v>693.06741396586051</v>
      </c>
      <c r="V84" s="1" t="s">
        <v>7</v>
      </c>
      <c r="W84" s="1">
        <f>AVERAGE(W9:W83)</f>
        <v>0.92680906819252484</v>
      </c>
    </row>
    <row r="86" spans="2:23">
      <c r="B86">
        <f>STDEVA(B11:B82)</f>
        <v>3063.9279695434343</v>
      </c>
      <c r="D86">
        <f>STDEVA(D8:D82)</f>
        <v>1.6818012618477617E-2</v>
      </c>
      <c r="E86">
        <f>STDEVA(E8:E82)</f>
        <v>9.8068623768620636E-3</v>
      </c>
      <c r="F86">
        <f>STDEVA(F8:F82)</f>
        <v>1.01339699881867E-2</v>
      </c>
      <c r="G86">
        <f>STDEVA(G8:G82)</f>
        <v>4.5694512941936733E-3</v>
      </c>
      <c r="H86">
        <f>STDEVA(H9:H82)</f>
        <v>2.3652937045751798</v>
      </c>
      <c r="J86">
        <f>STDEVA(J8:J82)</f>
        <v>1.6839488236388533E-2</v>
      </c>
      <c r="K86">
        <f>STDEVA(K8:K82)</f>
        <v>9.8193808494522923E-3</v>
      </c>
      <c r="L86">
        <f>STDEVA(L8:L82)</f>
        <v>1.0137171048226076E-2</v>
      </c>
      <c r="M86">
        <f>STDEVA(M8:M82)</f>
        <v>4.5679498707959024E-3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48D37-965C-4432-AE88-E6100C9DC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TimeDfBBoxAutoSam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2025-06-17T12:50:15Z</dcterms:created>
  <dcterms:modified xsi:type="dcterms:W3CDTF">2025-07-03T17:14:37Z</dcterms:modified>
  <cp:category/>
</cp:coreProperties>
</file>