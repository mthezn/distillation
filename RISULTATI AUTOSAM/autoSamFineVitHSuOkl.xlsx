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8_{B283A786-F0A1-42FD-9BEA-51A04B08E42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7" i="1" l="1"/>
  <c r="T87" i="1"/>
  <c r="P87" i="1"/>
  <c r="N87" i="1"/>
  <c r="AB85" i="1"/>
  <c r="Z85" i="1"/>
  <c r="V85" i="1"/>
  <c r="T85" i="1"/>
  <c r="P85" i="1"/>
  <c r="N85" i="1"/>
  <c r="C86" i="1" l="1"/>
  <c r="E86" i="1"/>
  <c r="E84" i="1"/>
  <c r="C84" i="1"/>
</calcChain>
</file>

<file path=xl/sharedStrings.xml><?xml version="1.0" encoding="utf-8"?>
<sst xmlns="http://schemas.openxmlformats.org/spreadsheetml/2006/main" count="28" uniqueCount="14">
  <si>
    <t>time</t>
  </si>
  <si>
    <t>index</t>
  </si>
  <si>
    <t>iou</t>
  </si>
  <si>
    <t>CPU</t>
  </si>
  <si>
    <t>MASCHERE CON REFINING</t>
  </si>
  <si>
    <t>MODELLO CMT AUTOSAM</t>
  </si>
  <si>
    <t>SAM VITH</t>
  </si>
  <si>
    <t>sam_vit_h_4b8939.pth</t>
  </si>
  <si>
    <t xml:space="preserve">CPU </t>
  </si>
  <si>
    <t>GPU</t>
  </si>
  <si>
    <t>MEDIA</t>
  </si>
  <si>
    <t>IOU</t>
  </si>
  <si>
    <t>MODELLO CMT AUTOSAM FINE TUNED</t>
  </si>
  <si>
    <t>autoSamFineVitHSuOkl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</si>
</sst>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sz val="11"/>
      <color theme="4" tint="-0.249977111117893"/>
      <name val="Calibri"/>
    </font>
    <font>
      <sz val="11"/>
      <color rgb="FF000000"/>
      <name val="Calibri"/>
      <family val="2"/>
    </font>
    <font>
      <sz val="10"/>
      <color rgb="FF6A8759"/>
      <name val="JetBrains Mono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3" fillId="0" borderId="0" xfId="0" applyFont="1" applyAlignment="1">
      <alignment vertical="center"/>
    </xf>
    <xf numFmtId="0" fontId="2" fillId="4" borderId="0" xfId="0" applyFont="1" applyFill="1"/>
    <xf numFmtId="0" fontId="0" fillId="5" borderId="0" xfId="0" applyFill="1"/>
    <xf numFmtId="0" fontId="0" fillId="0" borderId="1" xfId="0" applyBorder="1"/>
    <xf numFmtId="0" fontId="2" fillId="6" borderId="0" xfId="0" applyFont="1" applyFill="1"/>
    <xf numFmtId="0" fontId="0" fillId="6" borderId="0" xfId="0" applyFill="1"/>
    <xf numFmtId="0" fontId="2" fillId="0" borderId="0" xfId="0" applyFont="1" applyAlignment="1">
      <alignment horizontal="left" vertical="center" readingOrder="1"/>
    </xf>
    <xf numFmtId="0" fontId="0" fillId="4" borderId="0" xfId="0" applyFill="1"/>
  </cellXfs>
  <cellStyles count="1">
    <cellStyle name="Normale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255270</xdr:colOff>
      <xdr:row>4</xdr:row>
      <xdr:rowOff>49530</xdr:rowOff>
    </xdr:from>
    <xdr:to>
      <xdr:col>21</xdr:col>
      <xdr:colOff>571500</xdr:colOff>
      <xdr:row>5</xdr:row>
      <xdr:rowOff>173003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CB04BB-9C07-4C93-8FF3-046C33A90F52}"/>
            </a:ext>
          </a:extLst>
        </xdr:cNvPr>
        <xdr:cNvSpPr>
          <a:spLocks noChangeArrowheads="1"/>
        </xdr:cNvSpPr>
      </xdr:nvSpPr>
      <xdr:spPr bwMode="auto">
        <a:xfrm>
          <a:off x="4520565" y="596265"/>
          <a:ext cx="1537335" cy="296828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it-IT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autoSamVitH4BeJo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it-IT" sz="7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it-IT" sz="4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it-IT" altLang="it-IT" sz="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77B42-10AA-457C-893A-AACA379AB38D}" name="Tabella1" displayName="Tabella1" ref="C8:E84" totalsRowCount="1">
  <autoFilter ref="C8:E83" xr:uid="{1AD77B42-10AA-457C-893A-AACA379AB38D}"/>
  <tableColumns count="3">
    <tableColumn id="1" xr3:uid="{3A84D958-CF32-4DA7-8E29-5280791F26B4}" name="time" totalsRowFunction="custom">
      <totalsRowFormula>AVERAGE(Tabella1[time])</totalsRowFormula>
    </tableColumn>
    <tableColumn id="2" xr3:uid="{B854816D-716D-4093-B0A3-4251B9342861}" name="index"/>
    <tableColumn id="3" xr3:uid="{737CC8B6-C242-465A-BC6D-36F8F3FEAFD1}" name="iou" totalsRowFunction="averag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5CF884-5630-47B7-876A-942F5D731DBA}" name="Tabella13" displayName="Tabella13" ref="N8:P85" totalsRowShown="0">
  <autoFilter ref="N8:P85" xr:uid="{805CF884-5630-47B7-876A-942F5D731DBA}"/>
  <tableColumns count="3">
    <tableColumn id="1" xr3:uid="{AA20CAE3-F5CC-4AAE-A5CA-0F92F99CA86F}" name="time"/>
    <tableColumn id="2" xr3:uid="{C501CC73-3195-4AF5-ADD6-59573A1A09C3}" name="index"/>
    <tableColumn id="3" xr3:uid="{14D92E62-33E8-420B-B1B9-6D4FFB15F167}" name="iou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427208-6431-4EB8-99F1-6C247F3CF8F1}" name="Tabella2" displayName="Tabella2" ref="Z9:AB85" totalsRowCount="1">
  <autoFilter ref="Z9:AB84" xr:uid="{60427208-6431-4EB8-99F1-6C247F3CF8F1}"/>
  <tableColumns count="3">
    <tableColumn id="1" xr3:uid="{A9821DD4-C4BD-454F-BB0E-987F7D84DDD5}" name="time" totalsRowFunction="custom" totalsRowDxfId="2">
      <totalsRowFormula>AVERAGE(Z10:Z84)</totalsRowFormula>
    </tableColumn>
    <tableColumn id="2" xr3:uid="{6577E38C-7720-4227-B9D7-EE09FE257FBA}" name="index" totalsRowLabel="MEDIA" totalsRowDxfId="1"/>
    <tableColumn id="3" xr3:uid="{F3355B50-BCBD-4A0D-8A73-AF7D8F8C5AC6}" name="iou" totalsRowFunction="custom" totalsRowDxfId="0">
      <totalsRowFormula>AVERAGE(AB10:AB84)</totalsRow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EA7D2E-20A3-4D31-BD9C-3CD8F9D8587A}" name="Tabella3" displayName="Tabella3" ref="T8:V85" totalsRowShown="0">
  <autoFilter ref="T8:V85" xr:uid="{36EA7D2E-20A3-4D31-BD9C-3CD8F9D8587A}"/>
  <tableColumns count="3">
    <tableColumn id="1" xr3:uid="{368EE297-D06C-4E3D-9538-CD2B102A5CDE}" name="time"/>
    <tableColumn id="2" xr3:uid="{E923343D-4818-4ED0-82A6-A2683DB5494D}" name="index"/>
    <tableColumn id="3" xr3:uid="{FC28F42C-9818-4C14-B50E-25FFBFF245B1}" name="iou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B87"/>
  <sheetViews>
    <sheetView tabSelected="1" workbookViewId="0">
      <selection activeCell="I3" sqref="I3"/>
    </sheetView>
  </sheetViews>
  <sheetFormatPr defaultRowHeight="14.4"/>
  <cols>
    <col min="12" max="12" width="46.109375" customWidth="1"/>
  </cols>
  <sheetData>
    <row r="1" spans="3:28">
      <c r="I1" t="s">
        <v>4</v>
      </c>
    </row>
    <row r="2" spans="3:28">
      <c r="H2" s="9" t="s">
        <v>12</v>
      </c>
      <c r="I2" s="10"/>
      <c r="J2" s="10"/>
      <c r="K2" s="10"/>
    </row>
    <row r="3" spans="3:28">
      <c r="I3" s="11" t="s">
        <v>13</v>
      </c>
      <c r="U3" t="s">
        <v>4</v>
      </c>
    </row>
    <row r="4" spans="3:28">
      <c r="T4" s="2" t="s">
        <v>5</v>
      </c>
      <c r="U4" s="3"/>
      <c r="V4" s="3"/>
      <c r="AA4" s="4" t="s">
        <v>6</v>
      </c>
    </row>
    <row r="5" spans="3:28">
      <c r="D5" s="12" t="s">
        <v>3</v>
      </c>
      <c r="AA5" s="5" t="s">
        <v>7</v>
      </c>
    </row>
    <row r="6" spans="3:28">
      <c r="P6" s="6" t="s">
        <v>8</v>
      </c>
      <c r="U6" s="7" t="s">
        <v>9</v>
      </c>
    </row>
    <row r="8" spans="3:28">
      <c r="C8" t="s">
        <v>0</v>
      </c>
      <c r="D8" t="s">
        <v>1</v>
      </c>
      <c r="E8" t="s">
        <v>2</v>
      </c>
      <c r="N8" t="s">
        <v>0</v>
      </c>
      <c r="O8" t="s">
        <v>1</v>
      </c>
      <c r="P8" t="s">
        <v>2</v>
      </c>
      <c r="T8" t="s">
        <v>0</v>
      </c>
      <c r="U8" t="s">
        <v>1</v>
      </c>
      <c r="V8" t="s">
        <v>2</v>
      </c>
      <c r="AA8" s="7" t="s">
        <v>9</v>
      </c>
    </row>
    <row r="9" spans="3:28">
      <c r="C9">
        <v>6010.4250907898004</v>
      </c>
      <c r="D9">
        <v>0</v>
      </c>
      <c r="E9">
        <v>0.92537408671792998</v>
      </c>
      <c r="N9">
        <v>31631.437063216999</v>
      </c>
      <c r="O9">
        <v>0</v>
      </c>
      <c r="P9">
        <v>0.86789252022805996</v>
      </c>
      <c r="T9">
        <v>516.47806167603005</v>
      </c>
      <c r="U9">
        <v>0</v>
      </c>
      <c r="V9">
        <v>0.87676778750529005</v>
      </c>
      <c r="Z9" t="s">
        <v>0</v>
      </c>
      <c r="AA9" t="s">
        <v>1</v>
      </c>
      <c r="AB9" t="s">
        <v>2</v>
      </c>
    </row>
    <row r="10" spans="3:28">
      <c r="C10">
        <v>21883.603096007999</v>
      </c>
      <c r="D10">
        <v>1</v>
      </c>
      <c r="E10">
        <v>0.92713363436205998</v>
      </c>
      <c r="N10">
        <v>105930.40180206001</v>
      </c>
      <c r="O10">
        <v>1</v>
      </c>
      <c r="P10">
        <v>0.87848405014011999</v>
      </c>
      <c r="T10">
        <v>45.124292373656999</v>
      </c>
      <c r="U10">
        <v>1</v>
      </c>
      <c r="V10">
        <v>0.85975022163975001</v>
      </c>
      <c r="Z10">
        <v>1040.5108928679999</v>
      </c>
      <c r="AA10">
        <v>0</v>
      </c>
      <c r="AB10">
        <v>0.93054479899513998</v>
      </c>
    </row>
    <row r="11" spans="3:28">
      <c r="C11">
        <v>4934.4692230225</v>
      </c>
      <c r="D11">
        <v>2</v>
      </c>
      <c r="E11">
        <v>0.93213317472613</v>
      </c>
      <c r="N11">
        <v>20426.547765732001</v>
      </c>
      <c r="O11">
        <v>2</v>
      </c>
      <c r="P11">
        <v>0.86953596591228</v>
      </c>
      <c r="T11">
        <v>25.734663009643999</v>
      </c>
      <c r="U11">
        <v>2</v>
      </c>
      <c r="V11">
        <v>0.88387511465156998</v>
      </c>
      <c r="Z11">
        <v>671.68617248534997</v>
      </c>
      <c r="AA11">
        <v>1</v>
      </c>
      <c r="AB11">
        <v>0.92999765721743999</v>
      </c>
    </row>
    <row r="12" spans="3:28">
      <c r="C12">
        <v>6733.4170341491999</v>
      </c>
      <c r="D12">
        <v>3</v>
      </c>
      <c r="E12">
        <v>0.93070226349391005</v>
      </c>
      <c r="N12">
        <v>15612.75434494</v>
      </c>
      <c r="O12">
        <v>3</v>
      </c>
      <c r="P12">
        <v>0.86624892257596997</v>
      </c>
      <c r="T12">
        <v>24.735927581786999</v>
      </c>
      <c r="U12">
        <v>3</v>
      </c>
      <c r="V12">
        <v>0.85658758531037005</v>
      </c>
      <c r="Z12">
        <v>925.08506774902003</v>
      </c>
      <c r="AA12">
        <v>2</v>
      </c>
      <c r="AB12">
        <v>0.93259511077847002</v>
      </c>
    </row>
    <row r="13" spans="3:28">
      <c r="C13">
        <v>4430.7515621185003</v>
      </c>
      <c r="D13">
        <v>4</v>
      </c>
      <c r="E13">
        <v>0.89992696653349002</v>
      </c>
      <c r="N13">
        <v>3884.2408657074002</v>
      </c>
      <c r="O13">
        <v>4</v>
      </c>
      <c r="P13">
        <v>0.85663486251452003</v>
      </c>
      <c r="T13">
        <v>26.153564453125</v>
      </c>
      <c r="U13">
        <v>4</v>
      </c>
      <c r="V13">
        <v>0.84764434107552999</v>
      </c>
      <c r="Z13">
        <v>699.02896881104004</v>
      </c>
      <c r="AA13">
        <v>3</v>
      </c>
      <c r="AB13">
        <v>0.93481036904610004</v>
      </c>
    </row>
    <row r="14" spans="3:28">
      <c r="C14">
        <v>5540.7156944275002</v>
      </c>
      <c r="D14">
        <v>5</v>
      </c>
      <c r="E14">
        <v>0.92926408391134996</v>
      </c>
      <c r="N14">
        <v>4490.5872344971003</v>
      </c>
      <c r="O14">
        <v>5</v>
      </c>
      <c r="P14">
        <v>0.85797767376237999</v>
      </c>
      <c r="T14">
        <v>24.775743484496999</v>
      </c>
      <c r="U14">
        <v>5</v>
      </c>
      <c r="V14">
        <v>0.88137396517713995</v>
      </c>
      <c r="Z14">
        <v>666.57757759094</v>
      </c>
      <c r="AA14">
        <v>4</v>
      </c>
      <c r="AB14">
        <v>0.94088215833649003</v>
      </c>
    </row>
    <row r="15" spans="3:28">
      <c r="C15">
        <v>9079.9584388733001</v>
      </c>
      <c r="D15">
        <v>6</v>
      </c>
      <c r="E15">
        <v>0.90282737503480004</v>
      </c>
      <c r="N15">
        <v>4702.3766040802002</v>
      </c>
      <c r="O15">
        <v>6</v>
      </c>
      <c r="P15">
        <v>0.82440861691268996</v>
      </c>
      <c r="T15">
        <v>25.252342224121001</v>
      </c>
      <c r="U15">
        <v>6</v>
      </c>
      <c r="V15">
        <v>0.85807570947846001</v>
      </c>
      <c r="Z15">
        <v>665.88354110718001</v>
      </c>
      <c r="AA15">
        <v>5</v>
      </c>
      <c r="AB15">
        <v>0.91230168980002002</v>
      </c>
    </row>
    <row r="16" spans="3:28">
      <c r="C16">
        <v>5405.2536487579</v>
      </c>
      <c r="D16">
        <v>7</v>
      </c>
      <c r="E16">
        <v>0.92715546901307</v>
      </c>
      <c r="N16">
        <v>5621.3133335113998</v>
      </c>
      <c r="O16">
        <v>7</v>
      </c>
      <c r="P16">
        <v>0.84781036813480004</v>
      </c>
      <c r="T16">
        <v>24.701833724976002</v>
      </c>
      <c r="U16">
        <v>7</v>
      </c>
      <c r="V16">
        <v>0.84238325219833998</v>
      </c>
      <c r="Z16">
        <v>662.44316101074003</v>
      </c>
      <c r="AA16">
        <v>6</v>
      </c>
      <c r="AB16">
        <v>0.93266715411487999</v>
      </c>
    </row>
    <row r="17" spans="3:28">
      <c r="C17">
        <v>7976.8891334534001</v>
      </c>
      <c r="D17">
        <v>8</v>
      </c>
      <c r="E17">
        <v>0.89787869443137003</v>
      </c>
      <c r="N17">
        <v>4925.4529476165999</v>
      </c>
      <c r="O17">
        <v>8</v>
      </c>
      <c r="P17">
        <v>0.85970693852904001</v>
      </c>
      <c r="T17">
        <v>25.173425674438</v>
      </c>
      <c r="U17">
        <v>8</v>
      </c>
      <c r="V17">
        <v>0.88366302393138996</v>
      </c>
      <c r="Z17">
        <v>669.53730583190998</v>
      </c>
      <c r="AA17">
        <v>7</v>
      </c>
      <c r="AB17">
        <v>0.92609263279341003</v>
      </c>
    </row>
    <row r="18" spans="3:28">
      <c r="C18">
        <v>3935.9610080718999</v>
      </c>
      <c r="D18">
        <v>9</v>
      </c>
      <c r="E18">
        <v>0.91861608339901002</v>
      </c>
      <c r="N18">
        <v>4717.7793979645003</v>
      </c>
      <c r="O18">
        <v>9</v>
      </c>
      <c r="P18">
        <v>0.85669823015851998</v>
      </c>
      <c r="T18">
        <v>24.697780609131001</v>
      </c>
      <c r="U18">
        <v>9</v>
      </c>
      <c r="V18">
        <v>0.87698216852991995</v>
      </c>
      <c r="Z18">
        <v>667.66786575316996</v>
      </c>
      <c r="AA18">
        <v>8</v>
      </c>
      <c r="AB18">
        <v>0.93932692200293</v>
      </c>
    </row>
    <row r="19" spans="3:28">
      <c r="C19">
        <v>3863.9264106750002</v>
      </c>
      <c r="D19">
        <v>10</v>
      </c>
      <c r="E19">
        <v>0.92564113051659003</v>
      </c>
      <c r="N19">
        <v>4937.1318817138999</v>
      </c>
      <c r="O19">
        <v>10</v>
      </c>
      <c r="P19">
        <v>0.87061554083458004</v>
      </c>
      <c r="T19">
        <v>24.939298629761002</v>
      </c>
      <c r="U19">
        <v>10</v>
      </c>
      <c r="V19">
        <v>0.86622953248870005</v>
      </c>
      <c r="Z19">
        <v>657.55820274353005</v>
      </c>
      <c r="AA19">
        <v>9</v>
      </c>
      <c r="AB19">
        <v>0.93616167899941005</v>
      </c>
    </row>
    <row r="20" spans="3:28">
      <c r="C20">
        <v>3726.6089916228998</v>
      </c>
      <c r="D20">
        <v>11</v>
      </c>
      <c r="E20">
        <v>0.91507759487308005</v>
      </c>
      <c r="N20">
        <v>5195.5049037933004</v>
      </c>
      <c r="O20">
        <v>11</v>
      </c>
      <c r="P20">
        <v>0.88463619921101999</v>
      </c>
      <c r="T20">
        <v>25.927066802978999</v>
      </c>
      <c r="U20">
        <v>11</v>
      </c>
      <c r="V20">
        <v>0.87114977879988997</v>
      </c>
      <c r="Z20">
        <v>667.45829582214003</v>
      </c>
      <c r="AA20">
        <v>10</v>
      </c>
      <c r="AB20">
        <v>0.93789735623255999</v>
      </c>
    </row>
    <row r="21" spans="3:28">
      <c r="C21">
        <v>3805.0451278687001</v>
      </c>
      <c r="D21">
        <v>12</v>
      </c>
      <c r="E21">
        <v>0.92409518470067997</v>
      </c>
      <c r="N21">
        <v>5251.6319751740002</v>
      </c>
      <c r="O21">
        <v>12</v>
      </c>
      <c r="P21">
        <v>0.87194369544354</v>
      </c>
      <c r="T21">
        <v>25.147676467896002</v>
      </c>
      <c r="U21">
        <v>12</v>
      </c>
      <c r="V21">
        <v>0.87147263397551</v>
      </c>
      <c r="Z21">
        <v>669.68750953673998</v>
      </c>
      <c r="AA21">
        <v>11</v>
      </c>
      <c r="AB21">
        <v>0.91828727523078002</v>
      </c>
    </row>
    <row r="22" spans="3:28">
      <c r="C22">
        <v>3710.0410461426</v>
      </c>
      <c r="D22">
        <v>13</v>
      </c>
      <c r="E22">
        <v>0.92461851775331005</v>
      </c>
      <c r="N22">
        <v>4757.180929184</v>
      </c>
      <c r="O22">
        <v>13</v>
      </c>
      <c r="P22">
        <v>0.85800714731135996</v>
      </c>
      <c r="T22">
        <v>25.147438049316001</v>
      </c>
      <c r="U22">
        <v>13</v>
      </c>
      <c r="V22">
        <v>0.86623023039457003</v>
      </c>
      <c r="Z22">
        <v>657.88078308105003</v>
      </c>
      <c r="AA22">
        <v>12</v>
      </c>
      <c r="AB22">
        <v>0.92812201519126003</v>
      </c>
    </row>
    <row r="23" spans="3:28">
      <c r="C23">
        <v>3625.7445812225001</v>
      </c>
      <c r="D23">
        <v>14</v>
      </c>
      <c r="E23">
        <v>0.91661288137754005</v>
      </c>
      <c r="N23">
        <v>5928.6425113677997</v>
      </c>
      <c r="O23">
        <v>14</v>
      </c>
      <c r="P23">
        <v>0.85222932580538002</v>
      </c>
      <c r="T23">
        <v>25.207757949828999</v>
      </c>
      <c r="U23">
        <v>14</v>
      </c>
      <c r="V23">
        <v>0.87843982817638999</v>
      </c>
      <c r="Z23">
        <v>662.35542297362997</v>
      </c>
      <c r="AA23">
        <v>13</v>
      </c>
      <c r="AB23">
        <v>0.92795149768141005</v>
      </c>
    </row>
    <row r="24" spans="3:28">
      <c r="C24">
        <v>4438.2512569426999</v>
      </c>
      <c r="D24">
        <v>15</v>
      </c>
      <c r="E24">
        <v>0.92001159252282005</v>
      </c>
      <c r="N24">
        <v>4832.2708606719998</v>
      </c>
      <c r="O24">
        <v>15</v>
      </c>
      <c r="P24">
        <v>0.85943088061963002</v>
      </c>
      <c r="T24">
        <v>24.837255477905</v>
      </c>
      <c r="U24">
        <v>15</v>
      </c>
      <c r="V24">
        <v>0.87979417297485996</v>
      </c>
      <c r="Z24">
        <v>676.30290985107001</v>
      </c>
      <c r="AA24">
        <v>14</v>
      </c>
      <c r="AB24">
        <v>0.93761455065080002</v>
      </c>
    </row>
    <row r="25" spans="3:28">
      <c r="C25">
        <v>5437.1595382690002</v>
      </c>
      <c r="D25">
        <v>16</v>
      </c>
      <c r="E25">
        <v>0.91313364055299995</v>
      </c>
      <c r="N25">
        <v>4600.4810333251999</v>
      </c>
      <c r="O25">
        <v>16</v>
      </c>
      <c r="P25">
        <v>0.86755416931669005</v>
      </c>
      <c r="T25">
        <v>25.155305862426999</v>
      </c>
      <c r="U25">
        <v>16</v>
      </c>
      <c r="V25">
        <v>0.87146869555942996</v>
      </c>
      <c r="Z25">
        <v>961.69471740722997</v>
      </c>
      <c r="AA25">
        <v>15</v>
      </c>
      <c r="AB25">
        <v>0.93056787620213999</v>
      </c>
    </row>
    <row r="26" spans="3:28">
      <c r="C26">
        <v>5164.9572849274</v>
      </c>
      <c r="D26">
        <v>17</v>
      </c>
      <c r="E26">
        <v>0.92750214179430002</v>
      </c>
      <c r="N26">
        <v>4231.9834232330004</v>
      </c>
      <c r="O26">
        <v>17</v>
      </c>
      <c r="P26">
        <v>0.86382880047703003</v>
      </c>
      <c r="T26">
        <v>24.856090545653998</v>
      </c>
      <c r="U26">
        <v>17</v>
      </c>
      <c r="V26">
        <v>0.85938362899206999</v>
      </c>
      <c r="Z26">
        <v>664.83259201049998</v>
      </c>
      <c r="AA26">
        <v>16</v>
      </c>
      <c r="AB26">
        <v>0.93082491807664003</v>
      </c>
    </row>
    <row r="27" spans="3:28">
      <c r="C27">
        <v>9086.5476131439009</v>
      </c>
      <c r="D27">
        <v>18</v>
      </c>
      <c r="E27">
        <v>0.91301042042364</v>
      </c>
      <c r="N27">
        <v>4111.6123199463</v>
      </c>
      <c r="O27">
        <v>18</v>
      </c>
      <c r="P27">
        <v>0.87951558077316006</v>
      </c>
      <c r="T27">
        <v>25.172710418701001</v>
      </c>
      <c r="U27">
        <v>18</v>
      </c>
      <c r="V27">
        <v>0.85806285265423998</v>
      </c>
      <c r="Z27">
        <v>660.47596931457997</v>
      </c>
      <c r="AA27">
        <v>17</v>
      </c>
      <c r="AB27">
        <v>0.90821419420958005</v>
      </c>
    </row>
    <row r="28" spans="3:28">
      <c r="C28">
        <v>14051.740884781</v>
      </c>
      <c r="D28">
        <v>19</v>
      </c>
      <c r="E28">
        <v>0.91994438461414996</v>
      </c>
      <c r="N28">
        <v>5149.3837833404996</v>
      </c>
      <c r="O28">
        <v>19</v>
      </c>
      <c r="P28">
        <v>0.82818686257176999</v>
      </c>
      <c r="T28">
        <v>24.729490280151001</v>
      </c>
      <c r="U28">
        <v>19</v>
      </c>
      <c r="V28">
        <v>0.87382321987226996</v>
      </c>
      <c r="Z28">
        <v>671.30827903748002</v>
      </c>
      <c r="AA28">
        <v>18</v>
      </c>
      <c r="AB28">
        <v>0.92634264614994999</v>
      </c>
    </row>
    <row r="29" spans="3:28">
      <c r="C29">
        <v>7905.7652950287002</v>
      </c>
      <c r="D29">
        <v>20</v>
      </c>
      <c r="E29">
        <v>0.89405876914419002</v>
      </c>
      <c r="N29">
        <v>5126.0385513306001</v>
      </c>
      <c r="O29">
        <v>20</v>
      </c>
      <c r="P29">
        <v>0.87398428045164001</v>
      </c>
      <c r="T29">
        <v>24.940967559813998</v>
      </c>
      <c r="U29">
        <v>20</v>
      </c>
      <c r="V29">
        <v>0.85962017363923005</v>
      </c>
      <c r="Z29">
        <v>681.11634254455998</v>
      </c>
      <c r="AA29">
        <v>19</v>
      </c>
      <c r="AB29">
        <v>0.92030293291139997</v>
      </c>
    </row>
    <row r="30" spans="3:28">
      <c r="C30">
        <v>7033.6875915526998</v>
      </c>
      <c r="D30">
        <v>21</v>
      </c>
      <c r="E30">
        <v>0.91406726356664003</v>
      </c>
      <c r="N30">
        <v>4112.6453876494998</v>
      </c>
      <c r="O30">
        <v>21</v>
      </c>
      <c r="P30">
        <v>0.87113040265977004</v>
      </c>
      <c r="T30">
        <v>24.760961532593001</v>
      </c>
      <c r="U30">
        <v>21</v>
      </c>
      <c r="V30">
        <v>0.87842446070730995</v>
      </c>
      <c r="Z30">
        <v>667.05942153931005</v>
      </c>
      <c r="AA30">
        <v>20</v>
      </c>
      <c r="AB30">
        <v>0.92365156090764999</v>
      </c>
    </row>
    <row r="31" spans="3:28">
      <c r="C31">
        <v>5239.4254207611002</v>
      </c>
      <c r="D31">
        <v>22</v>
      </c>
      <c r="E31">
        <v>0.92758599335309999</v>
      </c>
      <c r="N31">
        <v>4081.2766551970999</v>
      </c>
      <c r="O31">
        <v>22</v>
      </c>
      <c r="P31">
        <v>0.88213161163590004</v>
      </c>
      <c r="T31">
        <v>25.018930435181002</v>
      </c>
      <c r="U31">
        <v>22</v>
      </c>
      <c r="V31">
        <v>0.85765795174644999</v>
      </c>
      <c r="Z31">
        <v>663.44666481017998</v>
      </c>
      <c r="AA31">
        <v>21</v>
      </c>
      <c r="AB31">
        <v>0.93016868823154997</v>
      </c>
    </row>
    <row r="32" spans="3:28">
      <c r="C32">
        <v>4512.8774642943999</v>
      </c>
      <c r="D32">
        <v>23</v>
      </c>
      <c r="E32">
        <v>0.93168480971802003</v>
      </c>
      <c r="N32">
        <v>12836.832284927001</v>
      </c>
      <c r="O32">
        <v>23</v>
      </c>
      <c r="P32">
        <v>0.87137047464664996</v>
      </c>
      <c r="T32">
        <v>24.87587928772</v>
      </c>
      <c r="U32">
        <v>23</v>
      </c>
      <c r="V32">
        <v>0.87100611557315999</v>
      </c>
      <c r="Z32">
        <v>664.22319412231002</v>
      </c>
      <c r="AA32">
        <v>22</v>
      </c>
      <c r="AB32">
        <v>0.93270712607128003</v>
      </c>
    </row>
    <row r="33" spans="3:28">
      <c r="C33">
        <v>5064.3496513366999</v>
      </c>
      <c r="D33">
        <v>24</v>
      </c>
      <c r="E33">
        <v>0.93209172494521997</v>
      </c>
      <c r="N33">
        <v>11081.079959868999</v>
      </c>
      <c r="O33">
        <v>24</v>
      </c>
      <c r="P33">
        <v>0.85995660905114002</v>
      </c>
      <c r="T33">
        <v>25.09069442749</v>
      </c>
      <c r="U33">
        <v>24</v>
      </c>
      <c r="V33">
        <v>0.89276484892993002</v>
      </c>
      <c r="Z33">
        <v>666.80884361266999</v>
      </c>
      <c r="AA33">
        <v>23</v>
      </c>
      <c r="AB33">
        <v>0.94010587170021997</v>
      </c>
    </row>
    <row r="34" spans="3:28">
      <c r="C34">
        <v>4342.8585529327001</v>
      </c>
      <c r="D34">
        <v>25</v>
      </c>
      <c r="E34">
        <v>0.91485451186692002</v>
      </c>
      <c r="N34">
        <v>7301.3231754302997</v>
      </c>
      <c r="O34">
        <v>25</v>
      </c>
      <c r="P34">
        <v>0.79882019682854999</v>
      </c>
      <c r="T34">
        <v>25.093793869018999</v>
      </c>
      <c r="U34">
        <v>25</v>
      </c>
      <c r="V34">
        <v>0.86695334575472005</v>
      </c>
      <c r="Z34">
        <v>669.87681388855003</v>
      </c>
      <c r="AA34">
        <v>24</v>
      </c>
      <c r="AB34">
        <v>0.90532046563174995</v>
      </c>
    </row>
    <row r="35" spans="3:28">
      <c r="C35">
        <v>4371.1521625518999</v>
      </c>
      <c r="D35">
        <v>26</v>
      </c>
      <c r="E35">
        <v>0.91281642415786002</v>
      </c>
      <c r="N35">
        <v>5151.2298583984002</v>
      </c>
      <c r="O35">
        <v>26</v>
      </c>
      <c r="P35">
        <v>0.85717942974174999</v>
      </c>
      <c r="T35">
        <v>24.699449539185</v>
      </c>
      <c r="U35">
        <v>26</v>
      </c>
      <c r="V35">
        <v>0.85337386300353002</v>
      </c>
      <c r="Z35">
        <v>870.27025222778002</v>
      </c>
      <c r="AA35">
        <v>25</v>
      </c>
      <c r="AB35">
        <v>0.91350683711073</v>
      </c>
    </row>
    <row r="36" spans="3:28">
      <c r="C36">
        <v>4436.5031719208</v>
      </c>
      <c r="D36">
        <v>27</v>
      </c>
      <c r="E36">
        <v>0.91165385665794996</v>
      </c>
      <c r="N36">
        <v>5657.1993827819997</v>
      </c>
      <c r="O36">
        <v>27</v>
      </c>
      <c r="P36">
        <v>0.87834482758621002</v>
      </c>
      <c r="T36">
        <v>24.665594100951999</v>
      </c>
      <c r="U36">
        <v>27</v>
      </c>
      <c r="V36">
        <v>0.85950964969497001</v>
      </c>
      <c r="Z36">
        <v>672.10006713867006</v>
      </c>
      <c r="AA36">
        <v>26</v>
      </c>
      <c r="AB36">
        <v>0.92171545937872001</v>
      </c>
    </row>
    <row r="37" spans="3:28">
      <c r="C37">
        <v>5151.0846614838001</v>
      </c>
      <c r="D37">
        <v>28</v>
      </c>
      <c r="E37">
        <v>0.88813811305626</v>
      </c>
      <c r="N37">
        <v>5333.9784145354997</v>
      </c>
      <c r="O37">
        <v>28</v>
      </c>
      <c r="P37">
        <v>0.86458465268605</v>
      </c>
      <c r="T37">
        <v>24.99532699585</v>
      </c>
      <c r="U37">
        <v>28</v>
      </c>
      <c r="V37">
        <v>0.86705214510309003</v>
      </c>
      <c r="Z37">
        <v>666.65339469909998</v>
      </c>
      <c r="AA37">
        <v>27</v>
      </c>
      <c r="AB37">
        <v>0.92435720627964002</v>
      </c>
    </row>
    <row r="38" spans="3:28">
      <c r="C38">
        <v>4190.3162002563004</v>
      </c>
      <c r="D38">
        <v>29</v>
      </c>
      <c r="E38">
        <v>0.91953114060015995</v>
      </c>
      <c r="N38">
        <v>5109.7977161406998</v>
      </c>
      <c r="O38">
        <v>29</v>
      </c>
      <c r="P38">
        <v>0.86382038730334998</v>
      </c>
      <c r="T38">
        <v>24.903059005736999</v>
      </c>
      <c r="U38">
        <v>29</v>
      </c>
      <c r="V38">
        <v>0.86987969063306003</v>
      </c>
      <c r="Z38">
        <v>667.28401184081997</v>
      </c>
      <c r="AA38">
        <v>28</v>
      </c>
      <c r="AB38">
        <v>0.94299502739597996</v>
      </c>
    </row>
    <row r="39" spans="3:28">
      <c r="C39">
        <v>4158.8585376740002</v>
      </c>
      <c r="D39">
        <v>30</v>
      </c>
      <c r="E39">
        <v>0.91589677080904996</v>
      </c>
      <c r="N39">
        <v>9542.4191951752</v>
      </c>
      <c r="O39">
        <v>30</v>
      </c>
      <c r="P39">
        <v>0.85770885888114001</v>
      </c>
      <c r="T39">
        <v>24.628400802611999</v>
      </c>
      <c r="U39">
        <v>30</v>
      </c>
      <c r="V39">
        <v>0.79881008869584003</v>
      </c>
      <c r="Z39">
        <v>666.53251647949003</v>
      </c>
      <c r="AA39">
        <v>29</v>
      </c>
      <c r="AB39">
        <v>0.92897621995860002</v>
      </c>
    </row>
    <row r="40" spans="3:28">
      <c r="C40">
        <v>4604.3047904967998</v>
      </c>
      <c r="D40">
        <v>31</v>
      </c>
      <c r="E40">
        <v>0.90342131979694995</v>
      </c>
      <c r="N40">
        <v>16190.443992615001</v>
      </c>
      <c r="O40">
        <v>31</v>
      </c>
      <c r="P40">
        <v>0.85378266956461002</v>
      </c>
      <c r="T40">
        <v>25.017261505126999</v>
      </c>
      <c r="U40">
        <v>31</v>
      </c>
      <c r="V40">
        <v>0.86392822354601995</v>
      </c>
      <c r="Z40">
        <v>669.15774345397995</v>
      </c>
      <c r="AA40">
        <v>30</v>
      </c>
      <c r="AB40">
        <v>0.93414555077239003</v>
      </c>
    </row>
    <row r="41" spans="3:28">
      <c r="C41">
        <v>4072.5200176239</v>
      </c>
      <c r="D41">
        <v>32</v>
      </c>
      <c r="E41">
        <v>0.92437841593661996</v>
      </c>
      <c r="N41">
        <v>10099.493026733</v>
      </c>
      <c r="O41">
        <v>32</v>
      </c>
      <c r="P41">
        <v>0.86861061439319998</v>
      </c>
      <c r="T41">
        <v>24.611949920653998</v>
      </c>
      <c r="U41">
        <v>32</v>
      </c>
      <c r="V41">
        <v>0.85664744972054996</v>
      </c>
      <c r="Z41">
        <v>653.64694595337005</v>
      </c>
      <c r="AA41">
        <v>31</v>
      </c>
      <c r="AB41">
        <v>0.93015058104243997</v>
      </c>
    </row>
    <row r="42" spans="3:28">
      <c r="C42">
        <v>4824.4318962097004</v>
      </c>
      <c r="D42">
        <v>33</v>
      </c>
      <c r="E42">
        <v>0.91671922902029002</v>
      </c>
      <c r="N42">
        <v>11408.508300781001</v>
      </c>
      <c r="O42">
        <v>33</v>
      </c>
      <c r="P42">
        <v>0.88249298761716</v>
      </c>
      <c r="T42">
        <v>24.913787841796999</v>
      </c>
      <c r="U42">
        <v>33</v>
      </c>
      <c r="V42">
        <v>0.88248936199324002</v>
      </c>
      <c r="Z42">
        <v>664.60371017455998</v>
      </c>
      <c r="AA42">
        <v>32</v>
      </c>
      <c r="AB42">
        <v>0.93137308421928999</v>
      </c>
    </row>
    <row r="43" spans="3:28">
      <c r="C43">
        <v>4183.5825443268004</v>
      </c>
      <c r="D43">
        <v>34</v>
      </c>
      <c r="E43">
        <v>0.91759788290521005</v>
      </c>
      <c r="N43">
        <v>8701.3602256774993</v>
      </c>
      <c r="O43">
        <v>34</v>
      </c>
      <c r="P43">
        <v>0.87268607419925004</v>
      </c>
      <c r="T43">
        <v>25.944709777831999</v>
      </c>
      <c r="U43">
        <v>34</v>
      </c>
      <c r="V43">
        <v>0.87460085675680999</v>
      </c>
      <c r="Z43">
        <v>667.78111457825003</v>
      </c>
      <c r="AA43">
        <v>33</v>
      </c>
      <c r="AB43">
        <v>0.92665956546082995</v>
      </c>
    </row>
    <row r="44" spans="3:28">
      <c r="C44">
        <v>4177.7174472809002</v>
      </c>
      <c r="D44">
        <v>35</v>
      </c>
      <c r="E44">
        <v>0.92252190224607999</v>
      </c>
      <c r="N44">
        <v>8278.7563800812004</v>
      </c>
      <c r="O44">
        <v>35</v>
      </c>
      <c r="P44">
        <v>0.86987969063306003</v>
      </c>
      <c r="T44">
        <v>24.899482727051002</v>
      </c>
      <c r="U44">
        <v>35</v>
      </c>
      <c r="V44">
        <v>0.82800802139037</v>
      </c>
      <c r="Z44">
        <v>663.17057609558003</v>
      </c>
      <c r="AA44">
        <v>34</v>
      </c>
      <c r="AB44">
        <v>0.93419858083914997</v>
      </c>
    </row>
    <row r="45" spans="3:28">
      <c r="C45">
        <v>4056.2396049499998</v>
      </c>
      <c r="D45">
        <v>36</v>
      </c>
      <c r="E45">
        <v>0.91695478409727005</v>
      </c>
      <c r="N45">
        <v>10641.392946243001</v>
      </c>
      <c r="O45">
        <v>36</v>
      </c>
      <c r="P45">
        <v>0.86402236002077004</v>
      </c>
      <c r="T45">
        <v>25.360584259033001</v>
      </c>
      <c r="U45">
        <v>36</v>
      </c>
      <c r="V45">
        <v>0.86864724886335998</v>
      </c>
      <c r="Z45">
        <v>657.20319747924998</v>
      </c>
      <c r="AA45">
        <v>35</v>
      </c>
      <c r="AB45">
        <v>0.92857957486380005</v>
      </c>
    </row>
    <row r="46" spans="3:28">
      <c r="C46">
        <v>3776.8588066101001</v>
      </c>
      <c r="D46">
        <v>37</v>
      </c>
      <c r="E46">
        <v>0.91927738178518004</v>
      </c>
      <c r="N46">
        <v>7159.7144603729002</v>
      </c>
      <c r="O46">
        <v>37</v>
      </c>
      <c r="P46">
        <v>0.88388704318936995</v>
      </c>
      <c r="T46">
        <v>24.965524673461999</v>
      </c>
      <c r="U46">
        <v>37</v>
      </c>
      <c r="V46">
        <v>0.83607564307783999</v>
      </c>
      <c r="Z46">
        <v>862.14351654052996</v>
      </c>
      <c r="AA46">
        <v>36</v>
      </c>
      <c r="AB46">
        <v>0.90318476565705996</v>
      </c>
    </row>
    <row r="47" spans="3:28">
      <c r="C47">
        <v>3777.0855426787998</v>
      </c>
      <c r="D47">
        <v>38</v>
      </c>
      <c r="E47">
        <v>0.92445361757471001</v>
      </c>
      <c r="N47">
        <v>6922.3074913025002</v>
      </c>
      <c r="O47">
        <v>38</v>
      </c>
      <c r="P47">
        <v>0.84523489532000995</v>
      </c>
      <c r="T47">
        <v>24.828195571898998</v>
      </c>
      <c r="U47">
        <v>38</v>
      </c>
      <c r="V47">
        <v>0.85668442615744</v>
      </c>
      <c r="Z47">
        <v>761.11292839049997</v>
      </c>
      <c r="AA47">
        <v>37</v>
      </c>
      <c r="AB47">
        <v>0.93602300296523</v>
      </c>
    </row>
    <row r="48" spans="3:28">
      <c r="C48">
        <v>4027.2660255432002</v>
      </c>
      <c r="D48">
        <v>39</v>
      </c>
      <c r="E48">
        <v>0.91426347213824</v>
      </c>
      <c r="N48">
        <v>6188.4126663207999</v>
      </c>
      <c r="O48">
        <v>39</v>
      </c>
      <c r="P48">
        <v>0.87687668872615998</v>
      </c>
      <c r="T48">
        <v>24.650096893311002</v>
      </c>
      <c r="U48">
        <v>39</v>
      </c>
      <c r="V48">
        <v>0.83512854344089005</v>
      </c>
      <c r="Z48">
        <v>665.22431373595998</v>
      </c>
      <c r="AA48">
        <v>38</v>
      </c>
      <c r="AB48">
        <v>0.93456393238618996</v>
      </c>
    </row>
    <row r="49" spans="3:28">
      <c r="C49">
        <v>3740.4422760010002</v>
      </c>
      <c r="D49">
        <v>40</v>
      </c>
      <c r="E49">
        <v>0.92230710466004995</v>
      </c>
      <c r="N49">
        <v>5168.5841083527002</v>
      </c>
      <c r="O49">
        <v>40</v>
      </c>
      <c r="P49">
        <v>0.88122248363577005</v>
      </c>
      <c r="T49">
        <v>24.890661239623999</v>
      </c>
      <c r="U49">
        <v>40</v>
      </c>
      <c r="V49">
        <v>0.86405639051808003</v>
      </c>
      <c r="Z49">
        <v>665.10796546936001</v>
      </c>
      <c r="AA49">
        <v>39</v>
      </c>
      <c r="AB49">
        <v>0.94205077661311998</v>
      </c>
    </row>
    <row r="50" spans="3:28">
      <c r="C50">
        <v>4252.5100708008003</v>
      </c>
      <c r="D50">
        <v>41</v>
      </c>
      <c r="E50">
        <v>0.90684272217091999</v>
      </c>
      <c r="N50">
        <v>13466.912508011001</v>
      </c>
      <c r="O50">
        <v>41</v>
      </c>
      <c r="P50">
        <v>0.85932381529585999</v>
      </c>
      <c r="T50">
        <v>24.999618530273001</v>
      </c>
      <c r="U50">
        <v>41</v>
      </c>
      <c r="V50">
        <v>0.87398428045164001</v>
      </c>
      <c r="Z50">
        <v>670.34983634949003</v>
      </c>
      <c r="AA50">
        <v>40</v>
      </c>
      <c r="AB50">
        <v>0.93069784601412997</v>
      </c>
    </row>
    <row r="51" spans="3:28">
      <c r="C51">
        <v>4504.5721530913997</v>
      </c>
      <c r="D51">
        <v>42</v>
      </c>
      <c r="E51">
        <v>0.92079835494071005</v>
      </c>
      <c r="N51">
        <v>6187.9177093505996</v>
      </c>
      <c r="O51">
        <v>42</v>
      </c>
      <c r="P51">
        <v>0.86692456241015003</v>
      </c>
      <c r="T51">
        <v>25.866270065308001</v>
      </c>
      <c r="U51">
        <v>42</v>
      </c>
      <c r="V51">
        <v>0.86533150423331995</v>
      </c>
      <c r="Z51">
        <v>662.83559799193995</v>
      </c>
      <c r="AA51">
        <v>41</v>
      </c>
      <c r="AB51">
        <v>0.92904424479815995</v>
      </c>
    </row>
    <row r="52" spans="3:28">
      <c r="C52">
        <v>4151.6582965851003</v>
      </c>
      <c r="D52">
        <v>43</v>
      </c>
      <c r="E52">
        <v>0.92447504901651001</v>
      </c>
      <c r="N52">
        <v>7230.1425933838</v>
      </c>
      <c r="O52">
        <v>43</v>
      </c>
      <c r="P52">
        <v>0.85443144391585002</v>
      </c>
      <c r="T52">
        <v>24.837017059326001</v>
      </c>
      <c r="U52">
        <v>43</v>
      </c>
      <c r="V52">
        <v>0.86888420866593996</v>
      </c>
      <c r="Z52">
        <v>663.90562057495004</v>
      </c>
      <c r="AA52">
        <v>42</v>
      </c>
      <c r="AB52">
        <v>0.94203407236965997</v>
      </c>
    </row>
    <row r="53" spans="3:28">
      <c r="C53">
        <v>4260.9708309174002</v>
      </c>
      <c r="D53">
        <v>44</v>
      </c>
      <c r="E53">
        <v>0.91895852893357</v>
      </c>
      <c r="N53">
        <v>11771.863460541001</v>
      </c>
      <c r="O53">
        <v>44</v>
      </c>
      <c r="P53">
        <v>0.84167714504232005</v>
      </c>
      <c r="T53">
        <v>25.026559829711999</v>
      </c>
      <c r="U53">
        <v>44</v>
      </c>
      <c r="V53">
        <v>0.8719796459368</v>
      </c>
      <c r="Z53">
        <v>669.49200630188</v>
      </c>
      <c r="AA53">
        <v>43</v>
      </c>
      <c r="AB53">
        <v>0.92516082797239996</v>
      </c>
    </row>
    <row r="54" spans="3:28">
      <c r="C54">
        <v>4136.8007659912</v>
      </c>
      <c r="D54">
        <v>45</v>
      </c>
      <c r="E54">
        <v>0.92921763869132001</v>
      </c>
      <c r="N54">
        <v>7021.4502811432003</v>
      </c>
      <c r="O54">
        <v>45</v>
      </c>
      <c r="P54">
        <v>0.86068413913312003</v>
      </c>
      <c r="T54">
        <v>24.634122848511002</v>
      </c>
      <c r="U54">
        <v>45</v>
      </c>
      <c r="V54">
        <v>0.85404573233720005</v>
      </c>
      <c r="Z54">
        <v>667.14429855346998</v>
      </c>
      <c r="AA54">
        <v>44</v>
      </c>
      <c r="AB54">
        <v>0.91151124500806002</v>
      </c>
    </row>
    <row r="55" spans="3:28">
      <c r="C55">
        <v>4252.6736259460004</v>
      </c>
      <c r="D55">
        <v>46</v>
      </c>
      <c r="E55">
        <v>0.92604231152261995</v>
      </c>
      <c r="N55">
        <v>7433.5911273955999</v>
      </c>
      <c r="O55">
        <v>46</v>
      </c>
      <c r="P55">
        <v>0.86707560707955</v>
      </c>
      <c r="T55">
        <v>25.205373764038001</v>
      </c>
      <c r="U55">
        <v>46</v>
      </c>
      <c r="V55">
        <v>0.86376510428691999</v>
      </c>
      <c r="Z55">
        <v>672.52850532532</v>
      </c>
      <c r="AA55">
        <v>45</v>
      </c>
      <c r="AB55">
        <v>0.89948500297611</v>
      </c>
    </row>
    <row r="56" spans="3:28">
      <c r="C56">
        <v>4431.7920207977004</v>
      </c>
      <c r="D56">
        <v>47</v>
      </c>
      <c r="E56">
        <v>0.92754920750388004</v>
      </c>
      <c r="N56">
        <v>7740.1483058928998</v>
      </c>
      <c r="O56">
        <v>47</v>
      </c>
      <c r="P56">
        <v>0.84247998768472998</v>
      </c>
      <c r="T56">
        <v>24.834156036376999</v>
      </c>
      <c r="U56">
        <v>47</v>
      </c>
      <c r="V56">
        <v>0.8666970890997</v>
      </c>
      <c r="Z56">
        <v>676.40256881714004</v>
      </c>
      <c r="AA56">
        <v>46</v>
      </c>
      <c r="AB56">
        <v>0.92358479689481998</v>
      </c>
    </row>
    <row r="57" spans="3:28">
      <c r="C57">
        <v>4107.2092056273996</v>
      </c>
      <c r="D57">
        <v>48</v>
      </c>
      <c r="E57">
        <v>0.91241119598312004</v>
      </c>
      <c r="N57">
        <v>5527.8694629668998</v>
      </c>
      <c r="O57">
        <v>48</v>
      </c>
      <c r="P57">
        <v>0.86638262399851995</v>
      </c>
      <c r="T57">
        <v>24.967193603516002</v>
      </c>
      <c r="U57">
        <v>48</v>
      </c>
      <c r="V57">
        <v>0.84570275125155003</v>
      </c>
      <c r="Z57">
        <v>662.99557685852005</v>
      </c>
      <c r="AA57">
        <v>47</v>
      </c>
      <c r="AB57">
        <v>0.93435448577681002</v>
      </c>
    </row>
    <row r="58" spans="3:28">
      <c r="C58">
        <v>4640.6745910645004</v>
      </c>
      <c r="D58">
        <v>49</v>
      </c>
      <c r="E58">
        <v>0.92449690148246999</v>
      </c>
      <c r="N58">
        <v>12753.866195679</v>
      </c>
      <c r="O58">
        <v>49</v>
      </c>
      <c r="P58">
        <v>0.87455694438553999</v>
      </c>
      <c r="T58">
        <v>24.87325668335</v>
      </c>
      <c r="U58">
        <v>49</v>
      </c>
      <c r="V58">
        <v>0.84170339642209002</v>
      </c>
      <c r="Z58">
        <v>664.57915306091002</v>
      </c>
      <c r="AA58">
        <v>48</v>
      </c>
      <c r="AB58">
        <v>0.92427537382139002</v>
      </c>
    </row>
    <row r="59" spans="3:28">
      <c r="C59">
        <v>5481.2262058258002</v>
      </c>
      <c r="D59">
        <v>50</v>
      </c>
      <c r="E59">
        <v>0.91929748023585001</v>
      </c>
      <c r="N59">
        <v>5410.1107120513998</v>
      </c>
      <c r="O59">
        <v>50</v>
      </c>
      <c r="P59">
        <v>0.87070458059321998</v>
      </c>
      <c r="T59">
        <v>26.168584823608001</v>
      </c>
      <c r="U59">
        <v>50</v>
      </c>
      <c r="V59">
        <v>0.85713294637282</v>
      </c>
      <c r="Z59">
        <v>931.66017532348997</v>
      </c>
      <c r="AA59">
        <v>49</v>
      </c>
      <c r="AB59">
        <v>0.87858821554473998</v>
      </c>
    </row>
    <row r="60" spans="3:28">
      <c r="C60">
        <v>4799.2918491363998</v>
      </c>
      <c r="D60">
        <v>51</v>
      </c>
      <c r="E60">
        <v>0.91324058384613005</v>
      </c>
      <c r="N60">
        <v>5060.7323646545001</v>
      </c>
      <c r="O60">
        <v>51</v>
      </c>
      <c r="P60">
        <v>0.87616929080703998</v>
      </c>
      <c r="T60">
        <v>24.987697601318001</v>
      </c>
      <c r="U60">
        <v>51</v>
      </c>
      <c r="V60">
        <v>0.88181040526373</v>
      </c>
      <c r="Z60">
        <v>657.96041488646995</v>
      </c>
      <c r="AA60">
        <v>50</v>
      </c>
      <c r="AB60">
        <v>0.92994689745144998</v>
      </c>
    </row>
    <row r="61" spans="3:28">
      <c r="C61">
        <v>4265.7313346863002</v>
      </c>
      <c r="D61">
        <v>52</v>
      </c>
      <c r="E61">
        <v>0.90484427647382004</v>
      </c>
      <c r="N61">
        <v>4453.6426067352004</v>
      </c>
      <c r="O61">
        <v>52</v>
      </c>
      <c r="P61">
        <v>0.85178135498996999</v>
      </c>
      <c r="T61">
        <v>24.872064590453999</v>
      </c>
      <c r="U61">
        <v>52</v>
      </c>
      <c r="V61">
        <v>0.87062487306208003</v>
      </c>
      <c r="Z61">
        <v>670.59445381165006</v>
      </c>
      <c r="AA61">
        <v>51</v>
      </c>
      <c r="AB61">
        <v>0.94861146150710995</v>
      </c>
    </row>
    <row r="62" spans="3:28">
      <c r="C62">
        <v>3979.8517227173002</v>
      </c>
      <c r="D62">
        <v>53</v>
      </c>
      <c r="E62">
        <v>0.92271708793585006</v>
      </c>
      <c r="N62">
        <v>4876.4309883118003</v>
      </c>
      <c r="O62">
        <v>53</v>
      </c>
      <c r="P62">
        <v>0.83522477346705004</v>
      </c>
      <c r="T62">
        <v>24.665117263793999</v>
      </c>
      <c r="U62">
        <v>53</v>
      </c>
      <c r="V62">
        <v>0.86459508199687995</v>
      </c>
      <c r="Z62">
        <v>666.14556312561001</v>
      </c>
      <c r="AA62">
        <v>52</v>
      </c>
      <c r="AB62">
        <v>0.93402029727789004</v>
      </c>
    </row>
    <row r="63" spans="3:28">
      <c r="C63">
        <v>4736.6001605988004</v>
      </c>
      <c r="D63">
        <v>54</v>
      </c>
      <c r="E63">
        <v>0.93319494110036005</v>
      </c>
      <c r="N63">
        <v>7527.6837348937997</v>
      </c>
      <c r="O63">
        <v>54</v>
      </c>
      <c r="P63">
        <v>0.84549353574623998</v>
      </c>
      <c r="T63">
        <v>24.999141693115</v>
      </c>
      <c r="U63">
        <v>54</v>
      </c>
      <c r="V63">
        <v>0.86965744080435003</v>
      </c>
      <c r="Z63">
        <v>666.21303558349996</v>
      </c>
      <c r="AA63">
        <v>53</v>
      </c>
      <c r="AB63">
        <v>0.92482843909890999</v>
      </c>
    </row>
    <row r="64" spans="3:28">
      <c r="C64">
        <v>4491.4057254790996</v>
      </c>
      <c r="D64">
        <v>55</v>
      </c>
      <c r="E64">
        <v>0.91808379766987003</v>
      </c>
      <c r="N64">
        <v>5531.51512146</v>
      </c>
      <c r="O64">
        <v>55</v>
      </c>
      <c r="P64">
        <v>0.83610880166776003</v>
      </c>
      <c r="T64">
        <v>24.729251861571999</v>
      </c>
      <c r="U64">
        <v>55</v>
      </c>
      <c r="V64">
        <v>0.86062676140477001</v>
      </c>
      <c r="Z64">
        <v>671.70119285582996</v>
      </c>
      <c r="AA64">
        <v>54</v>
      </c>
      <c r="AB64">
        <v>0.93979533497357004</v>
      </c>
    </row>
    <row r="65" spans="3:28">
      <c r="C65">
        <v>6133.0955028533999</v>
      </c>
      <c r="D65">
        <v>56</v>
      </c>
      <c r="E65">
        <v>0.92589638256291995</v>
      </c>
      <c r="N65">
        <v>4878.3125877379998</v>
      </c>
      <c r="O65">
        <v>56</v>
      </c>
      <c r="P65">
        <v>0.87489552737779996</v>
      </c>
      <c r="T65">
        <v>24.998426437378001</v>
      </c>
      <c r="U65">
        <v>56</v>
      </c>
      <c r="V65">
        <v>0.88724845572608002</v>
      </c>
      <c r="Z65">
        <v>656.58140182495004</v>
      </c>
      <c r="AA65">
        <v>55</v>
      </c>
      <c r="AB65">
        <v>0.92174435028249002</v>
      </c>
    </row>
    <row r="66" spans="3:28">
      <c r="C66">
        <v>4331.8841457366998</v>
      </c>
      <c r="D66">
        <v>57</v>
      </c>
      <c r="E66">
        <v>0.91943349647018002</v>
      </c>
      <c r="N66">
        <v>4729.8386096954</v>
      </c>
      <c r="O66">
        <v>57</v>
      </c>
      <c r="P66">
        <v>0.85956731715441004</v>
      </c>
      <c r="T66">
        <v>24.840593338013001</v>
      </c>
      <c r="U66">
        <v>57</v>
      </c>
      <c r="V66">
        <v>0.85166367802350995</v>
      </c>
      <c r="Z66">
        <v>669.61455345154002</v>
      </c>
      <c r="AA66">
        <v>56</v>
      </c>
      <c r="AB66">
        <v>0.92841400516521999</v>
      </c>
    </row>
    <row r="67" spans="3:28">
      <c r="C67">
        <v>4526.1201858520999</v>
      </c>
      <c r="D67">
        <v>58</v>
      </c>
      <c r="E67">
        <v>0.92329223327915</v>
      </c>
      <c r="N67">
        <v>4962.3074531555003</v>
      </c>
      <c r="O67">
        <v>58</v>
      </c>
      <c r="P67">
        <v>0.85168014100156997</v>
      </c>
      <c r="T67">
        <v>25.581836700438998</v>
      </c>
      <c r="U67">
        <v>58</v>
      </c>
      <c r="V67">
        <v>0.85189259100332004</v>
      </c>
      <c r="Z67">
        <v>670.88723182677995</v>
      </c>
      <c r="AA67">
        <v>57</v>
      </c>
      <c r="AB67">
        <v>0.93529169947254998</v>
      </c>
    </row>
    <row r="68" spans="3:28">
      <c r="C68">
        <v>5034.9349975586001</v>
      </c>
      <c r="D68">
        <v>59</v>
      </c>
      <c r="E68">
        <v>0.91921558128639003</v>
      </c>
      <c r="N68">
        <v>4482.2161197661999</v>
      </c>
      <c r="O68">
        <v>59</v>
      </c>
      <c r="P68">
        <v>0.85650684708925995</v>
      </c>
      <c r="T68">
        <v>25.018453598021999</v>
      </c>
      <c r="U68">
        <v>59</v>
      </c>
      <c r="V68">
        <v>0.85448772478188995</v>
      </c>
      <c r="Z68">
        <v>663.19251060485999</v>
      </c>
      <c r="AA68">
        <v>58</v>
      </c>
      <c r="AB68">
        <v>0.93251631767742005</v>
      </c>
    </row>
    <row r="69" spans="3:28">
      <c r="C69">
        <v>4991.4352893829</v>
      </c>
      <c r="D69">
        <v>60</v>
      </c>
      <c r="E69">
        <v>0.92459103174910995</v>
      </c>
      <c r="N69">
        <v>5371.0930347443</v>
      </c>
      <c r="O69">
        <v>60</v>
      </c>
      <c r="P69">
        <v>0.88367650971002998</v>
      </c>
      <c r="T69">
        <v>25.015830993651999</v>
      </c>
      <c r="U69">
        <v>60</v>
      </c>
      <c r="V69">
        <v>0.85714925697902</v>
      </c>
      <c r="Z69">
        <v>658.01692008971997</v>
      </c>
      <c r="AA69">
        <v>59</v>
      </c>
      <c r="AB69">
        <v>0.93114333787356995</v>
      </c>
    </row>
    <row r="70" spans="3:28">
      <c r="C70">
        <v>5045.0394153594998</v>
      </c>
      <c r="D70">
        <v>61</v>
      </c>
      <c r="E70">
        <v>0.91822898945219</v>
      </c>
      <c r="N70">
        <v>3782.5617790222</v>
      </c>
      <c r="O70">
        <v>61</v>
      </c>
      <c r="P70">
        <v>0.88175784314987005</v>
      </c>
      <c r="T70">
        <v>24.779081344603998</v>
      </c>
      <c r="U70">
        <v>61</v>
      </c>
      <c r="V70">
        <v>0.88487134132096001</v>
      </c>
      <c r="Z70">
        <v>672.32155799865996</v>
      </c>
      <c r="AA70">
        <v>60</v>
      </c>
      <c r="AB70">
        <v>0.92364230592028995</v>
      </c>
    </row>
    <row r="71" spans="3:28">
      <c r="C71">
        <v>4212.0578289032001</v>
      </c>
      <c r="D71">
        <v>62</v>
      </c>
      <c r="E71">
        <v>0.93099583217918003</v>
      </c>
      <c r="N71">
        <v>3766.8366432190001</v>
      </c>
      <c r="O71">
        <v>62</v>
      </c>
      <c r="P71">
        <v>0.88492964139809005</v>
      </c>
      <c r="T71">
        <v>24.883508682251001</v>
      </c>
      <c r="U71">
        <v>62</v>
      </c>
      <c r="V71">
        <v>0.8522246898718</v>
      </c>
      <c r="Z71">
        <v>667.50431060791004</v>
      </c>
      <c r="AA71">
        <v>61</v>
      </c>
      <c r="AB71">
        <v>0.93254295729190995</v>
      </c>
    </row>
    <row r="72" spans="3:28">
      <c r="C72">
        <v>4139.6911144257001</v>
      </c>
      <c r="D72">
        <v>63</v>
      </c>
      <c r="E72">
        <v>0.89525088990655</v>
      </c>
      <c r="N72">
        <v>5503.3097267150997</v>
      </c>
      <c r="O72">
        <v>63</v>
      </c>
      <c r="P72">
        <v>0.87699295447229997</v>
      </c>
      <c r="T72">
        <v>24.888753890991001</v>
      </c>
      <c r="U72">
        <v>63</v>
      </c>
      <c r="V72">
        <v>0.86785898665092998</v>
      </c>
      <c r="Z72">
        <v>710.00504493713004</v>
      </c>
      <c r="AA72">
        <v>62</v>
      </c>
      <c r="AB72">
        <v>0.93387497349850002</v>
      </c>
    </row>
    <row r="73" spans="3:28">
      <c r="C73">
        <v>3781.6641330718999</v>
      </c>
      <c r="D73">
        <v>64</v>
      </c>
      <c r="E73">
        <v>0.92473817774285005</v>
      </c>
      <c r="N73">
        <v>4303.9317131041998</v>
      </c>
      <c r="O73">
        <v>64</v>
      </c>
      <c r="P73">
        <v>0.81223748529918005</v>
      </c>
      <c r="T73">
        <v>24.799346923828001</v>
      </c>
      <c r="U73">
        <v>64</v>
      </c>
      <c r="V73">
        <v>0.87061589427564001</v>
      </c>
      <c r="Z73">
        <v>910.76159477234</v>
      </c>
      <c r="AA73">
        <v>63</v>
      </c>
      <c r="AB73">
        <v>0.93960805414742998</v>
      </c>
    </row>
    <row r="74" spans="3:28">
      <c r="C74">
        <v>3906.9442749023001</v>
      </c>
      <c r="D74">
        <v>65</v>
      </c>
      <c r="E74">
        <v>0.93016448833127996</v>
      </c>
      <c r="N74">
        <v>3887.3913288116</v>
      </c>
      <c r="O74">
        <v>65</v>
      </c>
      <c r="P74">
        <v>0.85397451618063003</v>
      </c>
      <c r="T74">
        <v>24.956941604613998</v>
      </c>
      <c r="U74">
        <v>65</v>
      </c>
      <c r="V74">
        <v>0.86748268501981995</v>
      </c>
      <c r="Z74">
        <v>667.86837577819995</v>
      </c>
      <c r="AA74">
        <v>64</v>
      </c>
      <c r="AB74">
        <v>0.93017033858390996</v>
      </c>
    </row>
    <row r="75" spans="3:28">
      <c r="C75">
        <v>4008.6417198180998</v>
      </c>
      <c r="D75">
        <v>66</v>
      </c>
      <c r="E75">
        <v>0.91802119054576004</v>
      </c>
      <c r="N75">
        <v>3828.9966583251999</v>
      </c>
      <c r="O75">
        <v>66</v>
      </c>
      <c r="P75">
        <v>0.85709660759572004</v>
      </c>
      <c r="T75">
        <v>26.13377571106</v>
      </c>
      <c r="U75">
        <v>66</v>
      </c>
      <c r="V75">
        <v>0.85991412153864</v>
      </c>
      <c r="Z75">
        <v>668.27678680420001</v>
      </c>
      <c r="AA75">
        <v>65</v>
      </c>
      <c r="AB75">
        <v>0.94048181698832001</v>
      </c>
    </row>
    <row r="76" spans="3:28">
      <c r="C76">
        <v>3572.9892253876001</v>
      </c>
      <c r="D76">
        <v>67</v>
      </c>
      <c r="E76">
        <v>0.91612851648204996</v>
      </c>
      <c r="N76">
        <v>14586.652994156</v>
      </c>
      <c r="O76">
        <v>67</v>
      </c>
      <c r="P76">
        <v>0.86671230111717001</v>
      </c>
      <c r="T76">
        <v>24.896383285521999</v>
      </c>
      <c r="U76">
        <v>67</v>
      </c>
      <c r="V76">
        <v>0.88458964098035997</v>
      </c>
      <c r="Z76">
        <v>664.63446617125999</v>
      </c>
      <c r="AA76">
        <v>66</v>
      </c>
      <c r="AB76">
        <v>0.93292346100593004</v>
      </c>
    </row>
    <row r="77" spans="3:28">
      <c r="C77">
        <v>3575.6638050079</v>
      </c>
      <c r="D77">
        <v>68</v>
      </c>
      <c r="E77">
        <v>0.92207963232437995</v>
      </c>
      <c r="N77">
        <v>9144.6192264556994</v>
      </c>
      <c r="O77">
        <v>68</v>
      </c>
      <c r="P77">
        <v>0.87104166333976996</v>
      </c>
      <c r="T77">
        <v>24.626493453978998</v>
      </c>
      <c r="U77">
        <v>68</v>
      </c>
      <c r="V77">
        <v>0.81218550251597998</v>
      </c>
      <c r="Z77">
        <v>673.00820350646995</v>
      </c>
      <c r="AA77">
        <v>67</v>
      </c>
      <c r="AB77">
        <v>0.86717501132663</v>
      </c>
    </row>
    <row r="78" spans="3:28">
      <c r="C78">
        <v>3730.8163642883001</v>
      </c>
      <c r="D78">
        <v>69</v>
      </c>
      <c r="E78">
        <v>0.92651352743974003</v>
      </c>
      <c r="N78">
        <v>4859.6947193145998</v>
      </c>
      <c r="O78">
        <v>69</v>
      </c>
      <c r="P78">
        <v>0.87136501924965004</v>
      </c>
      <c r="T78">
        <v>24.895668029785</v>
      </c>
      <c r="U78">
        <v>69</v>
      </c>
      <c r="V78">
        <v>0.82436820303453995</v>
      </c>
      <c r="Z78">
        <v>671.62466049193995</v>
      </c>
      <c r="AA78">
        <v>68</v>
      </c>
      <c r="AB78">
        <v>0.93190389926646999</v>
      </c>
    </row>
    <row r="79" spans="3:28">
      <c r="C79">
        <v>3562.3705387115001</v>
      </c>
      <c r="D79">
        <v>70</v>
      </c>
      <c r="E79">
        <v>0.92974839977184998</v>
      </c>
      <c r="N79">
        <v>10495.931386947999</v>
      </c>
      <c r="O79">
        <v>70</v>
      </c>
      <c r="P79">
        <v>0.89256496047991996</v>
      </c>
      <c r="T79">
        <v>24.869680404663001</v>
      </c>
      <c r="U79">
        <v>70</v>
      </c>
      <c r="V79">
        <v>0.87270241414536998</v>
      </c>
      <c r="Z79">
        <v>672.44291305542004</v>
      </c>
      <c r="AA79">
        <v>69</v>
      </c>
      <c r="AB79">
        <v>0.91866366480959005</v>
      </c>
    </row>
    <row r="80" spans="3:28">
      <c r="C80">
        <v>3829.243183136</v>
      </c>
      <c r="D80">
        <v>71</v>
      </c>
      <c r="E80">
        <v>0.90992210399878004</v>
      </c>
      <c r="N80">
        <v>4806.8706989288003</v>
      </c>
      <c r="O80">
        <v>71</v>
      </c>
      <c r="P80">
        <v>0.86540681336081005</v>
      </c>
      <c r="T80">
        <v>24.892091751098999</v>
      </c>
      <c r="U80">
        <v>71</v>
      </c>
      <c r="V80">
        <v>0.88210612975907998</v>
      </c>
      <c r="Z80">
        <v>661.94677352905001</v>
      </c>
      <c r="AA80">
        <v>70</v>
      </c>
      <c r="AB80">
        <v>0.91008285490605001</v>
      </c>
    </row>
    <row r="81" spans="3:28">
      <c r="C81">
        <v>3701.9643783568999</v>
      </c>
      <c r="D81">
        <v>72</v>
      </c>
      <c r="E81">
        <v>0.91423286604360998</v>
      </c>
      <c r="N81">
        <v>4550.0063896178999</v>
      </c>
      <c r="O81">
        <v>72</v>
      </c>
      <c r="P81">
        <v>0.88728629820507998</v>
      </c>
      <c r="T81">
        <v>25.090456008911001</v>
      </c>
      <c r="U81">
        <v>72</v>
      </c>
      <c r="V81">
        <v>0.87483285577840997</v>
      </c>
      <c r="Z81">
        <v>656.63456916809002</v>
      </c>
      <c r="AA81">
        <v>71</v>
      </c>
      <c r="AB81">
        <v>0.90980320164488004</v>
      </c>
    </row>
    <row r="82" spans="3:28">
      <c r="C82">
        <v>3652.2123813629</v>
      </c>
      <c r="D82">
        <v>73</v>
      </c>
      <c r="E82">
        <v>0.91189990393700004</v>
      </c>
      <c r="N82">
        <v>4411.5209579468001</v>
      </c>
      <c r="O82">
        <v>73</v>
      </c>
      <c r="P82">
        <v>0.87379613610149998</v>
      </c>
      <c r="T82">
        <v>24.726390838623001</v>
      </c>
      <c r="U82">
        <v>73</v>
      </c>
      <c r="V82">
        <v>0.84516969096057004</v>
      </c>
      <c r="Z82">
        <v>669.48175430297999</v>
      </c>
      <c r="AA82">
        <v>72</v>
      </c>
      <c r="AB82">
        <v>0.9272468437418</v>
      </c>
    </row>
    <row r="83" spans="3:28">
      <c r="C83">
        <v>4866.4493560790997</v>
      </c>
      <c r="D83">
        <v>74</v>
      </c>
      <c r="E83">
        <v>0.91380674996665001</v>
      </c>
      <c r="N83">
        <v>4211.1642360687001</v>
      </c>
      <c r="O83">
        <v>74</v>
      </c>
      <c r="P83">
        <v>0.86889314382502003</v>
      </c>
      <c r="T83">
        <v>24.93953704834</v>
      </c>
      <c r="U83">
        <v>74</v>
      </c>
      <c r="V83">
        <v>0.87618784317255005</v>
      </c>
      <c r="Z83">
        <v>653.69105339049997</v>
      </c>
      <c r="AA83">
        <v>73</v>
      </c>
      <c r="AB83">
        <v>0.92743547689571004</v>
      </c>
    </row>
    <row r="84" spans="3:28">
      <c r="C84">
        <f>AVERAGE(Tabella1[time])</f>
        <v>5034.4664096832239</v>
      </c>
      <c r="E84">
        <f>SUBTOTAL(101,Tabella1[iou])</f>
        <v>0.91881685173019756</v>
      </c>
      <c r="O84" t="s">
        <v>10</v>
      </c>
      <c r="P84" t="s">
        <v>11</v>
      </c>
      <c r="U84" t="s">
        <v>10</v>
      </c>
      <c r="V84" t="s">
        <v>11</v>
      </c>
      <c r="Z84">
        <v>664.55459594726995</v>
      </c>
      <c r="AA84">
        <v>74</v>
      </c>
      <c r="AB84">
        <v>0.91413769034908998</v>
      </c>
    </row>
    <row r="85" spans="3:28">
      <c r="N85" s="8">
        <f>AVERAGE(N9:N84)</f>
        <v>8474.5152346292689</v>
      </c>
      <c r="P85" s="8">
        <f>AVERAGE(P9:P84)</f>
        <v>0.86317965229771665</v>
      </c>
      <c r="T85" s="8">
        <f>AVERAGE(T9:T84)</f>
        <v>31.842689514160192</v>
      </c>
      <c r="V85" s="8">
        <f>AVERAGE(V9:V84)</f>
        <v>0.8631809222594643</v>
      </c>
      <c r="Z85" s="1">
        <f>AVERAGE(Z10:Z84)</f>
        <v>693.06741396586051</v>
      </c>
      <c r="AA85" s="1" t="s">
        <v>10</v>
      </c>
      <c r="AB85" s="1">
        <f>AVERAGE(AB10:AB84)</f>
        <v>0.92680906819252484</v>
      </c>
    </row>
    <row r="86" spans="3:28">
      <c r="C86">
        <f>STDEVA(Tabella1[time])</f>
        <v>2531.1797108095175</v>
      </c>
      <c r="E86">
        <f>STDEVA(Tabella1[iou])</f>
        <v>9.4977660807686222E-3</v>
      </c>
    </row>
    <row r="87" spans="3:28">
      <c r="N87">
        <f>STDEVA(N12:N83)</f>
        <v>3063.9279695434343</v>
      </c>
      <c r="P87">
        <f>STDEVA(P9:P83)</f>
        <v>1.6818012618478123E-2</v>
      </c>
      <c r="T87">
        <f>STDEVA(T10:T83)</f>
        <v>2.3652937045751798</v>
      </c>
      <c r="V87">
        <f>STDEVA(V9:V83)</f>
        <v>1.6839488236388533E-2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Marco De Zen</cp:lastModifiedBy>
  <dcterms:created xsi:type="dcterms:W3CDTF">2025-06-25T16:05:37Z</dcterms:created>
  <dcterms:modified xsi:type="dcterms:W3CDTF">2025-06-25T16:11:24Z</dcterms:modified>
  <cp:category/>
</cp:coreProperties>
</file>