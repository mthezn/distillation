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 - Politecnico di Milano\Documenti\POLIMI\Tesi\distillation\RISULTATI AUTOSAM\"/>
    </mc:Choice>
  </mc:AlternateContent>
  <xr:revisionPtr revIDLastSave="0" documentId="13_ncr:1_{F633D4B6-FA4E-4391-84F6-C90C7BD5B104}" xr6:coauthVersionLast="47" xr6:coauthVersionMax="47" xr10:uidLastSave="{00000000-0000-0000-0000-000000000000}"/>
  <bookViews>
    <workbookView xWindow="-120" yWindow="-16320" windowWidth="29040" windowHeight="15720" activeTab="4" xr2:uid="{00000000-000D-0000-FFFF-FFFF00000000}"/>
  </bookViews>
  <sheets>
    <sheet name="TimeDfBBoxAutoSam" sheetId="2" r:id="rId1"/>
    <sheet name="TimeDfBBoxAutoSam (2)" sheetId="3" r:id="rId2"/>
    <sheet name="TimeDfBBoxAutoSam (3)" sheetId="4" r:id="rId3"/>
    <sheet name="TimeDfBBoxStudent" sheetId="5" r:id="rId4"/>
    <sheet name="Worksheet" sheetId="1" r:id="rId5"/>
  </sheets>
  <definedNames>
    <definedName name="DatiEsterni_1" localSheetId="0" hidden="1">TimeDfBBoxAutoSam!$A$1:$F$77</definedName>
    <definedName name="DatiEsterni_1" localSheetId="1" hidden="1">'TimeDfBBoxAutoSam (2)'!$A$1:$F$77</definedName>
    <definedName name="DatiEsterni_1" localSheetId="2" hidden="1">'TimeDfBBoxAutoSam (3)'!$A$1:$F$77</definedName>
    <definedName name="DatiEsterni_1" localSheetId="3" hidden="1">TimeDfBBoxStudent!$A$1:$F$77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4" i="1" l="1"/>
  <c r="W102" i="1" a="1"/>
  <c r="W102" i="1" s="1"/>
  <c r="W100" i="1"/>
  <c r="AE87" i="1"/>
  <c r="AD87" i="1"/>
  <c r="AC87" i="1"/>
  <c r="AB87" i="1"/>
  <c r="AE85" i="1"/>
  <c r="AD85" i="1"/>
  <c r="AC85" i="1"/>
  <c r="F89" i="1" l="1"/>
  <c r="E89" i="1"/>
  <c r="D89" i="1"/>
  <c r="F87" i="1"/>
  <c r="E87" i="1"/>
  <c r="D87" i="1"/>
  <c r="Y87" i="1"/>
  <c r="X87" i="1"/>
  <c r="W87" i="1"/>
  <c r="Y85" i="1"/>
  <c r="X85" i="1"/>
  <c r="W85" i="1"/>
  <c r="C78" i="2"/>
  <c r="L86" i="1"/>
  <c r="K86" i="1"/>
  <c r="J86" i="1"/>
  <c r="M84" i="1"/>
  <c r="L84" i="1"/>
  <c r="K84" i="1"/>
  <c r="N93" i="1"/>
  <c r="K91" i="1" a="1"/>
  <c r="K91" i="1" s="1"/>
  <c r="L91" i="1" s="1"/>
  <c r="I91" i="1" a="1"/>
  <c r="I91" i="1" s="1"/>
  <c r="J91" i="1" s="1"/>
  <c r="L104" i="1" l="1"/>
  <c r="L96" i="1"/>
  <c r="J102" i="1"/>
  <c r="L99" i="1"/>
  <c r="J101" i="1"/>
  <c r="L98" i="1"/>
  <c r="J100" i="1"/>
  <c r="L105" i="1"/>
  <c r="L97" i="1"/>
  <c r="J107" i="1"/>
  <c r="J99" i="1"/>
  <c r="J106" i="1"/>
  <c r="J98" i="1"/>
  <c r="L103" i="1"/>
  <c r="L95" i="1"/>
  <c r="L107" i="1"/>
  <c r="J93" i="1"/>
  <c r="J92" i="1"/>
  <c r="J97" i="1"/>
  <c r="L110" i="1"/>
  <c r="L102" i="1"/>
  <c r="L94" i="1"/>
  <c r="J110" i="1"/>
  <c r="J94" i="1"/>
  <c r="J109" i="1"/>
  <c r="L106" i="1"/>
  <c r="J108" i="1"/>
  <c r="J105" i="1"/>
  <c r="J96" i="1"/>
  <c r="L109" i="1"/>
  <c r="L101" i="1"/>
  <c r="L93" i="1"/>
  <c r="J104" i="1"/>
  <c r="J103" i="1"/>
  <c r="J95" i="1"/>
  <c r="L108" i="1"/>
  <c r="L100" i="1"/>
  <c r="L92" i="1"/>
  <c r="G86" i="1"/>
  <c r="H84" i="1"/>
  <c r="I86" i="1"/>
  <c r="J84" i="1"/>
  <c r="V87" i="1"/>
  <c r="T87" i="1"/>
  <c r="P87" i="1"/>
  <c r="N87" i="1"/>
  <c r="AB85" i="1"/>
  <c r="Z85" i="1"/>
  <c r="V85" i="1"/>
  <c r="T85" i="1"/>
  <c r="Q85" i="1"/>
  <c r="O85" i="1"/>
  <c r="A89" i="1" l="1"/>
  <c r="C89" i="1"/>
  <c r="C87" i="1"/>
  <c r="A8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451A4E-982D-47F7-97B2-9B0AAD4E9127}" keepAlive="1" name="Query - TimeDfBBoxAutoSam" description="Connessione alla query 'TimeDfBBoxAutoSam' nella cartella di lavoro." type="5" refreshedVersion="8" background="1" saveData="1">
    <dbPr connection="Provider=Microsoft.Mashup.OleDb.1;Data Source=$Workbook$;Location=TimeDfBBoxAutoSam;Extended Properties=&quot;&quot;" command="SELECT * FROM [TimeDfBBoxAutoSam]"/>
  </connection>
  <connection id="2" xr16:uid="{7C5B70B7-B960-4658-9FBF-DFAD6B592EE1}" keepAlive="1" name="Query - TimeDfBBoxAutoSam (2)" description="Connessione alla query 'TimeDfBBoxAutoSam (2)' nella cartella di lavoro." type="5" refreshedVersion="8" background="1" saveData="1">
    <dbPr connection="Provider=Microsoft.Mashup.OleDb.1;Data Source=$Workbook$;Location=&quot;TimeDfBBoxAutoSam (2)&quot;;Extended Properties=&quot;&quot;" command="SELECT * FROM [TimeDfBBoxAutoSam (2)]"/>
  </connection>
  <connection id="3" xr16:uid="{8650A314-0FC3-46BD-8AAB-F8E42DDD491A}" keepAlive="1" name="Query - TimeDfBBoxAutoSam (3)" description="Connessione alla query 'TimeDfBBoxAutoSam (3)' nella cartella di lavoro." type="5" refreshedVersion="8" background="1" saveData="1">
    <dbPr connection="Provider=Microsoft.Mashup.OleDb.1;Data Source=$Workbook$;Location=&quot;TimeDfBBoxAutoSam (3)&quot;;Extended Properties=&quot;&quot;" command="SELECT * FROM [TimeDfBBoxAutoSam (3)]"/>
  </connection>
  <connection id="4" xr16:uid="{377F95A6-81FA-4CB3-A628-7BBCFC659113}" keepAlive="1" name="Query - TimeDfBBoxStudent" description="Connessione alla query 'TimeDfBBoxStudent' nella cartella di lavoro." type="5" refreshedVersion="8" background="1" saveData="1">
    <dbPr connection="Provider=Microsoft.Mashup.OleDb.1;Data Source=$Workbook$;Location=TimeDfBBoxStudent;Extended Properties=&quot;&quot;" command="SELECT * FROM [TimeDfBBoxStuden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<sst xmlns="http://schemas.openxmlformats.org/spreadsheetml/2006/main" count="1940" uniqueCount="1548">
  <si>
    <t>time</t>
  </si>
  <si>
    <t>index</t>
  </si>
  <si>
    <t>iou</t>
  </si>
  <si>
    <t>CPU</t>
  </si>
  <si>
    <t>MASCHERE CON REFINING</t>
  </si>
  <si>
    <t>MODELLO CMT AUTOSAM</t>
  </si>
  <si>
    <t>SAM VITH</t>
  </si>
  <si>
    <t>sam_vit_h_4b8939.pth</t>
  </si>
  <si>
    <t xml:space="preserve">CPU </t>
  </si>
  <si>
    <t>GPU</t>
  </si>
  <si>
    <t>MEDIA</t>
  </si>
  <si>
    <t>IOU</t>
  </si>
  <si>
    <t>MODELLO CMT AUTOSAM FINE TUNED</t>
  </si>
  <si>
    <t>autoSamFineVitHSuOkl</t>
  </si>
  <si>
    <t>Bin</t>
  </si>
  <si>
    <t>27   24.770498   27.0  0.929231  0.963318     0.983329     0.991553</t>
  </si>
  <si>
    <t>28   24.848700   28.0  0.904837  0.950041     0.992277     0.988533</t>
  </si>
  <si>
    <t>29   24.711847   29.0  0.897871  0.946188     0.992252     0.987492</t>
  </si>
  <si>
    <t>30   24.928093   30.0  0.922710  0.959801     0.993104     0.990310</t>
  </si>
  <si>
    <t>31   24.417877   31.0  0.902820  0.948929     0.993419     0.987727</t>
  </si>
  <si>
    <t>32   26.057959   32.0  0.922535  0.959707     0.992397     0.989064</t>
  </si>
  <si>
    <t>33   24.424791   33.0  0.925374  0.961241     0.987787     0.989019</t>
  </si>
  <si>
    <t>34   24.924755   34.0  0.925909  0.961529     0.990845     0.989142</t>
  </si>
  <si>
    <t>35   24.930000   35.0  0.913134  0.954595     0.992845     0.990819</t>
  </si>
  <si>
    <t>36   25.175333   36.0  0.924378  0.960703     0.995480     0.989150</t>
  </si>
  <si>
    <t>37   24.752617   37.0  0.911941  0.953943     0.991558     0.989157</t>
  </si>
  <si>
    <t>38   24.987936   38.0  0.924738  0.960898     0.992136     0.988331</t>
  </si>
  <si>
    <t>39   24.856806   39.0  0.920805  0.958770     0.989372     0.989805</t>
  </si>
  <si>
    <t>40   25.063753   40.0  0.913205  0.954634     0.984868     0.989401</t>
  </si>
  <si>
    <t>41   24.934053   41.0  0.927141  0.962193     0.990827     0.990672</t>
  </si>
  <si>
    <t>42   25.166273   42.0  0.919433  0.958026     0.996274     0.990548</t>
  </si>
  <si>
    <t>43   24.530888   43.0  0.916613  0.956492     0.994106     0.989513</t>
  </si>
  <si>
    <t>44   24.981499   44.0  0.916120  0.956224     0.990473     0.991052</t>
  </si>
  <si>
    <t>45   24.595022   45.0  0.909922  0.952837     0.996349     0.989778</t>
  </si>
  <si>
    <t>46   25.023222   46.0  0.911662  0.953790     0.995162     0.988452</t>
  </si>
  <si>
    <t>47   24.903774   47.0  0.903430  0.949266     0.993979     0.990644</t>
  </si>
  <si>
    <t>48   25.282145   48.0  0.933188  0.965440     0.991255     0.991006</t>
  </si>
  <si>
    <t>49   24.556875   49.0  0.919539  0.958083     0.989514     0.990826</t>
  </si>
  <si>
    <t>50   25.923491   50.0  0.915085  0.955660     0.993452     0.989215</t>
  </si>
  <si>
    <t>51   24.499178   51.0  0.912417  0.954203     0.992966     0.986663</t>
  </si>
  <si>
    <t>52   24.963856   52.0  0.932133  0.964875     0.988551     0.990954</t>
  </si>
  <si>
    <t>53   24.551868   53.0  0.924497  0.960767     0.983767     0.991027</t>
  </si>
  <si>
    <t>54   25.347948   54.0  0.927156  0.962201     0.989794     0.990610</t>
  </si>
  <si>
    <t>55   25.289774   55.0  0.899903  0.947315     0.990355     0.988725</t>
  </si>
  <si>
    <t>56   25.082111   56.0  0.923307  0.960124     0.987006     0.991254</t>
  </si>
  <si>
    <t>57   24.518728   57.0  0.918076  0.957289     0.991697     0.990109</t>
  </si>
  <si>
    <t>58   24.945974   58.0  0.930977  0.964255     0.990902     0.989600</t>
  </si>
  <si>
    <t>59   24.568558   59.0  0.918028  0.957262     0.991184     0.989658</t>
  </si>
  <si>
    <t>60   26.092768   60.0  0.914863  0.955539     0.991020     0.991375</t>
  </si>
  <si>
    <t>61   24.846077   61.0  0.919001  0.957791     0.993292     0.989435</t>
  </si>
  <si>
    <t>62   24.864674   62.0  0.916733  0.956558     0.990491     0.988993</t>
  </si>
  <si>
    <t>63   24.540901   63.0  0.924597  0.960821     0.994355     0.987986</t>
  </si>
  <si>
    <t>64   25.088310   64.0  0.924461  0.960748     0.991795     0.989522</t>
  </si>
  <si>
    <t>65   25.096178   65.0  0.927580  0.962429     0.990638     0.989862</t>
  </si>
  <si>
    <t>66   25.227547   66.0  0.913844  0.954983     0.988324     0.991029</t>
  </si>
  <si>
    <t>67   24.633646   67.0  0.926519  0.961858     0.990210     0.988784</t>
  </si>
  <si>
    <t>68   26.773214   68.0  0.929767  0.963605     0.994738     0.988563</t>
  </si>
  <si>
    <t>69   24.658203   69.0  0.888153  0.940764     0.981068     0.987940</t>
  </si>
  <si>
    <t>70   24.964809   70.0  0.918221  0.957367     0.990421     0.990879</t>
  </si>
  <si>
    <t>71   25.272846   71.0  0.929258  0.963332     0.984465     0.990884</t>
  </si>
  <si>
    <t>72   25.465250   72.0  0.925641  0.961385     0.990806     0.989416</t>
  </si>
  <si>
    <t>73   24.699211   73.0  0.914222  0.955189     0.994535     0.991306</t>
  </si>
  <si>
    <t>74   24.930716   74.0  0.906834  0.951141     0.987306     0.990288</t>
  </si>
  <si>
    <t>Column1</t>
  </si>
  <si>
    <t>Column2</t>
  </si>
  <si>
    <t>Column3</t>
  </si>
  <si>
    <t>Column4</t>
  </si>
  <si>
    <t>Column5</t>
  </si>
  <si>
    <t>Column6</t>
  </si>
  <si>
    <t>dice</t>
  </si>
  <si>
    <t>sensitivity</t>
  </si>
  <si>
    <t>specificity</t>
  </si>
  <si>
    <t>477.694034576416</t>
  </si>
  <si>
    <t>0.0</t>
  </si>
  <si>
    <t>0.9220432054464409</t>
  </si>
  <si>
    <t>0.9594406648442371</t>
  </si>
  <si>
    <t>0.990620026173381</t>
  </si>
  <si>
    <t>0.9884106343507739</t>
  </si>
  <si>
    <t>43.38955879211426</t>
  </si>
  <si>
    <t>1.0</t>
  </si>
  <si>
    <t>0.9186086193447738</t>
  </si>
  <si>
    <t>0.9575779135804038</t>
  </si>
  <si>
    <t>0.9900604256064454</t>
  </si>
  <si>
    <t>0.9904942925086635</t>
  </si>
  <si>
    <t>25.84218978881836</t>
  </si>
  <si>
    <t>2.0</t>
  </si>
  <si>
    <t>0.9316843085906267</t>
  </si>
  <si>
    <t>0.9646341324482689</t>
  </si>
  <si>
    <t>0.9930259104626981</t>
  </si>
  <si>
    <t>0.9908534399798409</t>
  </si>
  <si>
    <t>24.75762367248535</t>
  </si>
  <si>
    <t>3.0</t>
  </si>
  <si>
    <t>0.9241101671818911</t>
  </si>
  <si>
    <t>0.9605584783488467</t>
  </si>
  <si>
    <t>0.9931628366277805</t>
  </si>
  <si>
    <t>0.9903894381766087</t>
  </si>
  <si>
    <t>24.537086486816406</t>
  </si>
  <si>
    <t>4.0</t>
  </si>
  <si>
    <t>0.9199443846141482</t>
  </si>
  <si>
    <t>0.958303159181384</t>
  </si>
  <si>
    <t>0.9941548402786222</t>
  </si>
  <si>
    <t>0.9900496872850687</t>
  </si>
  <si>
    <t>24.46126937866211</t>
  </si>
  <si>
    <t>5.0</t>
  </si>
  <si>
    <t>0.9192600015125161</t>
  </si>
  <si>
    <t>0.9579317036650298</t>
  </si>
  <si>
    <t>0.9901235070713653</t>
  </si>
  <si>
    <t>0.9920335703304948</t>
  </si>
  <si>
    <t>25.44689178466797</t>
  </si>
  <si>
    <t>6.0</t>
  </si>
  <si>
    <t>0.9130193203750999</t>
  </si>
  <si>
    <t>0.9545322523936428</t>
  </si>
  <si>
    <t>0.9878708615907101</t>
  </si>
  <si>
    <t>0.9918501766162034</t>
  </si>
  <si>
    <t>24.807453155517578</t>
  </si>
  <si>
    <t>7.0</t>
  </si>
  <si>
    <t>0.8940497844416083</t>
  </si>
  <si>
    <t>0.9440615466242207</t>
  </si>
  <si>
    <t>0.990514150838362</t>
  </si>
  <si>
    <t>0.9898921312781744</t>
  </si>
  <si>
    <t>25.956392288208008</t>
  </si>
  <si>
    <t>8.0</t>
  </si>
  <si>
    <t>0.9169480445082459</t>
  </si>
  <si>
    <t>0.9566749053373226</t>
  </si>
  <si>
    <t>0.9953689816880903</t>
  </si>
  <si>
    <t>0.9871804572705669</t>
  </si>
  <si>
    <t>24.760723114013672</t>
  </si>
  <si>
    <t>9.0</t>
  </si>
  <si>
    <t>0.8952596689417118</t>
  </si>
  <si>
    <t>0.9447356302807974</t>
  </si>
  <si>
    <t>0.9921859716999587</t>
  </si>
  <si>
    <t>0.9895856201688965</t>
  </si>
  <si>
    <t>24.93762969970703</t>
  </si>
  <si>
    <t>10.0</t>
  </si>
  <si>
    <t>0.9142837283658859</t>
  </si>
  <si>
    <t>0.9552227967234067</t>
  </si>
  <si>
    <t>0.9927471150725666</t>
  </si>
  <si>
    <t>0.9875872879681511</t>
  </si>
  <si>
    <t>24.442195892333984</t>
  </si>
  <si>
    <t>11.0</t>
  </si>
  <si>
    <t>0.9275015969638898</t>
  </si>
  <si>
    <t>0.9623873707029316</t>
  </si>
  <si>
    <t>0.9858140166461652</t>
  </si>
  <si>
    <t>0.9914759005482021</t>
  </si>
  <si>
    <t>25.507688522338867</t>
  </si>
  <si>
    <t>12.0</t>
  </si>
  <si>
    <t>0.9223076442277642</t>
  </si>
  <si>
    <t>0.9595838075109738</t>
  </si>
  <si>
    <t>0.9955247711786268</t>
  </si>
  <si>
    <t>0.9884284426475811</t>
  </si>
  <si>
    <t>24.457931518554688</t>
  </si>
  <si>
    <t>13.0</t>
  </si>
  <si>
    <t>0.9128555938257431</t>
  </si>
  <si>
    <t>0.9544427679457148</t>
  </si>
  <si>
    <t>0.9906039107111957</t>
  </si>
  <si>
    <t>0.9894490437258038</t>
  </si>
  <si>
    <t>24.78647232055664</t>
  </si>
  <si>
    <t>14.0</t>
  </si>
  <si>
    <t>0.9307176970018572</t>
  </si>
  <si>
    <t>0.9641157777205188</t>
  </si>
  <si>
    <t>0.9887837076012402</t>
  </si>
  <si>
    <t>0.9879037400032791</t>
  </si>
  <si>
    <t>24.77240562438965</t>
  </si>
  <si>
    <t>15.0</t>
  </si>
  <si>
    <t>0.9260360802890729</t>
  </si>
  <si>
    <t>0.9615978535044754</t>
  </si>
  <si>
    <t>0.9890687211625534</t>
  </si>
  <si>
    <t>0.9895858303076419</t>
  </si>
  <si>
    <t>25.704622268676758</t>
  </si>
  <si>
    <t>16.0</t>
  </si>
  <si>
    <t>0.9192914036421324</t>
  </si>
  <si>
    <t>0.9579487532718005</t>
  </si>
  <si>
    <t>0.9959396170206671</t>
  </si>
  <si>
    <t>0.9871904890784149</t>
  </si>
  <si>
    <t>24.8105525970459</t>
  </si>
  <si>
    <t>17.0</t>
  </si>
  <si>
    <t>0.9320777369250394</t>
  </si>
  <si>
    <t>0.9648449636487914</t>
  </si>
  <si>
    <t>0.9918238290669265</t>
  </si>
  <si>
    <t>0.9913054214401289</t>
  </si>
  <si>
    <t>24.936437606811523</t>
  </si>
  <si>
    <t>18.0</t>
  </si>
  <si>
    <t>0.924618517753313</t>
  </si>
  <si>
    <t>0.9608330266225003</t>
  </si>
  <si>
    <t>0.9919100767830286</t>
  </si>
  <si>
    <t>0.9900308594453107</t>
  </si>
  <si>
    <t>24.404525756835938</t>
  </si>
  <si>
    <t>19.0</t>
  </si>
  <si>
    <t>0.9275357250274539</t>
  </si>
  <si>
    <t>0.9624057421962885</t>
  </si>
  <si>
    <t>0.9905358770186892</t>
  </si>
  <si>
    <t>0.9900590574853887</t>
  </si>
  <si>
    <t>24.80316162109375</t>
  </si>
  <si>
    <t>20.0</t>
  </si>
  <si>
    <t>0.9140745970491725</t>
  </si>
  <si>
    <t>0.9551086446247736</t>
  </si>
  <si>
    <t>0.9921279726917283</t>
  </si>
  <si>
    <t>0.9894981359887506</t>
  </si>
  <si>
    <t>24.466276168823242</t>
  </si>
  <si>
    <t>21.0</t>
  </si>
  <si>
    <t>0.9301762128960861</t>
  </si>
  <si>
    <t>0.9638251748014507</t>
  </si>
  <si>
    <t>0.9954031365184365</t>
  </si>
  <si>
    <t>0.9889531610495987</t>
  </si>
  <si>
    <t>24.590730667114258</t>
  </si>
  <si>
    <t>22.0</t>
  </si>
  <si>
    <t>0.920003355755884</t>
  </si>
  <si>
    <t>0.9583351539442376</t>
  </si>
  <si>
    <t>0.989013601816855</t>
  </si>
  <si>
    <t>0.9901263426673875</t>
  </si>
  <si>
    <t>24.90854263305664</t>
  </si>
  <si>
    <t>23.0</t>
  </si>
  <si>
    <t>0.9159368123460748</t>
  </si>
  <si>
    <t>0.9561242379643046</t>
  </si>
  <si>
    <t>0.990372418791904</t>
  </si>
  <si>
    <t>0.988808103735804</t>
  </si>
  <si>
    <t>24.955034255981445</t>
  </si>
  <si>
    <t>24.0</t>
  </si>
  <si>
    <t>0.9244823578707694</t>
  </si>
  <si>
    <t>0.9607595040711193</t>
  </si>
  <si>
    <t>0.9923874669020301</t>
  </si>
  <si>
    <t>0.9907009875970192</t>
  </si>
  <si>
    <t>24.50418472290039</t>
  </si>
  <si>
    <t>25.0</t>
  </si>
  <si>
    <t>0.9175978829052076</t>
  </si>
  <si>
    <t>0.9570284688831888</t>
  </si>
  <si>
    <t>0.9890438849355938</t>
  </si>
  <si>
    <t>0.9918629563854462</t>
  </si>
  <si>
    <t>25.301218032836914</t>
  </si>
  <si>
    <t>26.0</t>
  </si>
  <si>
    <t>0.9192155812863931</t>
  </si>
  <si>
    <t>0.9579075850043592</t>
  </si>
  <si>
    <t>0.9915609106515426</t>
  </si>
  <si>
    <t>0.9893810922614344</t>
  </si>
  <si>
    <t>24.770498275756836</t>
  </si>
  <si>
    <t>27.0</t>
  </si>
  <si>
    <t>0.9292313601092469</t>
  </si>
  <si>
    <t>0.9633177018816729</t>
  </si>
  <si>
    <t>0.9833288174373795</t>
  </si>
  <si>
    <t>0.991553021037182</t>
  </si>
  <si>
    <t>24.84869956970215</t>
  </si>
  <si>
    <t>28.0</t>
  </si>
  <si>
    <t>0.9048368585013937</t>
  </si>
  <si>
    <t>0.9500413166230547</t>
  </si>
  <si>
    <t>0.9922773327579542</t>
  </si>
  <si>
    <t>0.9885325040406681</t>
  </si>
  <si>
    <t>24.71184730529785</t>
  </si>
  <si>
    <t>29.0</t>
  </si>
  <si>
    <t>0.8978714080518069</t>
  </si>
  <si>
    <t>0.946187823097546</t>
  </si>
  <si>
    <t>0.9922515380338278</t>
  </si>
  <si>
    <t>0.9874918629344659</t>
  </si>
  <si>
    <t>24.92809295654297</t>
  </si>
  <si>
    <t>30.0</t>
  </si>
  <si>
    <t>0.9227098336425674</t>
  </si>
  <si>
    <t>0.9598014401315009</t>
  </si>
  <si>
    <t>0.9931037400575393</t>
  </si>
  <si>
    <t>0.9903095026203896</t>
  </si>
  <si>
    <t>24.417877197265625</t>
  </si>
  <si>
    <t>31.0</t>
  </si>
  <si>
    <t>0.9028201946936438</t>
  </si>
  <si>
    <t>0.9489285400810021</t>
  </si>
  <si>
    <t>0.9934190375342394</t>
  </si>
  <si>
    <t>0.9877267322197094</t>
  </si>
  <si>
    <t>26.057958602905273</t>
  </si>
  <si>
    <t>32.0</t>
  </si>
  <si>
    <t>0.922534864931324</t>
  </si>
  <si>
    <t>0.9597067723026999</t>
  </si>
  <si>
    <t>0.9923969315648263</t>
  </si>
  <si>
    <t>0.9890642513432308</t>
  </si>
  <si>
    <t>24.42479133605957</t>
  </si>
  <si>
    <t>33.0</t>
  </si>
  <si>
    <t>0.9253740867179274</t>
  </si>
  <si>
    <t>0.9612408239017681</t>
  </si>
  <si>
    <t>0.9877871850585439</t>
  </si>
  <si>
    <t>0.9890192877729514</t>
  </si>
  <si>
    <t>24.924755096435547</t>
  </si>
  <si>
    <t>34.0</t>
  </si>
  <si>
    <t>0.9259086920683879</t>
  </si>
  <si>
    <t>0.9615291689389285</t>
  </si>
  <si>
    <t>0.990844875050684</t>
  </si>
  <si>
    <t>0.9891420585264962</t>
  </si>
  <si>
    <t>24.93000030517578</t>
  </si>
  <si>
    <t>35.0</t>
  </si>
  <si>
    <t>0.9131336405529954</t>
  </si>
  <si>
    <t>0.9545947247982657</t>
  </si>
  <si>
    <t>0.9928449027447915</t>
  </si>
  <si>
    <t>0.9908188033773649</t>
  </si>
  <si>
    <t>25.17533302307129</t>
  </si>
  <si>
    <t>36.0</t>
  </si>
  <si>
    <t>0.9243784159366203</t>
  </si>
  <si>
    <t>0.9607033713134983</t>
  </si>
  <si>
    <t>0.9954795112317946</t>
  </si>
  <si>
    <t>0.9891495020371208</t>
  </si>
  <si>
    <t>24.75261688232422</t>
  </si>
  <si>
    <t>37.0</t>
  </si>
  <si>
    <t>0.9119409976103715</t>
  </si>
  <si>
    <t>0.9539426151227006</t>
  </si>
  <si>
    <t>0.9915578305868947</t>
  </si>
  <si>
    <t>0.9891565502948874</t>
  </si>
  <si>
    <t>24.98793601989746</t>
  </si>
  <si>
    <t>38.0</t>
  </si>
  <si>
    <t>0.9247381777428538</t>
  </si>
  <si>
    <t>0.9608976311025296</t>
  </si>
  <si>
    <t>0.9921360504730117</t>
  </si>
  <si>
    <t>0.9883312220298385</t>
  </si>
  <si>
    <t>24.8568058013916</t>
  </si>
  <si>
    <t>39.0</t>
  </si>
  <si>
    <t>0.9208051415852239</t>
  </si>
  <si>
    <t>0.9587699674994532</t>
  </si>
  <si>
    <t>0.9893724015046526</t>
  </si>
  <si>
    <t>0.9898048467907983</t>
  </si>
  <si>
    <t>25.063753128051758</t>
  </si>
  <si>
    <t>40.0</t>
  </si>
  <si>
    <t>0.9132053597306757</t>
  </si>
  <si>
    <t>0.9546339132765432</t>
  </si>
  <si>
    <t>0.9848679148499615</t>
  </si>
  <si>
    <t>0.9894014773632617</t>
  </si>
  <si>
    <t>24.934053421020508</t>
  </si>
  <si>
    <t>41.0</t>
  </si>
  <si>
    <t>0.9271405540960115</t>
  </si>
  <si>
    <t>0.962192977699976</t>
  </si>
  <si>
    <t>0.9908272979612672</t>
  </si>
  <si>
    <t>0.9906716175406519</t>
  </si>
  <si>
    <t>25.16627311706543</t>
  </si>
  <si>
    <t>42.0</t>
  </si>
  <si>
    <t>0.9194334964701806</t>
  </si>
  <si>
    <t>0.9580258947871961</t>
  </si>
  <si>
    <t>0.9962737349940398</t>
  </si>
  <si>
    <t>0.9905481218850679</t>
  </si>
  <si>
    <t>24.530887603759766</t>
  </si>
  <si>
    <t>43.0</t>
  </si>
  <si>
    <t>0.9166128813775408</t>
  </si>
  <si>
    <t>0.9564924563365526</t>
  </si>
  <si>
    <t>0.9941062601541706</t>
  </si>
  <si>
    <t>0.9895128958257402</t>
  </si>
  <si>
    <t>24.98149871826172</t>
  </si>
  <si>
    <t>44.0</t>
  </si>
  <si>
    <t>0.9161203787596156</t>
  </si>
  <si>
    <t>0.9562242423961468</t>
  </si>
  <si>
    <t>0.9904731721839677</t>
  </si>
  <si>
    <t>0.9910519255142416</t>
  </si>
  <si>
    <t>24.595022201538086</t>
  </si>
  <si>
    <t>45.0</t>
  </si>
  <si>
    <t>0.9099221039987809</t>
  </si>
  <si>
    <t>0.9528368744397355</t>
  </si>
  <si>
    <t>0.9963487171433619</t>
  </si>
  <si>
    <t>0.989778112040427</t>
  </si>
  <si>
    <t>25.023221969604492</t>
  </si>
  <si>
    <t>46.0</t>
  </si>
  <si>
    <t>0.9116616597089462</t>
  </si>
  <si>
    <t>0.9537897619893138</t>
  </si>
  <si>
    <t>0.9951619222841178</t>
  </si>
  <si>
    <t>0.9884522119389072</t>
  </si>
  <si>
    <t>24.90377426147461</t>
  </si>
  <si>
    <t>47.0</t>
  </si>
  <si>
    <t>0.9034304916801186</t>
  </si>
  <si>
    <t>0.9492655451607054</t>
  </si>
  <si>
    <t>0.9939794026316378</t>
  </si>
  <si>
    <t>0.9906438663260518</t>
  </si>
  <si>
    <t>25.28214454650879</t>
  </si>
  <si>
    <t>48.0</t>
  </si>
  <si>
    <t>0.9331883068873343</t>
  </si>
  <si>
    <t>0.9654396352002353</t>
  </si>
  <si>
    <t>0.9912553615658793</t>
  </si>
  <si>
    <t>0.9910058592897248</t>
  </si>
  <si>
    <t>24.556875228881836</t>
  </si>
  <si>
    <t>49.0</t>
  </si>
  <si>
    <t>0.9195393777645983</t>
  </si>
  <si>
    <t>0.9580833698086975</t>
  </si>
  <si>
    <t>0.9895138987377677</t>
  </si>
  <si>
    <t>0.9908256390527486</t>
  </si>
  <si>
    <t>25.923490524291992</t>
  </si>
  <si>
    <t>50.0</t>
  </si>
  <si>
    <t>0.915084781703802</t>
  </si>
  <si>
    <t>0.9556598125015379</t>
  </si>
  <si>
    <t>0.9934517363982845</t>
  </si>
  <si>
    <t>0.9892149946364893</t>
  </si>
  <si>
    <t>24.499177932739258</t>
  </si>
  <si>
    <t>51.0</t>
  </si>
  <si>
    <t>0.9124172881876514</t>
  </si>
  <si>
    <t>0.9542031373836051</t>
  </si>
  <si>
    <t>0.9929660364196544</t>
  </si>
  <si>
    <t>0.9866634905231635</t>
  </si>
  <si>
    <t>24.963855743408203</t>
  </si>
  <si>
    <t>52.0</t>
  </si>
  <si>
    <t>0.9321331747261259</t>
  </si>
  <si>
    <t>0.9648746648721592</t>
  </si>
  <si>
    <t>0.9885506821182338</t>
  </si>
  <si>
    <t>0.9909540952122039</t>
  </si>
  <si>
    <t>24.551868438720703</t>
  </si>
  <si>
    <t>53.0</t>
  </si>
  <si>
    <t>0.9244969014824709</t>
  </si>
  <si>
    <t>0.9607673577134015</t>
  </si>
  <si>
    <t>0.983766612037562</t>
  </si>
  <si>
    <t>0.991026592986305</t>
  </si>
  <si>
    <t>25.34794807434082</t>
  </si>
  <si>
    <t>54.0</t>
  </si>
  <si>
    <t>0.9271560022546429</t>
  </si>
  <si>
    <t>0.9622012968020572</t>
  </si>
  <si>
    <t>0.9897938450477486</t>
  </si>
  <si>
    <t>0.9906095279889291</t>
  </si>
  <si>
    <t>25.28977394104004</t>
  </si>
  <si>
    <t>55.0</t>
  </si>
  <si>
    <t>0.8999029101188277</t>
  </si>
  <si>
    <t>0.947314628896004</t>
  </si>
  <si>
    <t>0.9903552483523549</t>
  </si>
  <si>
    <t>0.9887253014629531</t>
  </si>
  <si>
    <t>25.082111358642578</t>
  </si>
  <si>
    <t>56.0</t>
  </si>
  <si>
    <t>0.9233068755798371</t>
  </si>
  <si>
    <t>0.960124343445171</t>
  </si>
  <si>
    <t>0.987005611405903</t>
  </si>
  <si>
    <t>0.9912540484546563</t>
  </si>
  <si>
    <t>24.518728256225586</t>
  </si>
  <si>
    <t>57.0</t>
  </si>
  <si>
    <t>0.9180764159135497</t>
  </si>
  <si>
    <t>0.9572886755674792</t>
  </si>
  <si>
    <t>0.9916969923310086</t>
  </si>
  <si>
    <t>0.9901085986520783</t>
  </si>
  <si>
    <t>24.945974349975586</t>
  </si>
  <si>
    <t>58.0</t>
  </si>
  <si>
    <t>0.9309773961440102</t>
  </si>
  <si>
    <t>0.9642550948582713</t>
  </si>
  <si>
    <t>0.9909016736258236</t>
  </si>
  <si>
    <t>0.9896003766374034</t>
  </si>
  <si>
    <t>24.568557739257812</t>
  </si>
  <si>
    <t>59.0</t>
  </si>
  <si>
    <t>0.9180282491522948</t>
  </si>
  <si>
    <t>0.9572624903288395</t>
  </si>
  <si>
    <t>0.9911836490727058</t>
  </si>
  <si>
    <t>0.9896575650940936</t>
  </si>
  <si>
    <t>26.0927677154541</t>
  </si>
  <si>
    <t>60.0</t>
  </si>
  <si>
    <t>0.9148630907726931</t>
  </si>
  <si>
    <t>0.9555389052942934</t>
  </si>
  <si>
    <t>0.9910203667022195</t>
  </si>
  <si>
    <t>0.9913748735700656</t>
  </si>
  <si>
    <t>24.84607696533203</t>
  </si>
  <si>
    <t>61.0</t>
  </si>
  <si>
    <t>0.9190006183158907</t>
  </si>
  <si>
    <t>0.9577908517011349</t>
  </si>
  <si>
    <t>0.9932922452414544</t>
  </si>
  <si>
    <t>0.9894346719173407</t>
  </si>
  <si>
    <t>24.864673614501953</t>
  </si>
  <si>
    <t>62.0</t>
  </si>
  <si>
    <t>0.9167332868825406</t>
  </si>
  <si>
    <t>0.9565580074769359</t>
  </si>
  <si>
    <t>0.9904906808672499</t>
  </si>
  <si>
    <t>0.9889926538188</t>
  </si>
  <si>
    <t>24.54090118408203</t>
  </si>
  <si>
    <t>63.0</t>
  </si>
  <si>
    <t>0.9245970006649409</t>
  </si>
  <si>
    <t>0.960821408685035</t>
  </si>
  <si>
    <t>0.9943554993959759</t>
  </si>
  <si>
    <t>0.9879861852738734</t>
  </si>
  <si>
    <t>25.08831024169922</t>
  </si>
  <si>
    <t>64.0</t>
  </si>
  <si>
    <t>0.9244606859113913</t>
  </si>
  <si>
    <t>0.9607478008557839</t>
  </si>
  <si>
    <t>0.9917950117918268</t>
  </si>
  <si>
    <t>0.9895222563420075</t>
  </si>
  <si>
    <t>25.09617805480957</t>
  </si>
  <si>
    <t>65.0</t>
  </si>
  <si>
    <t>0.9275796108221176</t>
  </si>
  <si>
    <t>0.9624293654221654</t>
  </si>
  <si>
    <t>0.9906379288805932</t>
  </si>
  <si>
    <t>0.9898618622567795</t>
  </si>
  <si>
    <t>25.22754669189453</t>
  </si>
  <si>
    <t>66.0</t>
  </si>
  <si>
    <t>0.9138438553273986</t>
  </si>
  <si>
    <t>0.9549826677694859</t>
  </si>
  <si>
    <t>0.9883238917795967</t>
  </si>
  <si>
    <t>0.9910290354783967</t>
  </si>
  <si>
    <t>24.63364601135254</t>
  </si>
  <si>
    <t>67.0</t>
  </si>
  <si>
    <t>0.9265194213666841</t>
  </si>
  <si>
    <t>0.9618583763971669</t>
  </si>
  <si>
    <t>0.9902098757877991</t>
  </si>
  <si>
    <t>0.9887841116197758</t>
  </si>
  <si>
    <t>26.77321434020996</t>
  </si>
  <si>
    <t>68.0</t>
  </si>
  <si>
    <t>0.9297665221689863</t>
  </si>
  <si>
    <t>0.9636051941910185</t>
  </si>
  <si>
    <t>0.9947383409500821</t>
  </si>
  <si>
    <t>0.9885627914512803</t>
  </si>
  <si>
    <t>24.658203125</t>
  </si>
  <si>
    <t>69.0</t>
  </si>
  <si>
    <t>0.8881529492340845</t>
  </si>
  <si>
    <t>0.9407637761489156</t>
  </si>
  <si>
    <t>0.9810678402391431</t>
  </si>
  <si>
    <t>0.9879396589409151</t>
  </si>
  <si>
    <t>24.96480941772461</t>
  </si>
  <si>
    <t>70.0</t>
  </si>
  <si>
    <t>0.9182211787922866</t>
  </si>
  <si>
    <t>0.9573673661244834</t>
  </si>
  <si>
    <t>0.9904212274407979</t>
  </si>
  <si>
    <t>0.9908789518776907</t>
  </si>
  <si>
    <t>25.272846221923828</t>
  </si>
  <si>
    <t>71.0</t>
  </si>
  <si>
    <t>0.9292577955825032</t>
  </si>
  <si>
    <t>0.9633319069232334</t>
  </si>
  <si>
    <t>0.9844647248170106</t>
  </si>
  <si>
    <t>0.9908842608023215</t>
  </si>
  <si>
    <t>25.46525001525879</t>
  </si>
  <si>
    <t>72.0</t>
  </si>
  <si>
    <t>0.9256411305165856</t>
  </si>
  <si>
    <t>0.9613848768054376</t>
  </si>
  <si>
    <t>0.9908060067422617</t>
  </si>
  <si>
    <t>0.9894155979506982</t>
  </si>
  <si>
    <t>24.69921112060547</t>
  </si>
  <si>
    <t>73.0</t>
  </si>
  <si>
    <t>0.9142222957778016</t>
  </si>
  <si>
    <t>0.9551892669877484</t>
  </si>
  <si>
    <t>0.9945352876387359</t>
  </si>
  <si>
    <t>0.9913064165877135</t>
  </si>
  <si>
    <t>24.930715560913086</t>
  </si>
  <si>
    <t>74.0</t>
  </si>
  <si>
    <t>0.9068338424380195</t>
  </si>
  <si>
    <t>0.9511409145943932</t>
  </si>
  <si>
    <t>0.9873062830515192</t>
  </si>
  <si>
    <t>0.9902882009947743</t>
  </si>
  <si>
    <t>539.9715900421143</t>
  </si>
  <si>
    <t>0.854045732337201</t>
  </si>
  <si>
    <t>0.9212779571090678</t>
  </si>
  <si>
    <t>0.9684994142765371</t>
  </si>
  <si>
    <t>0.9806474356105956</t>
  </si>
  <si>
    <t>43.393850326538086</t>
  </si>
  <si>
    <t>0.8423832521983414</t>
  </si>
  <si>
    <t>0.9144495329006115</t>
  </si>
  <si>
    <t>0.9515834546916774</t>
  </si>
  <si>
    <t>0.9875303430410156</t>
  </si>
  <si>
    <t>26.182174682617188</t>
  </si>
  <si>
    <t>0.8544877247818948</t>
  </si>
  <si>
    <t>0.9215350561378244</t>
  </si>
  <si>
    <t>0.961800529960587</t>
  </si>
  <si>
    <t>0.9882347787450013</t>
  </si>
  <si>
    <t>24.87659454345703</t>
  </si>
  <si>
    <t>0.8688842086659401</t>
  </si>
  <si>
    <t>0.9298427421420324</t>
  </si>
  <si>
    <t>0.9673851552443654</t>
  </si>
  <si>
    <t>0.9850778161615442</t>
  </si>
  <si>
    <t>25.12216567993164</t>
  </si>
  <si>
    <t>0.8360756430778394</t>
  </si>
  <si>
    <t>0.9107202595164479</t>
  </si>
  <si>
    <t>0.9792105683849497</t>
  </si>
  <si>
    <t>0.9741371171887178</t>
  </si>
  <si>
    <t>25.755882263183594</t>
  </si>
  <si>
    <t>0.8711497787998854</t>
  </si>
  <si>
    <t>0.931138478244774</t>
  </si>
  <si>
    <t>0.9506924425988268</t>
  </si>
  <si>
    <t>0.9904578021871531</t>
  </si>
  <si>
    <t>26.01909637451172</t>
  </si>
  <si>
    <t>0.7988100886958426</t>
  </si>
  <si>
    <t>0.8881538898583662</t>
  </si>
  <si>
    <t>0.9813373271393467</t>
  </si>
  <si>
    <t>0.9728099288206857</t>
  </si>
  <si>
    <t>25.485515594482422</t>
  </si>
  <si>
    <t>0.8571329463728233</t>
  </si>
  <si>
    <t>0.9230711759725059</t>
  </si>
  <si>
    <t>0.9682854829018522</t>
  </si>
  <si>
    <t>0.9840512177385757</t>
  </si>
  <si>
    <t>25.130748748779297</t>
  </si>
  <si>
    <t>0.8784244607073068</t>
  </si>
  <si>
    <t>0.9352779194288628</t>
  </si>
  <si>
    <t>0.9699610763242511</t>
  </si>
  <si>
    <t>0.9867637006178015</t>
  </si>
  <si>
    <t>25.86531639099121</t>
  </si>
  <si>
    <t>0.853373863003527</t>
  </si>
  <si>
    <t>0.9208869079663966</t>
  </si>
  <si>
    <t>0.9582417773300098</t>
  </si>
  <si>
    <t>0.9848420407590442</t>
  </si>
  <si>
    <t>25.20012855529785</t>
  </si>
  <si>
    <t>0.876982168529923</t>
  </si>
  <si>
    <t>0.9344597761595006</t>
  </si>
  <si>
    <t>0.9789846856485843</t>
  </si>
  <si>
    <t>0.9842234770949624</t>
  </si>
  <si>
    <t>26.63588523864746</t>
  </si>
  <si>
    <t>0.8243682030345354</t>
  </si>
  <si>
    <t>0.9037300712250246</t>
  </si>
  <si>
    <t>0.976995720298518</t>
  </si>
  <si>
    <t>0.9711500411701357</t>
  </si>
  <si>
    <t>26.891708374023438</t>
  </si>
  <si>
    <t>0.8845896409803614</t>
  </si>
  <si>
    <t>0.9387610137984191</t>
  </si>
  <si>
    <t>0.971290519303842</t>
  </si>
  <si>
    <t>0.9863838883252921</t>
  </si>
  <si>
    <t>25.59185028076172</t>
  </si>
  <si>
    <t>0.8710061155731553</t>
  </si>
  <si>
    <t>0.9310564068427274</t>
  </si>
  <si>
    <t>0.9670348177563466</t>
  </si>
  <si>
    <t>0.9867081302898179</t>
  </si>
  <si>
    <t>25.391578674316406</t>
  </si>
  <si>
    <t>0.8637651042869238</t>
  </si>
  <si>
    <t>0.9269033981805342</t>
  </si>
  <si>
    <t>0.9687691524165494</t>
  </si>
  <si>
    <t>0.984901295017095</t>
  </si>
  <si>
    <t>25.73251724243164</t>
  </si>
  <si>
    <t>0.8280080213903743</t>
  </si>
  <si>
    <t>0.9059128972099316</t>
  </si>
  <si>
    <t>0.9756189342691368</t>
  </si>
  <si>
    <t>0.9781966741124706</t>
  </si>
  <si>
    <t>25.768041610717773</t>
  </si>
  <si>
    <t>0.8821061297590849</t>
  </si>
  <si>
    <t>0.9373606682551925</t>
  </si>
  <si>
    <t>0.9798568884467904</t>
  </si>
  <si>
    <t>0.9850484566812207</t>
  </si>
  <si>
    <t>26.21936798095703</t>
  </si>
  <si>
    <t>0.835128543440886</t>
  </si>
  <si>
    <t>0.9101580882993743</t>
  </si>
  <si>
    <t>0.9635565150802218</t>
  </si>
  <si>
    <t>0.9822716496364029</t>
  </si>
  <si>
    <t>25.452613830566406</t>
  </si>
  <si>
    <t>0.8595096496949699</t>
  </si>
  <si>
    <t>0.9244476357903946</t>
  </si>
  <si>
    <t>0.9679473884337516</t>
  </si>
  <si>
    <t>0.9843502776408035</t>
  </si>
  <si>
    <t>26.383399963378906</t>
  </si>
  <si>
    <t>0.8836630239313875</t>
  </si>
  <si>
    <t>0.9382389659983844</t>
  </si>
  <si>
    <t>0.975335901531523</t>
  </si>
  <si>
    <t>0.9798858688721694</t>
  </si>
  <si>
    <t>25.332212448120117</t>
  </si>
  <si>
    <t>0.8576579517464463</t>
  </si>
  <si>
    <t>0.9233755341666999</t>
  </si>
  <si>
    <t>0.9596871938767039</t>
  </si>
  <si>
    <t>0.9845601529115909</t>
  </si>
  <si>
    <t>26.554584503173828</t>
  </si>
  <si>
    <t>0.8653315042333191</t>
  </si>
  <si>
    <t>0.9278045240424801</t>
  </si>
  <si>
    <t>0.9817484967535361</t>
  </si>
  <si>
    <t>0.9782635907945387</t>
  </si>
  <si>
    <t>25.250911712646484</t>
  </si>
  <si>
    <t>0.8813739651771431</t>
  </si>
  <si>
    <t>0.9369471263988244</t>
  </si>
  <si>
    <t>0.9631594134021318</t>
  </si>
  <si>
    <t>0.9882524088256277</t>
  </si>
  <si>
    <t>25.792360305786133</t>
  </si>
  <si>
    <t>0.871472633975506</t>
  </si>
  <si>
    <t>0.9313228717902929</t>
  </si>
  <si>
    <t>0.9781575780309779</t>
  </si>
  <si>
    <t>0.9829841822957287</t>
  </si>
  <si>
    <t>25.33555030822754</t>
  </si>
  <si>
    <t>0.8738232198722662</t>
  </si>
  <si>
    <t>0.9326634557680767</t>
  </si>
  <si>
    <t>0.9682732399316261</t>
  </si>
  <si>
    <t>0.9853451767524166</t>
  </si>
  <si>
    <t>25.904178619384766</t>
  </si>
  <si>
    <t>0.8670521451030874</t>
  </si>
  <si>
    <t>0.9287926396455456</t>
  </si>
  <si>
    <t>0.9761314591170065</t>
  </si>
  <si>
    <t>0.9827756881972372</t>
  </si>
  <si>
    <t>26.12900733947754</t>
  </si>
  <si>
    <t>0.8848713413209626</t>
  </si>
  <si>
    <t>0.9389196195224908</t>
  </si>
  <si>
    <t>0.974177144494823</t>
  </si>
  <si>
    <t>0.9849489586244308</t>
  </si>
  <si>
    <t>26.58843994140625</t>
  </si>
  <si>
    <t>0.8571492569790213</t>
  </si>
  <si>
    <t>0.9230806342117325</t>
  </si>
  <si>
    <t>0.9772849991973498</t>
  </si>
  <si>
    <t>0.9789277368819458</t>
  </si>
  <si>
    <t>25.344133377075195</t>
  </si>
  <si>
    <t>0.8476443410755257</t>
  </si>
  <si>
    <t>0.9175405918025397</t>
  </si>
  <si>
    <t>0.9698555258875673</t>
  </si>
  <si>
    <t>0.9828910379849468</t>
  </si>
  <si>
    <t>25.156259536743164</t>
  </si>
  <si>
    <t>0.8824893619932409</t>
  </si>
  <si>
    <t>0.9375769975760527</t>
  </si>
  <si>
    <t>0.9708950505780347</t>
  </si>
  <si>
    <t>0.9854648623147889</t>
  </si>
  <si>
    <t>25.39801597595215</t>
  </si>
  <si>
    <t>0.8565875853103673</t>
  </si>
  <si>
    <t>0.922754834824742</t>
  </si>
  <si>
    <t>0.984403244842165</t>
  </si>
  <si>
    <t>0.9781611934815929</t>
  </si>
  <si>
    <t>25.800228118896484</t>
  </si>
  <si>
    <t>0.8639282235460166</t>
  </si>
  <si>
    <t>0.9269973088367562</t>
  </si>
  <si>
    <t>0.977339000457268</t>
  </si>
  <si>
    <t>0.9808648619116562</t>
  </si>
  <si>
    <t>25.319337844848633</t>
  </si>
  <si>
    <t>0.8597502216397487</t>
  </si>
  <si>
    <t>0.9245867661536867</t>
  </si>
  <si>
    <t>0.9790762837724144</t>
  </si>
  <si>
    <t>0.979195932838317</t>
  </si>
  <si>
    <t>26.458740234375</t>
  </si>
  <si>
    <t>0.8818104052637333</t>
  </si>
  <si>
    <t>0.9371936756191427</t>
  </si>
  <si>
    <t>0.975287564822126</t>
  </si>
  <si>
    <t>0.983588087652079</t>
  </si>
  <si>
    <t>25.32672882080078</t>
  </si>
  <si>
    <t>0.8662295324887012</t>
  </si>
  <si>
    <t>0.9283204637036743</t>
  </si>
  <si>
    <t>0.9500939610950276</t>
  </si>
  <si>
    <t>0.9899687516774003</t>
  </si>
  <si>
    <t>26.706457138061523</t>
  </si>
  <si>
    <t>0.8767677875052857</t>
  </si>
  <si>
    <t>0.9343380607259238</t>
  </si>
  <si>
    <t>0.9687229624502509</t>
  </si>
  <si>
    <t>0.9870074469772646</t>
  </si>
  <si>
    <t>25.30670166015625</t>
  </si>
  <si>
    <t>0.8451696909605667</t>
  </si>
  <si>
    <t>0.9160888509073488</t>
  </si>
  <si>
    <t>0.9778109473364154</t>
  </si>
  <si>
    <t>0.9748734600853004</t>
  </si>
  <si>
    <t>25.951147079467773</t>
  </si>
  <si>
    <t>0.8417033964220897</t>
  </si>
  <si>
    <t>0.9140488072697069</t>
  </si>
  <si>
    <t>0.9800677740964083</t>
  </si>
  <si>
    <t>0.9762236143904933</t>
  </si>
  <si>
    <t>25.330305099487305</t>
  </si>
  <si>
    <t>0.8516636780235106</t>
  </si>
  <si>
    <t>0.9198902458707698</t>
  </si>
  <si>
    <t>0.9652503951779604</t>
  </si>
  <si>
    <t>0.9835489877206628</t>
  </si>
  <si>
    <t>26.562213897705078</t>
  </si>
  <si>
    <t>0.8606267614047665</t>
  </si>
  <si>
    <t>0.9250933924598573</t>
  </si>
  <si>
    <t>0.9703943197667046</t>
  </si>
  <si>
    <t>0.9825506513556176</t>
  </si>
  <si>
    <t>25.433778762817383</t>
  </si>
  <si>
    <t>0.8121855025159799</t>
  </si>
  <si>
    <t>0.8963602251407129</t>
  </si>
  <si>
    <t>0.959974280662273</t>
  </si>
  <si>
    <t>0.9795888712467611</t>
  </si>
  <si>
    <t>26.238203048706055</t>
  </si>
  <si>
    <t>0.8599141215386408</t>
  </si>
  <si>
    <t>0.9246815340347698</t>
  </si>
  <si>
    <t>0.9612883183517221</t>
  </si>
  <si>
    <t>0.9876010105534752</t>
  </si>
  <si>
    <t>26.370525360107422</t>
  </si>
  <si>
    <t>0.867858986650933</t>
  </si>
  <si>
    <t>0.929255359053632</t>
  </si>
  <si>
    <t>0.9708753083669546</t>
  </si>
  <si>
    <t>0.9844862854536416</t>
  </si>
  <si>
    <t>24.936676025390625</t>
  </si>
  <si>
    <t>0.8645950819968757</t>
  </si>
  <si>
    <t>0.9273810602041741</t>
  </si>
  <si>
    <t>0.9764053591984361</t>
  </si>
  <si>
    <t>0.9789456875032575</t>
  </si>
  <si>
    <t>25.388002395629883</t>
  </si>
  <si>
    <t>0.8719796459368049</t>
  </si>
  <si>
    <t>0.9316123151546719</t>
  </si>
  <si>
    <t>0.9579560480024102</t>
  </si>
  <si>
    <t>0.9873186650909177</t>
  </si>
  <si>
    <t>25.820016860961914</t>
  </si>
  <si>
    <t>0.8669533457547228</t>
  </si>
  <si>
    <t>0.9287359512503015</t>
  </si>
  <si>
    <t>0.9756099254342725</t>
  </si>
  <si>
    <t>0.980042938857455</t>
  </si>
  <si>
    <t>25.30074119567871</t>
  </si>
  <si>
    <t>0.8674826850198196</t>
  </si>
  <si>
    <t>0.9290396017895213</t>
  </si>
  <si>
    <t>0.9562745493483918</t>
  </si>
  <si>
    <t>0.9887151132565125</t>
  </si>
  <si>
    <t>26.17502212524414</t>
  </si>
  <si>
    <t>0.8727024141453711</t>
  </si>
  <si>
    <t>0.9320246586467276</t>
  </si>
  <si>
    <t>0.9687507993485842</t>
  </si>
  <si>
    <t>0.9861397003950422</t>
  </si>
  <si>
    <t>25.44379234313965</t>
  </si>
  <si>
    <t>0.856684426157444</t>
  </si>
  <si>
    <t>0.9228110217204983</t>
  </si>
  <si>
    <t>0.956410357079759</t>
  </si>
  <si>
    <t>0.9874721927042952</t>
  </si>
  <si>
    <t>26.120424270629883</t>
  </si>
  <si>
    <t>0.8739842804516378</t>
  </si>
  <si>
    <t>0.9327551885771465</t>
  </si>
  <si>
    <t>0.964023764119114</t>
  </si>
  <si>
    <t>0.9846026686076849</t>
  </si>
  <si>
    <t>26.827573776245117</t>
  </si>
  <si>
    <t>0.8593836289920663</t>
  </si>
  <si>
    <t>0.9243747396635095</t>
  </si>
  <si>
    <t>0.9676350372712726</t>
  </si>
  <si>
    <t>0.9818796668502954</t>
  </si>
  <si>
    <t>25.391817092895508</t>
  </si>
  <si>
    <t>0.851892591003318</t>
  </si>
  <si>
    <t>0.9200237585504674</t>
  </si>
  <si>
    <t>0.9877300183594243</t>
  </si>
  <si>
    <t>0.9748805016172298</t>
  </si>
  <si>
    <t>25.19679069519043</t>
  </si>
  <si>
    <t>0.8662302303945713</t>
  </si>
  <si>
    <t>0.9283208644749333</t>
  </si>
  <si>
    <t>0.9768344235991113</t>
  </si>
  <si>
    <t>0.9819880210328377</t>
  </si>
  <si>
    <t>25.18630027770996</t>
  </si>
  <si>
    <t>0.8566474497205475</t>
  </si>
  <si>
    <t>0.9227895687460593</t>
  </si>
  <si>
    <t>0.9409398957819736</t>
  </si>
  <si>
    <t>0.98923121360985</t>
  </si>
  <si>
    <t>25.5126953125</t>
  </si>
  <si>
    <t>0.8580757094784607</t>
  </si>
  <si>
    <t>0.9236175954523533</t>
  </si>
  <si>
    <t>0.9532851817334576</t>
  </si>
  <si>
    <t>0.9890195692090987</t>
  </si>
  <si>
    <t>26.702880859375</t>
  </si>
  <si>
    <t>0.8872484557260754</t>
  </si>
  <si>
    <t>0.940256120527307</t>
  </si>
  <si>
    <t>0.9694905512361454</t>
  </si>
  <si>
    <t>0.9870258493698285</t>
  </si>
  <si>
    <t>25.16007423400879</t>
  </si>
  <si>
    <t>0.8927648489299348</t>
  </si>
  <si>
    <t>0.943344704900511</t>
  </si>
  <si>
    <t>0.9730788980849393</t>
  </si>
  <si>
    <t>0.9869966992376811</t>
  </si>
  <si>
    <t>24.953842163085938</t>
  </si>
  <si>
    <t>0.8784398281763877</t>
  </si>
  <si>
    <t>0.9352866298934769</t>
  </si>
  <si>
    <t>0.9606573019790625</t>
  </si>
  <si>
    <t>0.9891430791253585</t>
  </si>
  <si>
    <t>26.42512321472168</t>
  </si>
  <si>
    <t>0.8522246898717976</t>
  </si>
  <si>
    <t>0.9202173953644734</t>
  </si>
  <si>
    <t>0.97046333719382</t>
  </si>
  <si>
    <t>0.9808929429750372</t>
  </si>
  <si>
    <t>25.941133499145508</t>
  </si>
  <si>
    <t>0.8457027512515509</t>
  </si>
  <si>
    <t>0.9164018969772777</t>
  </si>
  <si>
    <t>0.9811016742813766</t>
  </si>
  <si>
    <t>0.9754030545672183</t>
  </si>
  <si>
    <t>25.785207748413086</t>
  </si>
  <si>
    <t>0.8706248730620811</t>
  </si>
  <si>
    <t>0.9308385509029713</t>
  </si>
  <si>
    <t>0.9494478605254554</t>
  </si>
  <si>
    <t>0.9909998605523594</t>
  </si>
  <si>
    <t>27.033567428588867</t>
  </si>
  <si>
    <t>0.8761878431725539</t>
  </si>
  <si>
    <t>0.9340086562878027</t>
  </si>
  <si>
    <t>0.9769730946526249</t>
  </si>
  <si>
    <t>0.9823504241068236</t>
  </si>
  <si>
    <t>25.4058837890625</t>
  </si>
  <si>
    <t>0.8686472488633584</t>
  </si>
  <si>
    <t>0.9297070374215682</t>
  </si>
  <si>
    <t>0.9665668615838034</t>
  </si>
  <si>
    <t>0.9872510044743561</t>
  </si>
  <si>
    <t>26.482105255126953</t>
  </si>
  <si>
    <t>0.8580628526542384</t>
  </si>
  <si>
    <t>0.9236101474484544</t>
  </si>
  <si>
    <t>0.9728935935874686</t>
  </si>
  <si>
    <t>0.9781650136607324</t>
  </si>
  <si>
    <t>25.246858596801758</t>
  </si>
  <si>
    <t>0.8746008567568059</t>
  </si>
  <si>
    <t>0.9331062168294623</t>
  </si>
  <si>
    <t>0.9787296076809373</t>
  </si>
  <si>
    <t>0.9805136866963935</t>
  </si>
  <si>
    <t>26.673555374145508</t>
  </si>
  <si>
    <t>0.8748328557784145</t>
  </si>
  <si>
    <t>0.9332382383657251</t>
  </si>
  <si>
    <t>0.9625536386723881</t>
  </si>
  <si>
    <t>0.9877459636595582</t>
  </si>
  <si>
    <t>27.889251708984375</t>
  </si>
  <si>
    <t>0.8698796906330565</t>
  </si>
  <si>
    <t>0.9304124698402972</t>
  </si>
  <si>
    <t>0.9497687822532002</t>
  </si>
  <si>
    <t>0.9914269329023513</t>
  </si>
  <si>
    <t>25.667428970336914</t>
  </si>
  <si>
    <t>0.859620173639233</t>
  </si>
  <si>
    <t>0.9245115597525236</t>
  </si>
  <si>
    <t>0.9673344576753378</t>
  </si>
  <si>
    <t>0.9842016637062461</t>
  </si>
  <si>
    <t>25.353670120239258</t>
  </si>
  <si>
    <t>0.8714686955594269</t>
  </si>
  <si>
    <t>0.9313206228105504</t>
  </si>
  <si>
    <t>0.9822951397794306</t>
  </si>
  <si>
    <t>0.9828243531123351</t>
  </si>
  <si>
    <t>26.44944190979004</t>
  </si>
  <si>
    <t>0.8706158942756386</t>
  </si>
  <si>
    <t>0.9308334190250943</t>
  </si>
  <si>
    <t>0.967339507638724</t>
  </si>
  <si>
    <t>0.9847817176761948</t>
  </si>
  <si>
    <t>25.278091430664062</t>
  </si>
  <si>
    <t>0.8838751146515675</t>
  </si>
  <si>
    <t>0.9383585013436996</t>
  </si>
  <si>
    <t>0.9761669272245797</t>
  </si>
  <si>
    <t>0.9858200354417875</t>
  </si>
  <si>
    <t>25.683164596557617</t>
  </si>
  <si>
    <t>0.864056390518084</t>
  </si>
  <si>
    <t>0.9270710853097461</t>
  </si>
  <si>
    <t>0.9590502992184718</t>
  </si>
  <si>
    <t>0.9860627851648718</t>
  </si>
  <si>
    <t>0.8666970890997008</t>
  </si>
  <si>
    <t>0.9285888901425402</t>
  </si>
  <si>
    <t>0.9498716012811018</t>
  </si>
  <si>
    <t>0.9894368321929954</t>
  </si>
  <si>
    <t>26.369810104370117</t>
  </si>
  <si>
    <t>0.8797941729748598</t>
  </si>
  <si>
    <t>0.936053729310742</t>
  </si>
  <si>
    <t>0.9781230685199293</t>
  </si>
  <si>
    <t>0.9829003534066243</t>
  </si>
  <si>
    <t>25.325536727905273</t>
  </si>
  <si>
    <t>0.8696574408043507</t>
  </si>
  <si>
    <t>0.9302853258832408</t>
  </si>
  <si>
    <t>0.9476240416238176</t>
  </si>
  <si>
    <t>0.9907351191071201</t>
  </si>
  <si>
    <t>3354.9249172210693</t>
  </si>
  <si>
    <t>0.9292640839113517</t>
  </si>
  <si>
    <t>0.9633352858851548</t>
  </si>
  <si>
    <t>0.9908853608070515</t>
  </si>
  <si>
    <t>8582.304239273071</t>
  </si>
  <si>
    <t>0.9130104204236404</t>
  </si>
  <si>
    <t>0.9545273885350318</t>
  </si>
  <si>
    <t>0.991849128137703</t>
  </si>
  <si>
    <t>7513.324499130249</t>
  </si>
  <si>
    <t>7423.612594604492</t>
  </si>
  <si>
    <t>0.89787869443137</t>
  </si>
  <si>
    <t>0.9461918689175091</t>
  </si>
  <si>
    <t>0.9874929300906016</t>
  </si>
  <si>
    <t>4575.731515884399</t>
  </si>
  <si>
    <t>0.9118999039369954</t>
  </si>
  <si>
    <t>0.9539201315499894</t>
  </si>
  <si>
    <t>0.9914974060614431</t>
  </si>
  <si>
    <t>0.9891586945404293</t>
  </si>
  <si>
    <t>5428.3576011657715</t>
  </si>
  <si>
    <t>4216.421604156494</t>
  </si>
  <si>
    <t>0.9182289894521947</t>
  </si>
  <si>
    <t>0.9573716115242542</t>
  </si>
  <si>
    <t>0.9908800161773549</t>
  </si>
  <si>
    <t>3754.7447681427</t>
  </si>
  <si>
    <t>0.9271336343620554</t>
  </si>
  <si>
    <t>0.9621892512596483</t>
  </si>
  <si>
    <t>0.9906705343564369</t>
  </si>
  <si>
    <t>3726.5334129333496</t>
  </si>
  <si>
    <t>0.9180211905457565</t>
  </si>
  <si>
    <t>0.9572586528979291</t>
  </si>
  <si>
    <t>0.98965648764489</t>
  </si>
  <si>
    <t>4007.5628757476807</t>
  </si>
  <si>
    <t>0.9140672635666378</t>
  </si>
  <si>
    <t>0.9551046412688566</t>
  </si>
  <si>
    <t>0.9894970650256656</t>
  </si>
  <si>
    <t>3732.348918914795</t>
  </si>
  <si>
    <t>0.9200115925228228</t>
  </si>
  <si>
    <t>0.9583396226415094</t>
  </si>
  <si>
    <t>0.9890299994260837</t>
  </si>
  <si>
    <t>0.9901252634612084</t>
  </si>
  <si>
    <t>3733.0403327941895</t>
  </si>
  <si>
    <t>0.914263472138235</t>
  </si>
  <si>
    <t>0.9552117411685251</t>
  </si>
  <si>
    <t>0.9927320206190235</t>
  </si>
  <si>
    <t>0.9875861963568565</t>
  </si>
  <si>
    <t>3610.6269359588623</t>
  </si>
  <si>
    <t>0.924095184700679</t>
  </si>
  <si>
    <t>0.960550384459733</t>
  </si>
  <si>
    <t>0.9931544680067619</t>
  </si>
  <si>
    <t>0.9903883618453484</t>
  </si>
  <si>
    <t>4174.280166625977</t>
  </si>
  <si>
    <t>0.9258963825629163</t>
  </si>
  <si>
    <t>0.9615225314777999</t>
  </si>
  <si>
    <t>0.9891398558808986</t>
  </si>
  <si>
    <t>4035.8123779296875</t>
  </si>
  <si>
    <t>0.9124111959831206</t>
  </si>
  <si>
    <t>0.9541998058781221</t>
  </si>
  <si>
    <t>0.9866623927777132</t>
  </si>
  <si>
    <t>3919.7604656219482</t>
  </si>
  <si>
    <t>0.9244750490165075</t>
  </si>
  <si>
    <t>0.9607555571987857</t>
  </si>
  <si>
    <t>0.9906999131877294</t>
  </si>
  <si>
    <t>3694.897174835205</t>
  </si>
  <si>
    <t>0.9138067499666503</t>
  </si>
  <si>
    <t>0.954962406713817</t>
  </si>
  <si>
    <t>0.9882661844902042</t>
  </si>
  <si>
    <t>0.9910311527699996</t>
  </si>
  <si>
    <t>3706.094741821289</t>
  </si>
  <si>
    <t>0.9158967708090464</t>
  </si>
  <si>
    <t>0.9561024213452595</t>
  </si>
  <si>
    <t>0.9888015936652673</t>
  </si>
  <si>
    <t>3713.3407592773438</t>
  </si>
  <si>
    <t>0.9271554690130741</t>
  </si>
  <si>
    <t>0.9622010096444213</t>
  </si>
  <si>
    <t>0.9897860302277238</t>
  </si>
  <si>
    <t>0.9906106142205093</t>
  </si>
  <si>
    <t>3750.7171630859375</t>
  </si>
  <si>
    <t>3941.00284576416</t>
  </si>
  <si>
    <t>0.9292176386913229</t>
  </si>
  <si>
    <t>0.9633103285554179</t>
  </si>
  <si>
    <t>0.9833212909441233</t>
  </si>
  <si>
    <t>0.9915519289907744</t>
  </si>
  <si>
    <t>3796.1227893829346</t>
  </si>
  <si>
    <t>0.9297483997718486</t>
  </si>
  <si>
    <t>0.9635954613376246</t>
  </si>
  <si>
    <t>0.9947315604616157</t>
  </si>
  <si>
    <t>0.9885605719270132</t>
  </si>
  <si>
    <t>3874.2902278900146</t>
  </si>
  <si>
    <t>0.9331949411003604</t>
  </si>
  <si>
    <t>0.9654431855374013</t>
  </si>
  <si>
    <t>0.9910069508116557</t>
  </si>
  <si>
    <t>3792.7005290985107</t>
  </si>
  <si>
    <t>0.92329223327915</t>
  </si>
  <si>
    <t>0.9601164267220765</t>
  </si>
  <si>
    <t>0.9912518993081898</t>
  </si>
  <si>
    <t>4031.9957733154297</t>
  </si>
  <si>
    <t>0.9320917249452232</t>
  </si>
  <si>
    <t>0.9648524579977164</t>
  </si>
  <si>
    <t>0.991307587503547</t>
  </si>
  <si>
    <t>4091.0286903381348</t>
  </si>
  <si>
    <t>3700.1850605010986</t>
  </si>
  <si>
    <t>0.9220796323243763</t>
  </si>
  <si>
    <t>0.9594603853216038</t>
  </si>
  <si>
    <t>0.9884172480271954</t>
  </si>
  <si>
    <t>3784.4278812408447</t>
  </si>
  <si>
    <t>0.9244536175747123</t>
  </si>
  <si>
    <t>0.9607439837804483</t>
  </si>
  <si>
    <t>0.9917874286234274</t>
  </si>
  <si>
    <t>3928.467273712158</t>
  </si>
  <si>
    <t>0.926513527439742</t>
  </si>
  <si>
    <t>0.9618552003328424</t>
  </si>
  <si>
    <t>0.9887830023438999</t>
  </si>
  <si>
    <t>3892.15350151062</t>
  </si>
  <si>
    <t>4182.365894317627</t>
  </si>
  <si>
    <t>3819.584369659424</t>
  </si>
  <si>
    <t>3982.0215702056885</t>
  </si>
  <si>
    <t>0.9192974802358478</t>
  </si>
  <si>
    <t>0.957952052459197</t>
  </si>
  <si>
    <t>0.9871915892683077</t>
  </si>
  <si>
    <t>4557.089805603027</t>
  </si>
  <si>
    <t>0.9167192290202866</t>
  </si>
  <si>
    <t>0.956550354523087</t>
  </si>
  <si>
    <t>0.9904827564346392</t>
  </si>
  <si>
    <t>0.9889915696716335</t>
  </si>
  <si>
    <t>3830.390691757202</t>
  </si>
  <si>
    <t>0.8952508899065476</t>
  </si>
  <si>
    <t>0.9447307421664805</t>
  </si>
  <si>
    <t>0.9895845747583534</t>
  </si>
  <si>
    <t>3777.111768722534</t>
  </si>
  <si>
    <t>0.8940587691441894</t>
  </si>
  <si>
    <t>0.9440665555991807</t>
  </si>
  <si>
    <t>0.9898931742942432</t>
  </si>
  <si>
    <t>3886.8491649627686</t>
  </si>
  <si>
    <t>0.9260423115226226</t>
  </si>
  <si>
    <t>0.9616012129978024</t>
  </si>
  <si>
    <t>0.9895869298926585</t>
  </si>
  <si>
    <t>3840.806722640991</t>
  </si>
  <si>
    <t>0.9192773817851808</t>
  </si>
  <si>
    <t>0.9579411402536634</t>
  </si>
  <si>
    <t>0.9920356747895278</t>
  </si>
  <si>
    <t>3900.303363800049</t>
  </si>
  <si>
    <t>4306.438684463501</t>
  </si>
  <si>
    <t>0.9316848097180247</t>
  </si>
  <si>
    <t>0.9646344010480946</t>
  </si>
  <si>
    <t>0.9930337289487263</t>
  </si>
  <si>
    <t>0.9908523538190499</t>
  </si>
  <si>
    <t>3867.4468994140625</t>
  </si>
  <si>
    <t>0.9195311406001598</t>
  </si>
  <si>
    <t>0.9580788986967511</t>
  </si>
  <si>
    <t>0.9895050347468444</t>
  </si>
  <si>
    <t>3909.285068511963</t>
  </si>
  <si>
    <t>0.9128164241578632</t>
  </si>
  <si>
    <t>0.9544213575641373</t>
  </si>
  <si>
    <t>0.9905693026475169</t>
  </si>
  <si>
    <t>0.9894479719098475</t>
  </si>
  <si>
    <t>3708.0113887786865</t>
  </si>
  <si>
    <t>0.9245910317491058</t>
  </si>
  <si>
    <t>0.9608181857823784</t>
  </si>
  <si>
    <t>0.9879850797420131</t>
  </si>
  <si>
    <t>3748.8579750061035</t>
  </si>
  <si>
    <t>0.927549207503882</t>
  </si>
  <si>
    <t>0.962412999775015</t>
  </si>
  <si>
    <t>0.9905433467290139</t>
  </si>
  <si>
    <t>0.9900601507376173</t>
  </si>
  <si>
    <t>3971.372127532959</t>
  </si>
  <si>
    <t>0.9275859933531043</t>
  </si>
  <si>
    <t>0.9624328009766615</t>
  </si>
  <si>
    <t>0.9898629581531954</t>
  </si>
  <si>
    <t>3719.189405441284</t>
  </si>
  <si>
    <t>0.9150775948730837</t>
  </si>
  <si>
    <t>0.9556558933412073</t>
  </si>
  <si>
    <t>0.9892139208605669</t>
  </si>
  <si>
    <t>4323.675632476807</t>
  </si>
  <si>
    <t>0.9068427221709171</t>
  </si>
  <si>
    <t>0.9511457988926195</t>
  </si>
  <si>
    <t>0.9873159507719674</t>
  </si>
  <si>
    <t>3482.4633598327637</t>
  </si>
  <si>
    <t>3816.0929679870605</t>
  </si>
  <si>
    <t>0.9180837976698748</t>
  </si>
  <si>
    <t>0.9572926884478986</t>
  </si>
  <si>
    <t>0.9901096699616578</t>
  </si>
  <si>
    <t>3913.6416912078857</t>
  </si>
  <si>
    <t>0.9028273750347954</t>
  </si>
  <si>
    <t>0.948932506311337</t>
  </si>
  <si>
    <t>0.987727802531716</t>
  </si>
  <si>
    <t>3766.444683074951</t>
  </si>
  <si>
    <t>3537.7185344696045</t>
  </si>
  <si>
    <t>0.9189585289335684</t>
  </si>
  <si>
    <t>0.9577679924581439</t>
  </si>
  <si>
    <t>0.9894282020287414</t>
  </si>
  <si>
    <t>5923.270463943481</t>
  </si>
  <si>
    <t>4142.914533615112</t>
  </si>
  <si>
    <t>3952.1660804748535</t>
  </si>
  <si>
    <t>0.9275021417942976</t>
  </si>
  <si>
    <t>0.9623876639959452</t>
  </si>
  <si>
    <t>0.9858220042494049</t>
  </si>
  <si>
    <t>0.9914748175727922</t>
  </si>
  <si>
    <t>3651.4601707458496</t>
  </si>
  <si>
    <t>0.899926966533488</t>
  </si>
  <si>
    <t>0.9473279577429756</t>
  </si>
  <si>
    <t>0.9903647039912251</t>
  </si>
  <si>
    <t>0.9887274227608904</t>
  </si>
  <si>
    <t>3783.8077545166016</t>
  </si>
  <si>
    <t>0.9227170879358465</t>
  </si>
  <si>
    <t>0.9598053647366699</t>
  </si>
  <si>
    <t>0.9903105774315453</t>
  </si>
  <si>
    <t>3728.372573852539</t>
  </si>
  <si>
    <t>0.922521902246078</t>
  </si>
  <si>
    <t>0.9596997580816091</t>
  </si>
  <si>
    <t>0.9890620685590678</t>
  </si>
  <si>
    <t>4282.3145389556885</t>
  </si>
  <si>
    <t>0.8881381130562609</t>
  </si>
  <si>
    <t>0.9407554531258985</t>
  </si>
  <si>
    <t>0.98793753170905</t>
  </si>
  <si>
    <t>3671.6690063476562</t>
  </si>
  <si>
    <t>0.9169547840972657</t>
  </si>
  <si>
    <t>0.9566785734375879</t>
  </si>
  <si>
    <t>0.9953762976727852</t>
  </si>
  <si>
    <t>4003.8557052612305</t>
  </si>
  <si>
    <t>0.930702263493906</t>
  </si>
  <si>
    <t>0.9641074971442314</t>
  </si>
  <si>
    <t>0.9879003242672107</t>
  </si>
  <si>
    <t>3658.437967300415</t>
  </si>
  <si>
    <t>0.914854511866918</t>
  </si>
  <si>
    <t>0.9555342259135562</t>
  </si>
  <si>
    <t>0.991373821083619</t>
  </si>
  <si>
    <t>3587.035655975342</t>
  </si>
  <si>
    <t>0.9207983549407056</t>
  </si>
  <si>
    <t>0.9587662885822602</t>
  </si>
  <si>
    <t>0.9898037625460668</t>
  </si>
  <si>
    <t>3890.045166015625</t>
  </si>
  <si>
    <t>0.9048442764738193</t>
  </si>
  <si>
    <t>0.9500454054426277</t>
  </si>
  <si>
    <t>0.9885335708837194</t>
  </si>
  <si>
    <t>3800.5473613739014</t>
  </si>
  <si>
    <t>0.9186160833990136</t>
  </si>
  <si>
    <t>0.9575819689487816</t>
  </si>
  <si>
    <t>0.9904953627301779</t>
  </si>
  <si>
    <t>3671.5548038482666</t>
  </si>
  <si>
    <t>0.9223071046600458</t>
  </si>
  <si>
    <t>0.9595835154790764</t>
  </si>
  <si>
    <t>0.9955172749829462</t>
  </si>
  <si>
    <t>0.9884295353347721</t>
  </si>
  <si>
    <t>3677.154064178467</t>
  </si>
  <si>
    <t>0.9301644883312816</t>
  </si>
  <si>
    <t>0.9638188806752452</t>
  </si>
  <si>
    <t>0.9954101439322803</t>
  </si>
  <si>
    <t>0.9889498493161271</t>
  </si>
  <si>
    <t>3738.1858825683594</t>
  </si>
  <si>
    <t>3763.3814811706543</t>
  </si>
  <si>
    <t>0.9116538566579533</t>
  </si>
  <si>
    <t>0.9537854915342793</t>
  </si>
  <si>
    <t>0.9951534045416602</t>
  </si>
  <si>
    <t>3699.706554412842</t>
  </si>
  <si>
    <t>0.9142328660436138</t>
  </si>
  <si>
    <t>0.9551950363627117</t>
  </si>
  <si>
    <t>0.9945564686943997</t>
  </si>
  <si>
    <t>0.9913053685366692</t>
  </si>
  <si>
    <t>3894.7253227233887</t>
  </si>
  <si>
    <t>0.9034213197969543</t>
  </si>
  <si>
    <t>0.9492604820600895</t>
  </si>
  <si>
    <t>0.9906428236275481</t>
  </si>
  <si>
    <t>3873.9476203918457</t>
  </si>
  <si>
    <t>0.9309958321791841</t>
  </si>
  <si>
    <t>0.9642649835536192</t>
  </si>
  <si>
    <t>0.9909085299380875</t>
  </si>
  <si>
    <t>0.9896025921515411</t>
  </si>
  <si>
    <t>3684.2610836029053</t>
  </si>
  <si>
    <t>0.9161285164820523</t>
  </si>
  <si>
    <t>0.9562286752707313</t>
  </si>
  <si>
    <t>0.9910529843326638</t>
  </si>
  <si>
    <t>3674.410343170166</t>
  </si>
  <si>
    <t>0.9132405838461309</t>
  </si>
  <si>
    <t>0.9546531592072655</t>
  </si>
  <si>
    <t>0.9848839446011798</t>
  </si>
  <si>
    <t>0.9894047247912986</t>
  </si>
  <si>
    <t>3933.3250522613525</t>
  </si>
  <si>
    <t>981.9681644439697</t>
  </si>
  <si>
    <t>0.9378973562325594</t>
  </si>
  <si>
    <t>0.9679535948755441</t>
  </si>
  <si>
    <t>0.9815224590558767</t>
  </si>
  <si>
    <t>0.9932511532010064</t>
  </si>
  <si>
    <t>479.0809154510498</t>
  </si>
  <si>
    <t>0.9306978460141329</t>
  </si>
  <si>
    <t>0.9641051269990593</t>
  </si>
  <si>
    <t>0.9916443243897031</t>
  </si>
  <si>
    <t>0.993156456651941</t>
  </si>
  <si>
    <t>481.31489753723145</t>
  </si>
  <si>
    <t>0.9279514976814137</t>
  </si>
  <si>
    <t>0.962629504733271</t>
  </si>
  <si>
    <t>0.9834631157747928</t>
  </si>
  <si>
    <t>0.9922359010384455</t>
  </si>
  <si>
    <t>477.3058891296387</t>
  </si>
  <si>
    <t>0.9274354768957104</t>
  </si>
  <si>
    <t>0.9623517757278388</t>
  </si>
  <si>
    <t>0.9897506901085887</t>
  </si>
  <si>
    <t>0.991736448836345</t>
  </si>
  <si>
    <t>475.7194519042969</t>
  </si>
  <si>
    <t>0.9325429572919135</t>
  </si>
  <si>
    <t>0.9650941561461513</t>
  </si>
  <si>
    <t>0.991262734607735</t>
  </si>
  <si>
    <t>0.9922330055483123</t>
  </si>
  <si>
    <t>483.6077690124512</t>
  </si>
  <si>
    <t>0.9393269220029264</t>
  </si>
  <si>
    <t>0.9687143630562243</t>
  </si>
  <si>
    <t>0.9877031851921451</t>
  </si>
  <si>
    <t>0.9900146648935201</t>
  </si>
  <si>
    <t>482.64408111572266</t>
  </si>
  <si>
    <t>0.9141376903490921</t>
  </si>
  <si>
    <t>0.9551430860570701</t>
  </si>
  <si>
    <t>0.9807410376214232</t>
  </si>
  <si>
    <t>0.9927571105190702</t>
  </si>
  <si>
    <t>473.8452434539795</t>
  </si>
  <si>
    <t>0.9396080541474328</t>
  </si>
  <si>
    <t>0.9688638404426956</t>
  </si>
  <si>
    <t>0.9948501135673645</t>
  </si>
  <si>
    <t>0.9914300543611877</t>
  </si>
  <si>
    <t>483.14380645751953</t>
  </si>
  <si>
    <t>0.8671750113266257</t>
  </si>
  <si>
    <t>0.9288631285939274</t>
  </si>
  <si>
    <t>0.9120029488182252</t>
  </si>
  <si>
    <t>0.9938656524545392</t>
  </si>
  <si>
    <t>482.2211265563965</t>
  </si>
  <si>
    <t>0.9186636648095856</t>
  </si>
  <si>
    <t>0.9576078201290759</t>
  </si>
  <si>
    <t>0.980501562929551</t>
  </si>
  <si>
    <t>0.9930437106663453</t>
  </si>
  <si>
    <t>482.70511627197266</t>
  </si>
  <si>
    <t>0.9301703385839133</t>
  </si>
  <si>
    <t>0.9638220212899355</t>
  </si>
  <si>
    <t>0.9826274436635778</t>
  </si>
  <si>
    <t>0.9909709967749608</t>
  </si>
  <si>
    <t>484.06529426574707</t>
  </si>
  <si>
    <t>0.9308249180766401</t>
  </si>
  <si>
    <t>0.9641733016413174</t>
  </si>
  <si>
    <t>0.986996525315558</t>
  </si>
  <si>
    <t>0.9927246302470719</t>
  </si>
  <si>
    <t>482.7871322631836</t>
  </si>
  <si>
    <t>0.942995027395982</t>
  </si>
  <si>
    <t>0.9706612874452815</t>
  </si>
  <si>
    <t>0.9913388364890053</t>
  </si>
  <si>
    <t>0.9919237859737048</t>
  </si>
  <si>
    <t>480.8986186981201</t>
  </si>
  <si>
    <t>0.927246843741805</t>
  </si>
  <si>
    <t>0.9622502138247415</t>
  </si>
  <si>
    <t>0.9806881577279066</t>
  </si>
  <si>
    <t>0.9921149976582421</t>
  </si>
  <si>
    <t>476.855993270874</t>
  </si>
  <si>
    <t>0.9285795748638003</t>
  </si>
  <si>
    <t>0.9629673433924842</t>
  </si>
  <si>
    <t>0.9934766897250824</t>
  </si>
  <si>
    <t>0.9920958350804375</t>
  </si>
  <si>
    <t>484.7607612609863</t>
  </si>
  <si>
    <t>0.9242753738213911</t>
  </si>
  <si>
    <t>0.9606477185080696</t>
  </si>
  <si>
    <t>0.9919336978927105</t>
  </si>
  <si>
    <t>0.9907707904215539</t>
  </si>
  <si>
    <t>478.26433181762695</t>
  </si>
  <si>
    <t>0.9343544857768052</t>
  </si>
  <si>
    <t>0.9660633484162896</t>
  </si>
  <si>
    <t>0.9892983230361871</t>
  </si>
  <si>
    <t>0.9925554180311664</t>
  </si>
  <si>
    <t>483.13307762145996</t>
  </si>
  <si>
    <t>0.925160827972401</t>
  </si>
  <si>
    <t>0.9611257558640333</t>
  </si>
  <si>
    <t>0.9956683945258551</t>
  </si>
  <si>
    <t>0.9909313071595505</t>
  </si>
  <si>
    <t>484.116792678833</t>
  </si>
  <si>
    <t>0.9341985808391496</t>
  </si>
  <si>
    <t>0.9659800085613224</t>
  </si>
  <si>
    <t>0.9922472846210812</t>
  </si>
  <si>
    <t>0.9912345039523627</t>
  </si>
  <si>
    <t>487.0872497558594</t>
  </si>
  <si>
    <t>0.9408821583364929</t>
  </si>
  <si>
    <t>0.9695407362010189</t>
  </si>
  <si>
    <t>0.9894997732639051</t>
  </si>
  <si>
    <t>0.9928215633329496</t>
  </si>
  <si>
    <t>481.40549659729004</t>
  </si>
  <si>
    <t>0.9341455507723856</t>
  </si>
  <si>
    <t>0.9659516579807989</t>
  </si>
  <si>
    <t>0.9930911772249295</t>
  </si>
  <si>
    <t>0.9914776663549135</t>
  </si>
  <si>
    <t>483.7472438812256</t>
  </si>
  <si>
    <t>0.9248284390989112</t>
  </si>
  <si>
    <t>0.9609463579329285</t>
  </si>
  <si>
    <t>0.9899377054853781</t>
  </si>
  <si>
    <t>0.9912786335632736</t>
  </si>
  <si>
    <t>472.8851318359375</t>
  </si>
  <si>
    <t>0.9325163176774173</t>
  </si>
  <si>
    <t>0.9650798900349326</t>
  </si>
  <si>
    <t>0.9876798104586224</t>
  </si>
  <si>
    <t>0.9924859952106415</t>
  </si>
  <si>
    <t>484.6179485321045</t>
  </si>
  <si>
    <t>0.9319038992664747</t>
  </si>
  <si>
    <t>0.964751817748605</t>
  </si>
  <si>
    <t>0.9889148880852774</t>
  </si>
  <si>
    <t>0.991574883713865</t>
  </si>
  <si>
    <t>483.54125022888184</t>
  </si>
  <si>
    <t>0.9203029329114029</t>
  </si>
  <si>
    <t>0.9584976590293662</t>
  </si>
  <si>
    <t>0.9779840616516332</t>
  </si>
  <si>
    <t>0.9923404246210881</t>
  </si>
  <si>
    <t>475.15153884887695</t>
  </si>
  <si>
    <t>0.9361616789994106</t>
  </si>
  <si>
    <t>0.967028414159307</t>
  </si>
  <si>
    <t>0.9933210582084108</t>
  </si>
  <si>
    <t>0.9924687017241638</t>
  </si>
  <si>
    <t>482.6977252960205</t>
  </si>
  <si>
    <t>0.9135068371107301</t>
  </si>
  <si>
    <t>0.9547986130951751</t>
  </si>
  <si>
    <t>0.9574293495561136</t>
  </si>
  <si>
    <t>0.9925078068938759</t>
  </si>
  <si>
    <t>479.2900085449219</t>
  </si>
  <si>
    <t>0.9289762199586041</t>
  </si>
  <si>
    <t>0.9631805828882016</t>
  </si>
  <si>
    <t>0.9885354851740356</t>
  </si>
  <si>
    <t>0.9929430670874431</t>
  </si>
  <si>
    <t>483.3498001098633</t>
  </si>
  <si>
    <t>0.9100828549060542</t>
  </si>
  <si>
    <t>0.9529250027751449</t>
  </si>
  <si>
    <t>0.9766253314547253</t>
  </si>
  <si>
    <t>0.9910575431844136</t>
  </si>
  <si>
    <t>483.66618156433105</t>
  </si>
  <si>
    <t>0.9299976572174437</t>
  </si>
  <si>
    <t>0.9637293120430614</t>
  </si>
  <si>
    <t>0.9949513756606179</t>
  </si>
  <si>
    <t>0.9892698479757606</t>
  </si>
  <si>
    <t>483.65330696105957</t>
  </si>
  <si>
    <t>0.9327071260712816</t>
  </si>
  <si>
    <t>0.9651820635310078</t>
  </si>
  <si>
    <t>0.9810253777321403</t>
  </si>
  <si>
    <t>0.9922574860014295</t>
  </si>
  <si>
    <t>485.03875732421875</t>
  </si>
  <si>
    <t>0.9115112450080571</t>
  </si>
  <si>
    <t>0.9537074368654473</t>
  </si>
  <si>
    <t>0.9897406916338818</t>
  </si>
  <si>
    <t>0.9917443929405517</t>
  </si>
  <si>
    <t>480.00311851501465</t>
  </si>
  <si>
    <t>0.8785882155447373</t>
  </si>
  <si>
    <t>0.9353707302906418</t>
  </si>
  <si>
    <t>0.9657523503741223</t>
  </si>
  <si>
    <t>0.9885629378773843</t>
  </si>
  <si>
    <t>479.4182777404785</t>
  </si>
  <si>
    <t>0.9299468974514452</t>
  </si>
  <si>
    <t>0.9637020569627786</t>
  </si>
  <si>
    <t>0.99351210223592</t>
  </si>
  <si>
    <t>0.9926438743670077</t>
  </si>
  <si>
    <t>483.98280143737793</t>
  </si>
  <si>
    <t>0.936023002965226</t>
  </si>
  <si>
    <t>0.966954423094774</t>
  </si>
  <si>
    <t>0.989503680835906</t>
  </si>
  <si>
    <t>0.9921734548049002</t>
  </si>
  <si>
    <t>479.7947406768799</t>
  </si>
  <si>
    <t>0.9325951107784701</t>
  </si>
  <si>
    <t>0.9651220843695613</t>
  </si>
  <si>
    <t>0.9932294217638077</t>
  </si>
  <si>
    <t>0.9928317992819093</t>
  </si>
  <si>
    <t>479.05731201171875</t>
  </si>
  <si>
    <t>0.9217443502824859</t>
  </si>
  <si>
    <t>0.9592788449171135</t>
  </si>
  <si>
    <t>0.9850564909923849</t>
  </si>
  <si>
    <t>0.9900652456070832</t>
  </si>
  <si>
    <t>485.87799072265625</t>
  </si>
  <si>
    <t>0.9326671541148753</t>
  </si>
  <si>
    <t>0.9651606611403494</t>
  </si>
  <si>
    <t>0.9921013515849147</t>
  </si>
  <si>
    <t>0.992095276890423</t>
  </si>
  <si>
    <t>484.16948318481445</t>
  </si>
  <si>
    <t>0.9301686882315474</t>
  </si>
  <si>
    <t>0.9638211353265537</t>
  </si>
  <si>
    <t>0.9936058293766049</t>
  </si>
  <si>
    <t>0.9897772645574188</t>
  </si>
  <si>
    <t>485.4421615600586</t>
  </si>
  <si>
    <t>0.9397953349735657</t>
  </si>
  <si>
    <t>0.9689633932297014</t>
  </si>
  <si>
    <t>0.9919651211673289</t>
  </si>
  <si>
    <t>0.9909143774123454</t>
  </si>
  <si>
    <t>485.0120544433594</t>
  </si>
  <si>
    <t>0.9305447989951384</t>
  </si>
  <si>
    <t>0.9640230047803017</t>
  </si>
  <si>
    <t>0.9803223838026479</t>
  </si>
  <si>
    <t>0.9913572793486388</t>
  </si>
  <si>
    <t>486.03105545043945</t>
  </si>
  <si>
    <t>0.918287275230784</t>
  </si>
  <si>
    <t>0.9574032910376339</t>
  </si>
  <si>
    <t>0.9634787606701516</t>
  </si>
  <si>
    <t>0.9931117631646752</t>
  </si>
  <si>
    <t>477.9186248779297</t>
  </si>
  <si>
    <t>0.9281220151912551</t>
  </si>
  <si>
    <t>0.9627212467663178</t>
  </si>
  <si>
    <t>0.977595375353316</t>
  </si>
  <si>
    <t>0.9927696803107001</t>
  </si>
  <si>
    <t>483.0169677734375</t>
  </si>
  <si>
    <t>0.9338749734985008</t>
  </si>
  <si>
    <t>0.9658069795577969</t>
  </si>
  <si>
    <t>0.9837523529974795</t>
  </si>
  <si>
    <t>0.9927469984965404</t>
  </si>
  <si>
    <t>486.44399642944336</t>
  </si>
  <si>
    <t>0.9348103690460988</t>
  </si>
  <si>
    <t>0.9663069663069663</t>
  </si>
  <si>
    <t>0.9908156655742143</t>
  </si>
  <si>
    <t>0.993443292468092</t>
  </si>
  <si>
    <t>484.4481945037842</t>
  </si>
  <si>
    <t>0.9123016898000245</t>
  </si>
  <si>
    <t>0.9541399190997177</t>
  </si>
  <si>
    <t>0.9752793965905623</t>
  </si>
  <si>
    <t>0.9895714182212572</t>
  </si>
  <si>
    <t>486.18006706237793</t>
  </si>
  <si>
    <t>0.9340202972778884</t>
  </si>
  <si>
    <t>0.9658846896203844</t>
  </si>
  <si>
    <t>0.9807223087702824</t>
  </si>
  <si>
    <t>0.9922588020471388</t>
  </si>
  <si>
    <t>485.57233810424805</t>
  </si>
  <si>
    <t>0.9404818169883156</t>
  </si>
  <si>
    <t>0.9693281418611496</t>
  </si>
  <si>
    <t>0.994716525264868</t>
  </si>
  <si>
    <t>0.9908174523681598</t>
  </si>
  <si>
    <t>486.93156242370605</t>
  </si>
  <si>
    <t>0.9305678762021431</t>
  </si>
  <si>
    <t>0.9640353884192638</t>
  </si>
  <si>
    <t>0.9873164318687722</t>
  </si>
  <si>
    <t>0.9910746888057531</t>
  </si>
  <si>
    <t>481.9514751434326</t>
  </si>
  <si>
    <t>0.937614550650803</t>
  </si>
  <si>
    <t>0.967802961983206</t>
  </si>
  <si>
    <t>0.9961057069544483</t>
  </si>
  <si>
    <t>0.9918468620501136</t>
  </si>
  <si>
    <t>478.32512855529785</t>
  </si>
  <si>
    <t>0.9311433378735678</t>
  </si>
  <si>
    <t>0.9643440956577298</t>
  </si>
  <si>
    <t>0.9909023473137625</t>
  </si>
  <si>
    <t>0.9919176886329008</t>
  </si>
  <si>
    <t>485.8441352844238</t>
  </si>
  <si>
    <t>0.9236423059202948</t>
  </si>
  <si>
    <t>0.9603056691752396</t>
  </si>
  <si>
    <t>0.972958421487666</t>
  </si>
  <si>
    <t>0.9923192302867334</t>
  </si>
  <si>
    <t>485.8968257904053</t>
  </si>
  <si>
    <t>0.9236515609076544</t>
  </si>
  <si>
    <t>0.9603106713066469</t>
  </si>
  <si>
    <t>0.9899988976740923</t>
  </si>
  <si>
    <t>0.9924450904154463</t>
  </si>
  <si>
    <t>486.85765266418457</t>
  </si>
  <si>
    <t>0.8994850029761134</t>
  </si>
  <si>
    <t>0.947083026785471</t>
  </si>
  <si>
    <t>0.985948920638823</t>
  </si>
  <si>
    <t>0.9892174425844197</t>
  </si>
  <si>
    <t>476.20153427124023</t>
  </si>
  <si>
    <t>0.9098032016448818</t>
  </si>
  <si>
    <t>0.9527716791565575</t>
  </si>
  <si>
    <t>0.9811680855276183</t>
  </si>
  <si>
    <t>0.9892605559356435</t>
  </si>
  <si>
    <t>487.3054027557373</t>
  </si>
  <si>
    <t>0.9031847656570631</t>
  </si>
  <si>
    <t>0.949129881612145</t>
  </si>
  <si>
    <t>0.980070809859939</t>
  </si>
  <si>
    <t>0.9920250991386773</t>
  </si>
  <si>
    <t>484.55095291137695</t>
  </si>
  <si>
    <t>0.9329234610059328</t>
  </si>
  <si>
    <t>0.9652978815006161</t>
  </si>
  <si>
    <t>0.9828288553829876</t>
  </si>
  <si>
    <t>0.9922751268470447</t>
  </si>
  <si>
    <t>487.776517868042</t>
  </si>
  <si>
    <t>0.9313730842192895</t>
  </si>
  <si>
    <t>0.9644672920310209</t>
  </si>
  <si>
    <t>0.9784929277577443</t>
  </si>
  <si>
    <t>0.9922372666202465</t>
  </si>
  <si>
    <t>487.9288673400879</t>
  </si>
  <si>
    <t>0.9401058717002159</t>
  </si>
  <si>
    <t>0.969128422745664</t>
  </si>
  <si>
    <t>0.9848590984049151</t>
  </si>
  <si>
    <t>0.9928428027601944</t>
  </si>
  <si>
    <t>482.8360080718994</t>
  </si>
  <si>
    <t>0.9290442447981597</t>
  </si>
  <si>
    <t>0.9632171447631754</t>
  </si>
  <si>
    <t>0.9791055656331056</t>
  </si>
  <si>
    <t>0.9931689379562907</t>
  </si>
  <si>
    <t>486.82332038879395</t>
  </si>
  <si>
    <t>0.9284140051652189</t>
  </si>
  <si>
    <t>0.9628783058808744</t>
  </si>
  <si>
    <t>0.9833705016926311</t>
  </si>
  <si>
    <t>0.9920133604930308</t>
  </si>
  <si>
    <t>488.11960220336914</t>
  </si>
  <si>
    <t>0.9420507766131179</t>
  </si>
  <si>
    <t>0.9701608093440565</t>
  </si>
  <si>
    <t>0.9888388811695765</t>
  </si>
  <si>
    <t>0.9928210602607428</t>
  </si>
  <si>
    <t>476.8531322479248</t>
  </si>
  <si>
    <t>0.9301505810424391</t>
  </si>
  <si>
    <t>0.9638114146929218</t>
  </si>
  <si>
    <t>0.9939356996608368</t>
  </si>
  <si>
    <t>0.9904683178834995</t>
  </si>
  <si>
    <t>488.83605003356934</t>
  </si>
  <si>
    <t>0.9486114615071125</t>
  </si>
  <si>
    <t>0.973628124688776</t>
  </si>
  <si>
    <t>0.9969813783679047</t>
  </si>
  <si>
    <t>0.9916804309314923</t>
  </si>
  <si>
    <t>482.15579986572266</t>
  </si>
  <si>
    <t>0.9082141942095824</t>
  </si>
  <si>
    <t>0.9518996315670752</t>
  </si>
  <si>
    <t>0.9898688649107522</t>
  </si>
  <si>
    <t>0.9916073197434961</t>
  </si>
  <si>
    <t>488.70134353637695</t>
  </si>
  <si>
    <t>0.9217154593787159</t>
  </si>
  <si>
    <t>0.9592631988054084</t>
  </si>
  <si>
    <t>0.9932961958824028</t>
  </si>
  <si>
    <t>0.992314641692309</t>
  </si>
  <si>
    <t>488.30389976501465</t>
  </si>
  <si>
    <t>0.9235847968948158</t>
  </si>
  <si>
    <t>0.9602745856441894</t>
  </si>
  <si>
    <t>0.9851929588665973</t>
  </si>
  <si>
    <t>0.9912195785268189</t>
  </si>
  <si>
    <t>488.06047439575195</t>
  </si>
  <si>
    <t>0.9345639323861868</t>
  </si>
  <si>
    <t>0.9661752881265077</t>
  </si>
  <si>
    <t>0.9922287161325247</t>
  </si>
  <si>
    <t>0.9928425847581646</t>
  </si>
  <si>
    <t>482.1586608886719</t>
  </si>
  <si>
    <t>0.9420340723696612</t>
  </si>
  <si>
    <t>0.9701519512684919</t>
  </si>
  <si>
    <t>0.9871809717123143</t>
  </si>
  <si>
    <t>0.9921975064401622</t>
  </si>
  <si>
    <t>488.19947242736816</t>
  </si>
  <si>
    <t>0.9263426461499453</t>
  </si>
  <si>
    <t>0.9617631089685582</t>
  </si>
  <si>
    <t>0.9783754832878638</t>
  </si>
  <si>
    <t>0.9927756645807367</t>
  </si>
  <si>
    <t>488.56592178344727</t>
  </si>
  <si>
    <t>0.9260926327934055</t>
  </si>
  <si>
    <t>0.9616283422986739</t>
  </si>
  <si>
    <t>0.9745594836813266</t>
  </si>
  <si>
    <t>0.9929043451139399</t>
  </si>
  <si>
    <t>488.42406272888184</t>
  </si>
  <si>
    <t>0.9243572062796365</t>
  </si>
  <si>
    <t>0.9606919165145</t>
  </si>
  <si>
    <t>0.9940372796993245</t>
  </si>
  <si>
    <t>0.9921894980797384</t>
  </si>
  <si>
    <t>487.9109859466553</t>
  </si>
  <si>
    <t>0.9053204656317497</t>
  </si>
  <si>
    <t>0.9503078164140449</t>
  </si>
  <si>
    <t>0.9660414166961596</t>
  </si>
  <si>
    <t>0.9916696060699303</t>
  </si>
  <si>
    <t>489.17245864868164</t>
  </si>
  <si>
    <t>0.9266595654608273</t>
  </si>
  <si>
    <t>0.9619338902139513</t>
  </si>
  <si>
    <t>0.9753561110232712</t>
  </si>
  <si>
    <t>0.9919598343585131</t>
  </si>
  <si>
    <t>487.49685287475586</t>
  </si>
  <si>
    <t>0.9352916994725511</t>
  </si>
  <si>
    <t>0.9665640582527767</t>
  </si>
  <si>
    <t>0.9864272014461974</t>
  </si>
  <si>
    <t>0.9918465306659214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</si>
</sst>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"/>
    <numFmt numFmtId="166" formatCode="0.0000"/>
  </numFmts>
  <fonts count="5">
    <font>
      <sz val="11"/>
      <color rgb="FF000000"/>
      <name val="Calibri"/>
    </font>
    <font>
      <b/>
      <sz val="11"/>
      <color theme="1"/>
      <name val="Calibri"/>
      <family val="2"/>
      <scheme val="minor"/>
    </font>
    <font>
      <sz val="11"/>
      <color theme="4" tint="-0.249977111117893"/>
      <name val="Calibri"/>
    </font>
    <font>
      <sz val="11"/>
      <color rgb="FF000000"/>
      <name val="Calibri"/>
      <family val="2"/>
    </font>
    <font>
      <sz val="10"/>
      <color rgb="FF6A8759"/>
      <name val="JetBrains Mono"/>
      <family val="3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/>
      </top>
      <bottom/>
      <diagonal/>
    </border>
  </borders>
  <cellStyleXfs count="2">
    <xf numFmtId="0" fontId="0" fillId="0" borderId="0"/>
    <xf numFmtId="0" fontId="3" fillId="0" borderId="0"/>
  </cellStyleXfs>
  <cellXfs count="21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3" fillId="3" borderId="0" xfId="0" applyFont="1" applyFill="1"/>
    <xf numFmtId="0" fontId="4" fillId="0" borderId="0" xfId="0" applyFont="1" applyAlignment="1">
      <alignment vertical="center"/>
    </xf>
    <xf numFmtId="0" fontId="3" fillId="4" borderId="0" xfId="0" applyFont="1" applyFill="1"/>
    <xf numFmtId="0" fontId="0" fillId="5" borderId="0" xfId="0" applyFill="1"/>
    <xf numFmtId="0" fontId="0" fillId="0" borderId="1" xfId="0" applyBorder="1"/>
    <xf numFmtId="0" fontId="3" fillId="6" borderId="0" xfId="0" applyFont="1" applyFill="1"/>
    <xf numFmtId="0" fontId="0" fillId="6" borderId="0" xfId="0" applyFill="1"/>
    <xf numFmtId="0" fontId="3" fillId="0" borderId="0" xfId="0" applyFont="1" applyAlignment="1">
      <alignment horizontal="left" vertical="center" readingOrder="1"/>
    </xf>
    <xf numFmtId="0" fontId="0" fillId="4" borderId="0" xfId="0" applyFill="1"/>
    <xf numFmtId="0" fontId="3" fillId="0" borderId="0" xfId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1" applyNumberFormat="1"/>
    <xf numFmtId="165" fontId="0" fillId="0" borderId="0" xfId="0" applyNumberFormat="1"/>
    <xf numFmtId="0" fontId="3" fillId="0" borderId="0" xfId="0" applyFont="1"/>
    <xf numFmtId="166" fontId="0" fillId="0" borderId="0" xfId="0" applyNumberFormat="1"/>
    <xf numFmtId="0" fontId="2" fillId="7" borderId="0" xfId="0" applyFont="1" applyFill="1"/>
  </cellXfs>
  <cellStyles count="2">
    <cellStyle name="Normale" xfId="0" builtinId="0"/>
    <cellStyle name="Normale 2" xfId="1" xr:uid="{BA56AFBB-D9E0-481C-BA7D-4D77887D65D4}"/>
  </cellStyles>
  <dxfs count="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00"/>
    </dxf>
    <dxf>
      <numFmt numFmtId="166" formatCode="0.0000"/>
    </dxf>
    <dxf>
      <numFmt numFmtId="165" formatCode="0.000"/>
    </dxf>
    <dxf>
      <numFmt numFmtId="166" formatCode="0.0000"/>
    </dxf>
    <dxf>
      <numFmt numFmtId="165" formatCode="0.000"/>
    </dxf>
    <dxf>
      <numFmt numFmtId="166" formatCode="0.0000"/>
    </dxf>
    <dxf>
      <numFmt numFmtId="165" formatCode="0.000"/>
    </dxf>
    <dxf>
      <numFmt numFmtId="166" formatCode="0.0000"/>
    </dxf>
    <dxf>
      <numFmt numFmtId="165" formatCode="0.000"/>
    </dxf>
    <dxf>
      <numFmt numFmtId="166" formatCode="0.0000"/>
    </dxf>
    <dxf>
      <numFmt numFmtId="165" formatCode="0.000"/>
    </dxf>
    <dxf>
      <numFmt numFmtId="166" formatCode="0.0000"/>
    </dxf>
    <dxf>
      <numFmt numFmtId="166" formatCode="0.0000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Worksheet!$H$91:$H$110</c:f>
              <c:numCache>
                <c:formatCode>General</c:formatCode>
                <c:ptCount val="20"/>
                <c:pt idx="0">
                  <c:v>0.05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0.35</c:v>
                </c:pt>
                <c:pt idx="7">
                  <c:v>0.4</c:v>
                </c:pt>
                <c:pt idx="8">
                  <c:v>0.45</c:v>
                </c:pt>
                <c:pt idx="9">
                  <c:v>0.5</c:v>
                </c:pt>
                <c:pt idx="10">
                  <c:v>0.55000000000000004</c:v>
                </c:pt>
                <c:pt idx="11">
                  <c:v>0.6</c:v>
                </c:pt>
                <c:pt idx="12">
                  <c:v>0.65</c:v>
                </c:pt>
                <c:pt idx="13">
                  <c:v>0.7</c:v>
                </c:pt>
                <c:pt idx="14">
                  <c:v>0.75</c:v>
                </c:pt>
                <c:pt idx="15">
                  <c:v>0.8</c:v>
                </c:pt>
                <c:pt idx="16">
                  <c:v>0.85</c:v>
                </c:pt>
                <c:pt idx="17">
                  <c:v>0.9</c:v>
                </c:pt>
                <c:pt idx="18">
                  <c:v>0.95</c:v>
                </c:pt>
                <c:pt idx="19">
                  <c:v>1</c:v>
                </c:pt>
              </c:numCache>
            </c:numRef>
          </c:cat>
          <c:val>
            <c:numRef>
              <c:f>Worksheet!$J$91:$J$110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3.3333333333333335E-3</c:v>
                </c:pt>
                <c:pt idx="18">
                  <c:v>4.6666666666666669E-2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27-4BDF-B799-5877879EE829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Worksheet!$L$91:$L$110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2E-3</c:v>
                </c:pt>
                <c:pt idx="18">
                  <c:v>4.8000000000000001E-2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27-4BDF-B799-5877879EE8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8111392"/>
        <c:axId val="1468111872"/>
      </c:lineChart>
      <c:catAx>
        <c:axId val="146811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68111872"/>
        <c:crosses val="autoZero"/>
        <c:auto val="1"/>
        <c:lblAlgn val="ctr"/>
        <c:lblOffset val="100"/>
        <c:noMultiLvlLbl val="0"/>
      </c:catAx>
      <c:valAx>
        <c:axId val="146811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6811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255270</xdr:colOff>
      <xdr:row>4</xdr:row>
      <xdr:rowOff>49530</xdr:rowOff>
    </xdr:from>
    <xdr:to>
      <xdr:col>21</xdr:col>
      <xdr:colOff>571500</xdr:colOff>
      <xdr:row>5</xdr:row>
      <xdr:rowOff>173003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8CB04BB-9C07-4C93-8FF3-046C33A90F52}"/>
            </a:ext>
          </a:extLst>
        </xdr:cNvPr>
        <xdr:cNvSpPr>
          <a:spLocks noChangeArrowheads="1"/>
        </xdr:cNvSpPr>
      </xdr:nvSpPr>
      <xdr:spPr bwMode="auto">
        <a:xfrm>
          <a:off x="4520565" y="596265"/>
          <a:ext cx="1537335" cy="296828"/>
        </a:xfrm>
        <a:prstGeom prst="rect">
          <a:avLst/>
        </a:prstGeom>
        <a:noFill/>
        <a:ln>
          <a:noFill/>
        </a:ln>
        <a:effectLst/>
      </xdr:spPr>
      <xdr:txBody>
        <a:bodyPr vert="horz" wrap="square" lIns="91440" tIns="45720" rIns="91440" bIns="45720" numCol="1" anchor="ctr" anchorCtr="0" compatLnSpc="1">
          <a:prstTxWarp prst="textNoShape">
            <a:avLst/>
          </a:prstTxWarp>
          <a:noAutofit/>
        </a:bodyPr>
        <a:lstStyle>
          <a:defPPr>
            <a:defRPr lang="it-IT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r>
            <a:rPr lang="it-IT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autoSamVitH4BeJo</a:t>
          </a:r>
        </a:p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endParaRPr lang="it-IT" sz="700" kern="12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endParaRPr lang="it-IT" sz="400" kern="12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</a:pPr>
          <a:endParaRPr kumimoji="0" lang="it-IT" altLang="it-IT" sz="400" b="0" i="0" u="none" strike="noStrike" cap="none" normalizeH="0" baseline="0">
            <a:ln>
              <a:noFill/>
            </a:ln>
            <a:solidFill>
              <a:schemeClr val="tx1"/>
            </a:solidFill>
            <a:effectLst/>
            <a:latin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381000</xdr:colOff>
      <xdr:row>94</xdr:row>
      <xdr:rowOff>41910</xdr:rowOff>
    </xdr:from>
    <xdr:to>
      <xdr:col>20</xdr:col>
      <xdr:colOff>472440</xdr:colOff>
      <xdr:row>109</xdr:row>
      <xdr:rowOff>41910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535B01E3-4934-22E1-D0FC-7FD985C0F6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7D2F7D10-AF6A-4165-B17F-DB7C294C7DFB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65677FAA-7133-443F-B799-CA18766E262B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76EA5162-CAFA-4B72-B47D-B1799F9B7CE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4" xr16:uid="{BD404498-4468-4912-93B1-2F5C78216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A25F869-5C6C-4EEE-97F9-6A68FAB543C3}" name="TimeDfBBoxAutoSam" displayName="TimeDfBBoxAutoSam" ref="A1:F78" tableType="queryTable" totalsRowCount="1" dataDxfId="55">
  <autoFilter ref="A1:F77" xr:uid="{0A25F869-5C6C-4EEE-97F9-6A68FAB543C3}"/>
  <tableColumns count="6">
    <tableColumn id="1" xr3:uid="{07F1097B-7916-45B1-A4B0-42D5C5C99D40}" uniqueName="1" name="Column1" queryTableFieldId="1" dataDxfId="54" totalsRowDxfId="53"/>
    <tableColumn id="2" xr3:uid="{81431F4F-9448-4D48-A1DB-F2D5EB43ABAC}" uniqueName="2" name="Column2" queryTableFieldId="2" dataDxfId="52" totalsRowDxfId="51"/>
    <tableColumn id="3" xr3:uid="{8EEA0B98-F6EE-4141-BCF2-56931168913C}" uniqueName="3" name="Column3" totalsRowFunction="custom" queryTableFieldId="3" dataDxfId="50" totalsRowDxfId="49">
      <totalsRowFormula>AVERAGE(C3:C77)</totalsRowFormula>
    </tableColumn>
    <tableColumn id="4" xr3:uid="{7BD78ED9-0573-48F1-B60C-F51D43FB18C9}" uniqueName="4" name="Column4" queryTableFieldId="4" dataDxfId="48" totalsRowDxfId="47"/>
    <tableColumn id="5" xr3:uid="{97707973-93BD-410F-B27A-ECC855896C7B}" uniqueName="5" name="Column5" queryTableFieldId="5" dataDxfId="46" totalsRowDxfId="45"/>
    <tableColumn id="6" xr3:uid="{98AD88D3-750A-4B89-A065-FF2FFCF41FCF}" uniqueName="6" name="Column6" queryTableFieldId="6" dataDxfId="44" totalsRow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06D544-A910-487F-BF59-F522FBCBABBF}" name="TimeDfBBoxAutoSam__2" displayName="TimeDfBBoxAutoSam__2" ref="A1:F77" tableType="queryTable" totalsRowShown="0">
  <autoFilter ref="A1:F77" xr:uid="{FC06D544-A910-487F-BF59-F522FBCBABBF}"/>
  <tableColumns count="6">
    <tableColumn id="1" xr3:uid="{6A0EC949-3093-4B89-8A47-8B8F227F388C}" uniqueName="1" name="Column1" queryTableFieldId="1" dataDxfId="42"/>
    <tableColumn id="2" xr3:uid="{DDA9C7E4-CE75-4848-A689-8F7961A0DBE3}" uniqueName="2" name="Column2" queryTableFieldId="2" dataDxfId="41"/>
    <tableColumn id="3" xr3:uid="{EB7562BD-D07E-4357-BF8A-5B26975C4F4B}" uniqueName="3" name="Column3" queryTableFieldId="3" dataDxfId="40"/>
    <tableColumn id="4" xr3:uid="{356E520D-4617-4319-A822-6E66C54B194F}" uniqueName="4" name="Column4" queryTableFieldId="4" dataDxfId="39"/>
    <tableColumn id="5" xr3:uid="{E9237FF2-FB73-428F-845D-2A251A20412B}" uniqueName="5" name="Column5" queryTableFieldId="5" dataDxfId="38"/>
    <tableColumn id="6" xr3:uid="{5A1508AF-7B28-4E4C-AECC-1D263F07B1C2}" uniqueName="6" name="Column6" queryTableFieldId="6" dataDxfId="3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E272738-420E-4EA9-83C7-1AD6D0DF8F6C}" name="TimeDfBBoxAutoSam__3" displayName="TimeDfBBoxAutoSam__3" ref="A1:F77" tableType="queryTable" totalsRowShown="0">
  <autoFilter ref="A1:F77" xr:uid="{6E272738-420E-4EA9-83C7-1AD6D0DF8F6C}"/>
  <tableColumns count="6">
    <tableColumn id="1" xr3:uid="{98E862A4-6165-4A09-8126-DEA5ECC2DB93}" uniqueName="1" name="Column1" queryTableFieldId="1" dataDxfId="36"/>
    <tableColumn id="2" xr3:uid="{DD831F36-AD64-4EBE-8641-A15F0F4FB2B1}" uniqueName="2" name="Column2" queryTableFieldId="2" dataDxfId="35"/>
    <tableColumn id="3" xr3:uid="{AFA8F1B0-30CB-490A-B8AB-E425B11F90BE}" uniqueName="3" name="Column3" queryTableFieldId="3" dataDxfId="34"/>
    <tableColumn id="4" xr3:uid="{087C7972-5021-4F52-9A41-46C7513C4DB1}" uniqueName="4" name="Column4" queryTableFieldId="4" dataDxfId="33"/>
    <tableColumn id="5" xr3:uid="{269802D2-5471-431A-9E4B-DE7FFA801E0A}" uniqueName="5" name="Column5" queryTableFieldId="5" dataDxfId="32"/>
    <tableColumn id="6" xr3:uid="{997D018B-D9B4-4B38-AF0A-FC2C14F1E719}" uniqueName="6" name="Column6" queryTableFieldId="6" dataDxfId="3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F1672FE-C898-4AA4-9C98-B77E24C498AC}" name="TimeDfBBoxStudent" displayName="TimeDfBBoxStudent" ref="A1:F77" tableType="queryTable" totalsRowShown="0">
  <autoFilter ref="A1:F77" xr:uid="{AF1672FE-C898-4AA4-9C98-B77E24C498AC}"/>
  <tableColumns count="6">
    <tableColumn id="1" xr3:uid="{6E62CFA7-A358-42C1-9738-5AD7671CB43F}" uniqueName="1" name="Column1" queryTableFieldId="1" dataDxfId="30"/>
    <tableColumn id="2" xr3:uid="{F18A1501-7B61-4ABF-B7E5-F3F6C3C98B7C}" uniqueName="2" name="Column2" queryTableFieldId="2" dataDxfId="29"/>
    <tableColumn id="3" xr3:uid="{C2848F7D-491B-4ECD-8D47-91CDA1FA785F}" uniqueName="3" name="Column3" queryTableFieldId="3" dataDxfId="28"/>
    <tableColumn id="4" xr3:uid="{A3266F0F-21D5-44D7-BF99-1B4E8D6B4DBA}" uniqueName="4" name="Column4" queryTableFieldId="4" dataDxfId="27"/>
    <tableColumn id="5" xr3:uid="{856889D9-FDAD-410B-83D4-04C66F01543C}" uniqueName="5" name="Column5" queryTableFieldId="5" dataDxfId="26"/>
    <tableColumn id="6" xr3:uid="{92D8282F-00ED-40DC-88AB-F61072FBFF54}" uniqueName="6" name="Column6" queryTableFieldId="6" dataDxfId="2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D77B42-10AA-457C-893A-AACA379AB38D}" name="Tabella1" displayName="Tabella1" ref="A11:F87" totalsRowCount="1">
  <autoFilter ref="A11:F86" xr:uid="{1AD77B42-10AA-457C-893A-AACA379AB38D}"/>
  <tableColumns count="6">
    <tableColumn id="1" xr3:uid="{3A84D958-CF32-4DA7-8E29-5280791F26B4}" name="time" totalsRowFunction="custom">
      <totalsRowFormula>AVERAGE(Tabella1[time])</totalsRowFormula>
    </tableColumn>
    <tableColumn id="2" xr3:uid="{B854816D-716D-4093-B0A3-4251B9342861}" name="index"/>
    <tableColumn id="3" xr3:uid="{737CC8B6-C242-465A-BC6D-36F8F3FEAFD1}" name="iou" totalsRowFunction="average"/>
    <tableColumn id="4" xr3:uid="{05914291-4B56-4690-86BD-D0332FF39CE6}" name="dice" totalsRowFunction="average" dataDxfId="24"/>
    <tableColumn id="5" xr3:uid="{8D52FA2E-763E-4D56-84FC-8ACB35CE7B6E}" name="sensitivity" totalsRowFunction="average" dataDxfId="23"/>
    <tableColumn id="6" xr3:uid="{948D6094-B908-43EB-8992-D0D3EA812133}" name="specificity" totalsRowFunction="average" dataDxfId="22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5CF884-5630-47B7-876A-942F5D731DBA}" name="Tabella13" displayName="Tabella13" ref="O8:Q85" totalsRowShown="0">
  <autoFilter ref="O8:Q85" xr:uid="{805CF884-5630-47B7-876A-942F5D731DBA}"/>
  <tableColumns count="3">
    <tableColumn id="1" xr3:uid="{AA20CAE3-F5CC-4AAE-A5CA-0F92F99CA86F}" name="time"/>
    <tableColumn id="2" xr3:uid="{C501CC73-3195-4AF5-ADD6-59573A1A09C3}" name="index"/>
    <tableColumn id="3" xr3:uid="{14D92E62-33E8-420B-B1B9-6D4FFB15F167}" name="iou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0427208-6431-4EB8-99F1-6C247F3CF8F1}" name="Tabella2" displayName="Tabella2" ref="Z9:AE85" totalsRowCount="1">
  <autoFilter ref="Z9:AE84" xr:uid="{60427208-6431-4EB8-99F1-6C247F3CF8F1}"/>
  <tableColumns count="6">
    <tableColumn id="1" xr3:uid="{A9821DD4-C4BD-454F-BB0E-987F7D84DDD5}" name="time" totalsRowFunction="custom" totalsRowDxfId="21">
      <totalsRowFormula>AVERAGE(Z10:Z84)</totalsRowFormula>
    </tableColumn>
    <tableColumn id="2" xr3:uid="{6577E38C-7720-4227-B9D7-EE09FE257FBA}" name="index" totalsRowLabel="MEDIA" totalsRowDxfId="20"/>
    <tableColumn id="3" xr3:uid="{F3355B50-BCBD-4A0D-8A73-AF7D8F8C5AC6}" name="iou" totalsRowFunction="custom" dataDxfId="19" totalsRowDxfId="18">
      <totalsRowFormula>AVERAGE(AB10:AB84)</totalsRowFormula>
    </tableColumn>
    <tableColumn id="4" xr3:uid="{8BF0ED2E-6A4E-4CC1-9E10-D6F4CCBEC627}" name="dice" totalsRowFunction="average" dataDxfId="17" totalsRowDxfId="16"/>
    <tableColumn id="5" xr3:uid="{2278C017-572D-477F-8F56-5D6069951371}" name="sensitivity" totalsRowFunction="average" dataDxfId="15" totalsRowDxfId="14"/>
    <tableColumn id="6" xr3:uid="{61212FD0-66C7-485A-843D-C582AC2BD313}" name="specificity" totalsRowFunction="average" dataDxfId="13" totalsRowDxfId="12"/>
  </tableColumns>
  <tableStyleInfo name="TableStyleLight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EA7D2E-20A3-4D31-BD9C-3CD8F9D8587A}" name="Tabella3" displayName="Tabella3" ref="T8:Y85" totalsRowShown="0">
  <autoFilter ref="T8:Y85" xr:uid="{36EA7D2E-20A3-4D31-BD9C-3CD8F9D8587A}"/>
  <tableColumns count="6">
    <tableColumn id="1" xr3:uid="{368EE297-D06C-4E3D-9538-CD2B102A5CDE}" name="time"/>
    <tableColumn id="2" xr3:uid="{E923343D-4818-4ED0-82A6-A2683DB5494D}" name="index"/>
    <tableColumn id="3" xr3:uid="{FC28F42C-9818-4C14-B50E-25FFBFF245B1}" name="iou"/>
    <tableColumn id="4" xr3:uid="{57434DE6-CD80-401A-AAD3-F94FB036C3C6}" name="dice" dataDxfId="11"/>
    <tableColumn id="5" xr3:uid="{B3E6C896-19C5-4B9F-971C-4B099C78C609}" name="sensitivity" dataDxfId="10"/>
    <tableColumn id="6" xr3:uid="{6FD38D1C-DEBC-45B7-A9F1-7D8AB7D7ADB2}" name="specificity" dataDxfId="9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A4033EE-8629-49AD-A3DC-7DD8DA0658E3}" name="Tabella5" displayName="Tabella5" ref="H8:M84" totalsRowCount="1" headerRowCellStyle="Normale 2" dataCellStyle="Normale 2">
  <autoFilter ref="H8:M83" xr:uid="{AA4033EE-8629-49AD-A3DC-7DD8DA0658E3}"/>
  <tableColumns count="6">
    <tableColumn id="1" xr3:uid="{302FF4D0-8DAD-41C1-A933-E0BF016CF041}" name="time" totalsRowFunction="custom" totalsRowDxfId="5" dataCellStyle="Normale 2">
      <totalsRowFormula>AVERAGE(H10:H83)</totalsRowFormula>
    </tableColumn>
    <tableColumn id="2" xr3:uid="{969BAF39-570D-4693-BB02-9EA27B93A268}" name="index" totalsRowDxfId="4" dataCellStyle="Normale 2"/>
    <tableColumn id="3" xr3:uid="{BB083ACE-520C-4EDA-AD7F-118ACA3DB2E5}" name="iou" totalsRowFunction="average" totalsRowDxfId="3" dataCellStyle="Normale 2"/>
    <tableColumn id="4" xr3:uid="{7D020C1C-0C87-4D57-B4AA-AD81F5427F6F}" name="dice" totalsRowFunction="average" dataDxfId="8" totalsRowDxfId="2" dataCellStyle="Normale 2"/>
    <tableColumn id="5" xr3:uid="{3A0A7826-9078-4934-9A6D-997ACF82429C}" name="sensitivity" totalsRowFunction="average" dataDxfId="7" totalsRowDxfId="1" dataCellStyle="Normale 2"/>
    <tableColumn id="6" xr3:uid="{B4148842-0D3A-4E58-A103-B691BE5FA266}" name="specificity" totalsRowFunction="average" dataDxfId="6" totalsRowDxfId="0" dataCellStyle="Normale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26598-E717-4DA6-A821-FAF071CD2010}">
  <dimension ref="A1:F78"/>
  <sheetViews>
    <sheetView topLeftCell="A58" workbookViewId="0">
      <selection activeCell="D75" sqref="D75"/>
    </sheetView>
  </sheetViews>
  <sheetFormatPr defaultRowHeight="14.4"/>
  <cols>
    <col min="1" max="1" width="18.77734375" bestFit="1" customWidth="1"/>
    <col min="2" max="2" width="10.77734375" bestFit="1" customWidth="1"/>
    <col min="3" max="3" width="28.77734375" customWidth="1"/>
    <col min="4" max="6" width="18.77734375" bestFit="1" customWidth="1"/>
  </cols>
  <sheetData>
    <row r="1" spans="1:6">
      <c r="A1" t="s">
        <v>63</v>
      </c>
      <c r="B1" t="s">
        <v>64</v>
      </c>
      <c r="C1" t="s">
        <v>65</v>
      </c>
      <c r="D1" t="s">
        <v>66</v>
      </c>
      <c r="E1" t="s">
        <v>67</v>
      </c>
      <c r="F1" t="s">
        <v>68</v>
      </c>
    </row>
    <row r="2" spans="1:6">
      <c r="A2" s="19" t="s">
        <v>0</v>
      </c>
      <c r="B2" s="19" t="s">
        <v>1</v>
      </c>
      <c r="C2" s="19" t="s">
        <v>2</v>
      </c>
      <c r="D2" s="19" t="s">
        <v>69</v>
      </c>
      <c r="E2" s="19" t="s">
        <v>70</v>
      </c>
      <c r="F2" s="19" t="s">
        <v>71</v>
      </c>
    </row>
    <row r="3" spans="1:6">
      <c r="A3" s="19" t="s">
        <v>72</v>
      </c>
      <c r="B3" s="19" t="s">
        <v>73</v>
      </c>
      <c r="C3" s="19" t="s">
        <v>74</v>
      </c>
      <c r="D3" s="19" t="s">
        <v>75</v>
      </c>
      <c r="E3" s="19" t="s">
        <v>76</v>
      </c>
      <c r="F3" s="19" t="s">
        <v>77</v>
      </c>
    </row>
    <row r="4" spans="1:6">
      <c r="A4" s="19" t="s">
        <v>78</v>
      </c>
      <c r="B4" s="19" t="s">
        <v>79</v>
      </c>
      <c r="C4" s="19" t="s">
        <v>80</v>
      </c>
      <c r="D4" s="19" t="s">
        <v>81</v>
      </c>
      <c r="E4" s="19" t="s">
        <v>82</v>
      </c>
      <c r="F4" s="19" t="s">
        <v>83</v>
      </c>
    </row>
    <row r="5" spans="1:6">
      <c r="A5" s="19" t="s">
        <v>84</v>
      </c>
      <c r="B5" s="19" t="s">
        <v>85</v>
      </c>
      <c r="C5" s="19" t="s">
        <v>86</v>
      </c>
      <c r="D5" s="19" t="s">
        <v>87</v>
      </c>
      <c r="E5" s="19" t="s">
        <v>88</v>
      </c>
      <c r="F5" s="19" t="s">
        <v>89</v>
      </c>
    </row>
    <row r="6" spans="1:6">
      <c r="A6" s="19" t="s">
        <v>90</v>
      </c>
      <c r="B6" s="19" t="s">
        <v>91</v>
      </c>
      <c r="C6" s="19" t="s">
        <v>92</v>
      </c>
      <c r="D6" s="19" t="s">
        <v>93</v>
      </c>
      <c r="E6" s="19" t="s">
        <v>94</v>
      </c>
      <c r="F6" s="19" t="s">
        <v>95</v>
      </c>
    </row>
    <row r="7" spans="1:6">
      <c r="A7" s="19" t="s">
        <v>96</v>
      </c>
      <c r="B7" s="19" t="s">
        <v>97</v>
      </c>
      <c r="C7" s="19" t="s">
        <v>98</v>
      </c>
      <c r="D7" s="19" t="s">
        <v>99</v>
      </c>
      <c r="E7" s="19" t="s">
        <v>100</v>
      </c>
      <c r="F7" s="19" t="s">
        <v>101</v>
      </c>
    </row>
    <row r="8" spans="1:6">
      <c r="A8" s="19" t="s">
        <v>102</v>
      </c>
      <c r="B8" s="19" t="s">
        <v>103</v>
      </c>
      <c r="C8" s="19" t="s">
        <v>104</v>
      </c>
      <c r="D8" s="19" t="s">
        <v>105</v>
      </c>
      <c r="E8" s="19" t="s">
        <v>106</v>
      </c>
      <c r="F8" s="19" t="s">
        <v>107</v>
      </c>
    </row>
    <row r="9" spans="1:6">
      <c r="A9" s="19" t="s">
        <v>108</v>
      </c>
      <c r="B9" s="19" t="s">
        <v>109</v>
      </c>
      <c r="C9" s="19" t="s">
        <v>110</v>
      </c>
      <c r="D9" s="19" t="s">
        <v>111</v>
      </c>
      <c r="E9" s="19" t="s">
        <v>112</v>
      </c>
      <c r="F9" s="19" t="s">
        <v>113</v>
      </c>
    </row>
    <row r="10" spans="1:6">
      <c r="A10" s="19" t="s">
        <v>114</v>
      </c>
      <c r="B10" s="19" t="s">
        <v>115</v>
      </c>
      <c r="C10" s="19" t="s">
        <v>116</v>
      </c>
      <c r="D10" s="19" t="s">
        <v>117</v>
      </c>
      <c r="E10" s="19" t="s">
        <v>118</v>
      </c>
      <c r="F10" s="19" t="s">
        <v>119</v>
      </c>
    </row>
    <row r="11" spans="1:6">
      <c r="A11" s="19" t="s">
        <v>120</v>
      </c>
      <c r="B11" s="19" t="s">
        <v>121</v>
      </c>
      <c r="C11" s="19" t="s">
        <v>122</v>
      </c>
      <c r="D11" s="19" t="s">
        <v>123</v>
      </c>
      <c r="E11" s="19" t="s">
        <v>124</v>
      </c>
      <c r="F11" s="19" t="s">
        <v>125</v>
      </c>
    </row>
    <row r="12" spans="1:6">
      <c r="A12" s="19" t="s">
        <v>126</v>
      </c>
      <c r="B12" s="19" t="s">
        <v>127</v>
      </c>
      <c r="C12" s="19" t="s">
        <v>128</v>
      </c>
      <c r="D12" s="19" t="s">
        <v>129</v>
      </c>
      <c r="E12" s="19" t="s">
        <v>130</v>
      </c>
      <c r="F12" s="19" t="s">
        <v>131</v>
      </c>
    </row>
    <row r="13" spans="1:6">
      <c r="A13" s="19" t="s">
        <v>132</v>
      </c>
      <c r="B13" s="19" t="s">
        <v>133</v>
      </c>
      <c r="C13" s="19" t="s">
        <v>134</v>
      </c>
      <c r="D13" s="19" t="s">
        <v>135</v>
      </c>
      <c r="E13" s="19" t="s">
        <v>136</v>
      </c>
      <c r="F13" s="19" t="s">
        <v>137</v>
      </c>
    </row>
    <row r="14" spans="1:6">
      <c r="A14" s="19" t="s">
        <v>138</v>
      </c>
      <c r="B14" s="19" t="s">
        <v>139</v>
      </c>
      <c r="C14" s="19" t="s">
        <v>140</v>
      </c>
      <c r="D14" s="19" t="s">
        <v>141</v>
      </c>
      <c r="E14" s="19" t="s">
        <v>142</v>
      </c>
      <c r="F14" s="19" t="s">
        <v>143</v>
      </c>
    </row>
    <row r="15" spans="1:6">
      <c r="A15" s="19" t="s">
        <v>144</v>
      </c>
      <c r="B15" s="19" t="s">
        <v>145</v>
      </c>
      <c r="C15" s="19" t="s">
        <v>146</v>
      </c>
      <c r="D15" s="19" t="s">
        <v>147</v>
      </c>
      <c r="E15" s="19" t="s">
        <v>148</v>
      </c>
      <c r="F15" s="19" t="s">
        <v>149</v>
      </c>
    </row>
    <row r="16" spans="1:6">
      <c r="A16" s="19" t="s">
        <v>150</v>
      </c>
      <c r="B16" s="19" t="s">
        <v>151</v>
      </c>
      <c r="C16" s="19" t="s">
        <v>152</v>
      </c>
      <c r="D16" s="19" t="s">
        <v>153</v>
      </c>
      <c r="E16" s="19" t="s">
        <v>154</v>
      </c>
      <c r="F16" s="19" t="s">
        <v>155</v>
      </c>
    </row>
    <row r="17" spans="1:6">
      <c r="A17" s="19" t="s">
        <v>156</v>
      </c>
      <c r="B17" s="19" t="s">
        <v>157</v>
      </c>
      <c r="C17" s="19" t="s">
        <v>158</v>
      </c>
      <c r="D17" s="19" t="s">
        <v>159</v>
      </c>
      <c r="E17" s="19" t="s">
        <v>160</v>
      </c>
      <c r="F17" s="19" t="s">
        <v>161</v>
      </c>
    </row>
    <row r="18" spans="1:6">
      <c r="A18" s="19" t="s">
        <v>162</v>
      </c>
      <c r="B18" s="19" t="s">
        <v>163</v>
      </c>
      <c r="C18" s="19" t="s">
        <v>164</v>
      </c>
      <c r="D18" s="19" t="s">
        <v>165</v>
      </c>
      <c r="E18" s="19" t="s">
        <v>166</v>
      </c>
      <c r="F18" s="19" t="s">
        <v>167</v>
      </c>
    </row>
    <row r="19" spans="1:6">
      <c r="A19" s="19" t="s">
        <v>168</v>
      </c>
      <c r="B19" s="19" t="s">
        <v>169</v>
      </c>
      <c r="C19" s="19" t="s">
        <v>170</v>
      </c>
      <c r="D19" s="19" t="s">
        <v>171</v>
      </c>
      <c r="E19" s="19" t="s">
        <v>172</v>
      </c>
      <c r="F19" s="19" t="s">
        <v>173</v>
      </c>
    </row>
    <row r="20" spans="1:6">
      <c r="A20" s="19" t="s">
        <v>174</v>
      </c>
      <c r="B20" s="19" t="s">
        <v>175</v>
      </c>
      <c r="C20" s="19" t="s">
        <v>176</v>
      </c>
      <c r="D20" s="19" t="s">
        <v>177</v>
      </c>
      <c r="E20" s="19" t="s">
        <v>178</v>
      </c>
      <c r="F20" s="19" t="s">
        <v>179</v>
      </c>
    </row>
    <row r="21" spans="1:6">
      <c r="A21" s="19" t="s">
        <v>180</v>
      </c>
      <c r="B21" s="19" t="s">
        <v>181</v>
      </c>
      <c r="C21" s="19" t="s">
        <v>182</v>
      </c>
      <c r="D21" s="19" t="s">
        <v>183</v>
      </c>
      <c r="E21" s="19" t="s">
        <v>184</v>
      </c>
      <c r="F21" s="19" t="s">
        <v>185</v>
      </c>
    </row>
    <row r="22" spans="1:6">
      <c r="A22" s="19" t="s">
        <v>186</v>
      </c>
      <c r="B22" s="19" t="s">
        <v>187</v>
      </c>
      <c r="C22" s="19" t="s">
        <v>188</v>
      </c>
      <c r="D22" s="19" t="s">
        <v>189</v>
      </c>
      <c r="E22" s="19" t="s">
        <v>190</v>
      </c>
      <c r="F22" s="19" t="s">
        <v>191</v>
      </c>
    </row>
    <row r="23" spans="1:6">
      <c r="A23" s="19" t="s">
        <v>192</v>
      </c>
      <c r="B23" s="19" t="s">
        <v>193</v>
      </c>
      <c r="C23" s="19" t="s">
        <v>194</v>
      </c>
      <c r="D23" s="19" t="s">
        <v>195</v>
      </c>
      <c r="E23" s="19" t="s">
        <v>196</v>
      </c>
      <c r="F23" s="19" t="s">
        <v>197</v>
      </c>
    </row>
    <row r="24" spans="1:6">
      <c r="A24" s="19" t="s">
        <v>198</v>
      </c>
      <c r="B24" s="19" t="s">
        <v>199</v>
      </c>
      <c r="C24" s="19" t="s">
        <v>200</v>
      </c>
      <c r="D24" s="19" t="s">
        <v>201</v>
      </c>
      <c r="E24" s="19" t="s">
        <v>202</v>
      </c>
      <c r="F24" s="19" t="s">
        <v>203</v>
      </c>
    </row>
    <row r="25" spans="1:6">
      <c r="A25" s="19" t="s">
        <v>204</v>
      </c>
      <c r="B25" s="19" t="s">
        <v>205</v>
      </c>
      <c r="C25" s="19" t="s">
        <v>206</v>
      </c>
      <c r="D25" s="19" t="s">
        <v>207</v>
      </c>
      <c r="E25" s="19" t="s">
        <v>208</v>
      </c>
      <c r="F25" s="19" t="s">
        <v>209</v>
      </c>
    </row>
    <row r="26" spans="1:6">
      <c r="A26" s="19" t="s">
        <v>210</v>
      </c>
      <c r="B26" s="19" t="s">
        <v>211</v>
      </c>
      <c r="C26" s="19" t="s">
        <v>212</v>
      </c>
      <c r="D26" s="19" t="s">
        <v>213</v>
      </c>
      <c r="E26" s="19" t="s">
        <v>214</v>
      </c>
      <c r="F26" s="19" t="s">
        <v>215</v>
      </c>
    </row>
    <row r="27" spans="1:6">
      <c r="A27" s="19" t="s">
        <v>216</v>
      </c>
      <c r="B27" s="19" t="s">
        <v>217</v>
      </c>
      <c r="C27" s="19" t="s">
        <v>218</v>
      </c>
      <c r="D27" s="19" t="s">
        <v>219</v>
      </c>
      <c r="E27" s="19" t="s">
        <v>220</v>
      </c>
      <c r="F27" s="19" t="s">
        <v>221</v>
      </c>
    </row>
    <row r="28" spans="1:6">
      <c r="A28" s="19" t="s">
        <v>222</v>
      </c>
      <c r="B28" s="19" t="s">
        <v>223</v>
      </c>
      <c r="C28" s="19" t="s">
        <v>224</v>
      </c>
      <c r="D28" s="19" t="s">
        <v>225</v>
      </c>
      <c r="E28" s="19" t="s">
        <v>226</v>
      </c>
      <c r="F28" s="19" t="s">
        <v>227</v>
      </c>
    </row>
    <row r="29" spans="1:6">
      <c r="A29" s="19" t="s">
        <v>228</v>
      </c>
      <c r="B29" s="19" t="s">
        <v>229</v>
      </c>
      <c r="C29" s="19" t="s">
        <v>230</v>
      </c>
      <c r="D29" s="19" t="s">
        <v>231</v>
      </c>
      <c r="E29" s="19" t="s">
        <v>232</v>
      </c>
      <c r="F29" s="19" t="s">
        <v>233</v>
      </c>
    </row>
    <row r="30" spans="1:6">
      <c r="A30" s="19" t="s">
        <v>234</v>
      </c>
      <c r="B30" s="19" t="s">
        <v>235</v>
      </c>
      <c r="C30" s="19" t="s">
        <v>236</v>
      </c>
      <c r="D30" s="19" t="s">
        <v>237</v>
      </c>
      <c r="E30" s="19" t="s">
        <v>238</v>
      </c>
      <c r="F30" s="19" t="s">
        <v>239</v>
      </c>
    </row>
    <row r="31" spans="1:6">
      <c r="A31" s="19" t="s">
        <v>240</v>
      </c>
      <c r="B31" s="19" t="s">
        <v>241</v>
      </c>
      <c r="C31" s="19" t="s">
        <v>242</v>
      </c>
      <c r="D31" s="19" t="s">
        <v>243</v>
      </c>
      <c r="E31" s="19" t="s">
        <v>244</v>
      </c>
      <c r="F31" s="19" t="s">
        <v>245</v>
      </c>
    </row>
    <row r="32" spans="1:6">
      <c r="A32" s="19" t="s">
        <v>246</v>
      </c>
      <c r="B32" s="19" t="s">
        <v>247</v>
      </c>
      <c r="C32" s="19" t="s">
        <v>248</v>
      </c>
      <c r="D32" s="19" t="s">
        <v>249</v>
      </c>
      <c r="E32" s="19" t="s">
        <v>250</v>
      </c>
      <c r="F32" s="19" t="s">
        <v>251</v>
      </c>
    </row>
    <row r="33" spans="1:6">
      <c r="A33" s="19" t="s">
        <v>252</v>
      </c>
      <c r="B33" s="19" t="s">
        <v>253</v>
      </c>
      <c r="C33" s="19" t="s">
        <v>254</v>
      </c>
      <c r="D33" s="19" t="s">
        <v>255</v>
      </c>
      <c r="E33" s="19" t="s">
        <v>256</v>
      </c>
      <c r="F33" s="19" t="s">
        <v>257</v>
      </c>
    </row>
    <row r="34" spans="1:6">
      <c r="A34" s="19" t="s">
        <v>258</v>
      </c>
      <c r="B34" s="19" t="s">
        <v>259</v>
      </c>
      <c r="C34" s="19" t="s">
        <v>260</v>
      </c>
      <c r="D34" s="19" t="s">
        <v>261</v>
      </c>
      <c r="E34" s="19" t="s">
        <v>262</v>
      </c>
      <c r="F34" s="19" t="s">
        <v>263</v>
      </c>
    </row>
    <row r="35" spans="1:6">
      <c r="A35" s="19" t="s">
        <v>264</v>
      </c>
      <c r="B35" s="19" t="s">
        <v>265</v>
      </c>
      <c r="C35" s="19" t="s">
        <v>266</v>
      </c>
      <c r="D35" s="19" t="s">
        <v>267</v>
      </c>
      <c r="E35" s="19" t="s">
        <v>268</v>
      </c>
      <c r="F35" s="19" t="s">
        <v>269</v>
      </c>
    </row>
    <row r="36" spans="1:6">
      <c r="A36" s="19" t="s">
        <v>270</v>
      </c>
      <c r="B36" s="19" t="s">
        <v>271</v>
      </c>
      <c r="C36" s="19" t="s">
        <v>272</v>
      </c>
      <c r="D36" s="19" t="s">
        <v>273</v>
      </c>
      <c r="E36" s="19" t="s">
        <v>274</v>
      </c>
      <c r="F36" s="19" t="s">
        <v>275</v>
      </c>
    </row>
    <row r="37" spans="1:6">
      <c r="A37" s="19" t="s">
        <v>276</v>
      </c>
      <c r="B37" s="19" t="s">
        <v>277</v>
      </c>
      <c r="C37" s="19" t="s">
        <v>278</v>
      </c>
      <c r="D37" s="19" t="s">
        <v>279</v>
      </c>
      <c r="E37" s="19" t="s">
        <v>280</v>
      </c>
      <c r="F37" s="19" t="s">
        <v>281</v>
      </c>
    </row>
    <row r="38" spans="1:6">
      <c r="A38" s="19" t="s">
        <v>282</v>
      </c>
      <c r="B38" s="19" t="s">
        <v>283</v>
      </c>
      <c r="C38" s="19" t="s">
        <v>284</v>
      </c>
      <c r="D38" s="19" t="s">
        <v>285</v>
      </c>
      <c r="E38" s="19" t="s">
        <v>286</v>
      </c>
      <c r="F38" s="19" t="s">
        <v>287</v>
      </c>
    </row>
    <row r="39" spans="1:6">
      <c r="A39" s="19" t="s">
        <v>288</v>
      </c>
      <c r="B39" s="19" t="s">
        <v>289</v>
      </c>
      <c r="C39" s="19" t="s">
        <v>290</v>
      </c>
      <c r="D39" s="19" t="s">
        <v>291</v>
      </c>
      <c r="E39" s="19" t="s">
        <v>292</v>
      </c>
      <c r="F39" s="19" t="s">
        <v>293</v>
      </c>
    </row>
    <row r="40" spans="1:6">
      <c r="A40" s="19" t="s">
        <v>294</v>
      </c>
      <c r="B40" s="19" t="s">
        <v>295</v>
      </c>
      <c r="C40" s="19" t="s">
        <v>296</v>
      </c>
      <c r="D40" s="19" t="s">
        <v>297</v>
      </c>
      <c r="E40" s="19" t="s">
        <v>298</v>
      </c>
      <c r="F40" s="19" t="s">
        <v>299</v>
      </c>
    </row>
    <row r="41" spans="1:6">
      <c r="A41" s="19" t="s">
        <v>300</v>
      </c>
      <c r="B41" s="19" t="s">
        <v>301</v>
      </c>
      <c r="C41" s="19" t="s">
        <v>302</v>
      </c>
      <c r="D41" s="19" t="s">
        <v>303</v>
      </c>
      <c r="E41" s="19" t="s">
        <v>304</v>
      </c>
      <c r="F41" s="19" t="s">
        <v>305</v>
      </c>
    </row>
    <row r="42" spans="1:6">
      <c r="A42" s="19" t="s">
        <v>306</v>
      </c>
      <c r="B42" s="19" t="s">
        <v>307</v>
      </c>
      <c r="C42" s="19" t="s">
        <v>308</v>
      </c>
      <c r="D42" s="19" t="s">
        <v>309</v>
      </c>
      <c r="E42" s="19" t="s">
        <v>310</v>
      </c>
      <c r="F42" s="19" t="s">
        <v>311</v>
      </c>
    </row>
    <row r="43" spans="1:6">
      <c r="A43" s="19" t="s">
        <v>312</v>
      </c>
      <c r="B43" s="19" t="s">
        <v>313</v>
      </c>
      <c r="C43" s="19" t="s">
        <v>314</v>
      </c>
      <c r="D43" s="19" t="s">
        <v>315</v>
      </c>
      <c r="E43" s="19" t="s">
        <v>316</v>
      </c>
      <c r="F43" s="19" t="s">
        <v>317</v>
      </c>
    </row>
    <row r="44" spans="1:6">
      <c r="A44" s="19" t="s">
        <v>318</v>
      </c>
      <c r="B44" s="19" t="s">
        <v>319</v>
      </c>
      <c r="C44" s="19" t="s">
        <v>320</v>
      </c>
      <c r="D44" s="19" t="s">
        <v>321</v>
      </c>
      <c r="E44" s="19" t="s">
        <v>322</v>
      </c>
      <c r="F44" s="19" t="s">
        <v>323</v>
      </c>
    </row>
    <row r="45" spans="1:6">
      <c r="A45" s="19" t="s">
        <v>324</v>
      </c>
      <c r="B45" s="19" t="s">
        <v>325</v>
      </c>
      <c r="C45" s="19" t="s">
        <v>326</v>
      </c>
      <c r="D45" s="19" t="s">
        <v>327</v>
      </c>
      <c r="E45" s="19" t="s">
        <v>328</v>
      </c>
      <c r="F45" s="19" t="s">
        <v>329</v>
      </c>
    </row>
    <row r="46" spans="1:6">
      <c r="A46" s="19" t="s">
        <v>330</v>
      </c>
      <c r="B46" s="19" t="s">
        <v>331</v>
      </c>
      <c r="C46" s="19" t="s">
        <v>332</v>
      </c>
      <c r="D46" s="19" t="s">
        <v>333</v>
      </c>
      <c r="E46" s="19" t="s">
        <v>334</v>
      </c>
      <c r="F46" s="19" t="s">
        <v>335</v>
      </c>
    </row>
    <row r="47" spans="1:6">
      <c r="A47" s="19" t="s">
        <v>336</v>
      </c>
      <c r="B47" s="19" t="s">
        <v>337</v>
      </c>
      <c r="C47" s="19" t="s">
        <v>338</v>
      </c>
      <c r="D47" s="19" t="s">
        <v>339</v>
      </c>
      <c r="E47" s="19" t="s">
        <v>340</v>
      </c>
      <c r="F47" s="19" t="s">
        <v>341</v>
      </c>
    </row>
    <row r="48" spans="1:6">
      <c r="A48" s="19" t="s">
        <v>342</v>
      </c>
      <c r="B48" s="19" t="s">
        <v>343</v>
      </c>
      <c r="C48" s="19" t="s">
        <v>344</v>
      </c>
      <c r="D48" s="19" t="s">
        <v>345</v>
      </c>
      <c r="E48" s="19" t="s">
        <v>346</v>
      </c>
      <c r="F48" s="19" t="s">
        <v>347</v>
      </c>
    </row>
    <row r="49" spans="1:6">
      <c r="A49" s="19" t="s">
        <v>348</v>
      </c>
      <c r="B49" s="19" t="s">
        <v>349</v>
      </c>
      <c r="C49" s="19" t="s">
        <v>350</v>
      </c>
      <c r="D49" s="19" t="s">
        <v>351</v>
      </c>
      <c r="E49" s="19" t="s">
        <v>352</v>
      </c>
      <c r="F49" s="19" t="s">
        <v>353</v>
      </c>
    </row>
    <row r="50" spans="1:6">
      <c r="A50" s="19" t="s">
        <v>354</v>
      </c>
      <c r="B50" s="19" t="s">
        <v>355</v>
      </c>
      <c r="C50" s="19" t="s">
        <v>356</v>
      </c>
      <c r="D50" s="19" t="s">
        <v>357</v>
      </c>
      <c r="E50" s="19" t="s">
        <v>358</v>
      </c>
      <c r="F50" s="19" t="s">
        <v>359</v>
      </c>
    </row>
    <row r="51" spans="1:6">
      <c r="A51" s="19" t="s">
        <v>360</v>
      </c>
      <c r="B51" s="19" t="s">
        <v>361</v>
      </c>
      <c r="C51" s="19" t="s">
        <v>362</v>
      </c>
      <c r="D51" s="19" t="s">
        <v>363</v>
      </c>
      <c r="E51" s="19" t="s">
        <v>364</v>
      </c>
      <c r="F51" s="19" t="s">
        <v>365</v>
      </c>
    </row>
    <row r="52" spans="1:6">
      <c r="A52" s="19" t="s">
        <v>366</v>
      </c>
      <c r="B52" s="19" t="s">
        <v>367</v>
      </c>
      <c r="C52" s="19" t="s">
        <v>368</v>
      </c>
      <c r="D52" s="19" t="s">
        <v>369</v>
      </c>
      <c r="E52" s="19" t="s">
        <v>370</v>
      </c>
      <c r="F52" s="19" t="s">
        <v>371</v>
      </c>
    </row>
    <row r="53" spans="1:6">
      <c r="A53" s="19" t="s">
        <v>372</v>
      </c>
      <c r="B53" s="19" t="s">
        <v>373</v>
      </c>
      <c r="C53" s="19" t="s">
        <v>374</v>
      </c>
      <c r="D53" s="19" t="s">
        <v>375</v>
      </c>
      <c r="E53" s="19" t="s">
        <v>376</v>
      </c>
      <c r="F53" s="19" t="s">
        <v>377</v>
      </c>
    </row>
    <row r="54" spans="1:6">
      <c r="A54" s="19" t="s">
        <v>378</v>
      </c>
      <c r="B54" s="19" t="s">
        <v>379</v>
      </c>
      <c r="C54" s="19" t="s">
        <v>380</v>
      </c>
      <c r="D54" s="19" t="s">
        <v>381</v>
      </c>
      <c r="E54" s="19" t="s">
        <v>382</v>
      </c>
      <c r="F54" s="19" t="s">
        <v>383</v>
      </c>
    </row>
    <row r="55" spans="1:6">
      <c r="A55" s="19" t="s">
        <v>384</v>
      </c>
      <c r="B55" s="19" t="s">
        <v>385</v>
      </c>
      <c r="C55" s="19" t="s">
        <v>386</v>
      </c>
      <c r="D55" s="19" t="s">
        <v>387</v>
      </c>
      <c r="E55" s="19" t="s">
        <v>388</v>
      </c>
      <c r="F55" s="19" t="s">
        <v>389</v>
      </c>
    </row>
    <row r="56" spans="1:6">
      <c r="A56" s="19" t="s">
        <v>390</v>
      </c>
      <c r="B56" s="19" t="s">
        <v>391</v>
      </c>
      <c r="C56" s="19" t="s">
        <v>392</v>
      </c>
      <c r="D56" s="19" t="s">
        <v>393</v>
      </c>
      <c r="E56" s="19" t="s">
        <v>394</v>
      </c>
      <c r="F56" s="19" t="s">
        <v>395</v>
      </c>
    </row>
    <row r="57" spans="1:6">
      <c r="A57" s="19" t="s">
        <v>396</v>
      </c>
      <c r="B57" s="19" t="s">
        <v>397</v>
      </c>
      <c r="C57" s="19" t="s">
        <v>398</v>
      </c>
      <c r="D57" s="19" t="s">
        <v>399</v>
      </c>
      <c r="E57" s="19" t="s">
        <v>400</v>
      </c>
      <c r="F57" s="19" t="s">
        <v>401</v>
      </c>
    </row>
    <row r="58" spans="1:6">
      <c r="A58" s="19" t="s">
        <v>402</v>
      </c>
      <c r="B58" s="19" t="s">
        <v>403</v>
      </c>
      <c r="C58" s="19" t="s">
        <v>404</v>
      </c>
      <c r="D58" s="19" t="s">
        <v>405</v>
      </c>
      <c r="E58" s="19" t="s">
        <v>406</v>
      </c>
      <c r="F58" s="19" t="s">
        <v>407</v>
      </c>
    </row>
    <row r="59" spans="1:6">
      <c r="A59" s="19" t="s">
        <v>408</v>
      </c>
      <c r="B59" s="19" t="s">
        <v>409</v>
      </c>
      <c r="C59" s="19" t="s">
        <v>410</v>
      </c>
      <c r="D59" s="19" t="s">
        <v>411</v>
      </c>
      <c r="E59" s="19" t="s">
        <v>412</v>
      </c>
      <c r="F59" s="19" t="s">
        <v>413</v>
      </c>
    </row>
    <row r="60" spans="1:6">
      <c r="A60" s="19" t="s">
        <v>414</v>
      </c>
      <c r="B60" s="19" t="s">
        <v>415</v>
      </c>
      <c r="C60" s="19" t="s">
        <v>416</v>
      </c>
      <c r="D60" s="19" t="s">
        <v>417</v>
      </c>
      <c r="E60" s="19" t="s">
        <v>418</v>
      </c>
      <c r="F60" s="19" t="s">
        <v>419</v>
      </c>
    </row>
    <row r="61" spans="1:6">
      <c r="A61" s="19" t="s">
        <v>420</v>
      </c>
      <c r="B61" s="19" t="s">
        <v>421</v>
      </c>
      <c r="C61" s="19" t="s">
        <v>422</v>
      </c>
      <c r="D61" s="19" t="s">
        <v>423</v>
      </c>
      <c r="E61" s="19" t="s">
        <v>424</v>
      </c>
      <c r="F61" s="19" t="s">
        <v>425</v>
      </c>
    </row>
    <row r="62" spans="1:6">
      <c r="A62" s="19" t="s">
        <v>426</v>
      </c>
      <c r="B62" s="19" t="s">
        <v>427</v>
      </c>
      <c r="C62" s="19" t="s">
        <v>428</v>
      </c>
      <c r="D62" s="19" t="s">
        <v>429</v>
      </c>
      <c r="E62" s="19" t="s">
        <v>430</v>
      </c>
      <c r="F62" s="19" t="s">
        <v>431</v>
      </c>
    </row>
    <row r="63" spans="1:6">
      <c r="A63" s="19" t="s">
        <v>432</v>
      </c>
      <c r="B63" s="19" t="s">
        <v>433</v>
      </c>
      <c r="C63" s="19" t="s">
        <v>434</v>
      </c>
      <c r="D63" s="19" t="s">
        <v>435</v>
      </c>
      <c r="E63" s="19" t="s">
        <v>436</v>
      </c>
      <c r="F63" s="19" t="s">
        <v>437</v>
      </c>
    </row>
    <row r="64" spans="1:6">
      <c r="A64" s="19" t="s">
        <v>438</v>
      </c>
      <c r="B64" s="19" t="s">
        <v>439</v>
      </c>
      <c r="C64" s="19" t="s">
        <v>440</v>
      </c>
      <c r="D64" s="19" t="s">
        <v>441</v>
      </c>
      <c r="E64" s="19" t="s">
        <v>442</v>
      </c>
      <c r="F64" s="19" t="s">
        <v>443</v>
      </c>
    </row>
    <row r="65" spans="1:6">
      <c r="A65" s="19" t="s">
        <v>444</v>
      </c>
      <c r="B65" s="19" t="s">
        <v>445</v>
      </c>
      <c r="C65" s="19" t="s">
        <v>446</v>
      </c>
      <c r="D65" s="19" t="s">
        <v>447</v>
      </c>
      <c r="E65" s="19" t="s">
        <v>448</v>
      </c>
      <c r="F65" s="19" t="s">
        <v>449</v>
      </c>
    </row>
    <row r="66" spans="1:6">
      <c r="A66" s="19" t="s">
        <v>450</v>
      </c>
      <c r="B66" s="19" t="s">
        <v>451</v>
      </c>
      <c r="C66" s="19" t="s">
        <v>452</v>
      </c>
      <c r="D66" s="19" t="s">
        <v>453</v>
      </c>
      <c r="E66" s="19" t="s">
        <v>454</v>
      </c>
      <c r="F66" s="19" t="s">
        <v>455</v>
      </c>
    </row>
    <row r="67" spans="1:6">
      <c r="A67" s="19" t="s">
        <v>456</v>
      </c>
      <c r="B67" s="19" t="s">
        <v>457</v>
      </c>
      <c r="C67" s="19" t="s">
        <v>458</v>
      </c>
      <c r="D67" s="19" t="s">
        <v>459</v>
      </c>
      <c r="E67" s="19" t="s">
        <v>460</v>
      </c>
      <c r="F67" s="19" t="s">
        <v>461</v>
      </c>
    </row>
    <row r="68" spans="1:6">
      <c r="A68" s="19" t="s">
        <v>462</v>
      </c>
      <c r="B68" s="19" t="s">
        <v>463</v>
      </c>
      <c r="C68" s="19" t="s">
        <v>464</v>
      </c>
      <c r="D68" s="19" t="s">
        <v>465</v>
      </c>
      <c r="E68" s="19" t="s">
        <v>466</v>
      </c>
      <c r="F68" s="19" t="s">
        <v>467</v>
      </c>
    </row>
    <row r="69" spans="1:6">
      <c r="A69" s="19" t="s">
        <v>468</v>
      </c>
      <c r="B69" s="19" t="s">
        <v>469</v>
      </c>
      <c r="C69" s="19" t="s">
        <v>470</v>
      </c>
      <c r="D69" s="19" t="s">
        <v>471</v>
      </c>
      <c r="E69" s="19" t="s">
        <v>472</v>
      </c>
      <c r="F69" s="19" t="s">
        <v>473</v>
      </c>
    </row>
    <row r="70" spans="1:6">
      <c r="A70" s="19" t="s">
        <v>474</v>
      </c>
      <c r="B70" s="19" t="s">
        <v>475</v>
      </c>
      <c r="C70" s="19" t="s">
        <v>476</v>
      </c>
      <c r="D70" s="19" t="s">
        <v>477</v>
      </c>
      <c r="E70" s="19" t="s">
        <v>478</v>
      </c>
      <c r="F70" s="19" t="s">
        <v>479</v>
      </c>
    </row>
    <row r="71" spans="1:6">
      <c r="A71" s="19" t="s">
        <v>480</v>
      </c>
      <c r="B71" s="19" t="s">
        <v>481</v>
      </c>
      <c r="C71" s="19" t="s">
        <v>482</v>
      </c>
      <c r="D71" s="19" t="s">
        <v>483</v>
      </c>
      <c r="E71" s="19" t="s">
        <v>484</v>
      </c>
      <c r="F71" s="19" t="s">
        <v>485</v>
      </c>
    </row>
    <row r="72" spans="1:6">
      <c r="A72" s="19" t="s">
        <v>486</v>
      </c>
      <c r="B72" s="19" t="s">
        <v>487</v>
      </c>
      <c r="C72" s="19" t="s">
        <v>488</v>
      </c>
      <c r="D72" s="19" t="s">
        <v>489</v>
      </c>
      <c r="E72" s="19" t="s">
        <v>490</v>
      </c>
      <c r="F72" s="19" t="s">
        <v>491</v>
      </c>
    </row>
    <row r="73" spans="1:6">
      <c r="A73" s="19" t="s">
        <v>492</v>
      </c>
      <c r="B73" s="19" t="s">
        <v>493</v>
      </c>
      <c r="C73" s="19" t="s">
        <v>494</v>
      </c>
      <c r="D73" s="19" t="s">
        <v>495</v>
      </c>
      <c r="E73" s="19" t="s">
        <v>496</v>
      </c>
      <c r="F73" s="19" t="s">
        <v>497</v>
      </c>
    </row>
    <row r="74" spans="1:6">
      <c r="A74" s="19" t="s">
        <v>498</v>
      </c>
      <c r="B74" s="19" t="s">
        <v>499</v>
      </c>
      <c r="C74" s="19" t="s">
        <v>500</v>
      </c>
      <c r="D74" s="19" t="s">
        <v>501</v>
      </c>
      <c r="E74" s="19" t="s">
        <v>502</v>
      </c>
      <c r="F74" s="19" t="s">
        <v>503</v>
      </c>
    </row>
    <row r="75" spans="1:6">
      <c r="A75" s="19" t="s">
        <v>504</v>
      </c>
      <c r="B75" s="19" t="s">
        <v>505</v>
      </c>
      <c r="C75" s="19" t="s">
        <v>506</v>
      </c>
      <c r="D75" s="19">
        <v>0.96138487680543705</v>
      </c>
      <c r="E75" s="19" t="s">
        <v>508</v>
      </c>
      <c r="F75" s="19" t="s">
        <v>509</v>
      </c>
    </row>
    <row r="76" spans="1:6">
      <c r="A76" s="19" t="s">
        <v>510</v>
      </c>
      <c r="B76" s="19" t="s">
        <v>511</v>
      </c>
      <c r="C76" s="19" t="s">
        <v>512</v>
      </c>
      <c r="D76" s="19" t="s">
        <v>513</v>
      </c>
      <c r="E76" s="19" t="s">
        <v>514</v>
      </c>
      <c r="F76" s="19" t="s">
        <v>515</v>
      </c>
    </row>
    <row r="77" spans="1:6">
      <c r="A77" s="19" t="s">
        <v>516</v>
      </c>
      <c r="B77" s="19" t="s">
        <v>517</v>
      </c>
      <c r="C77" s="19" t="s">
        <v>518</v>
      </c>
      <c r="D77" s="19" t="s">
        <v>519</v>
      </c>
      <c r="E77" s="19" t="s">
        <v>520</v>
      </c>
      <c r="F77" s="19" t="s">
        <v>521</v>
      </c>
    </row>
    <row r="78" spans="1:6">
      <c r="A78" s="17"/>
      <c r="B78" s="17"/>
      <c r="C78" s="17" t="e">
        <f>AVERAGE(C3:C77)</f>
        <v>#DIV/0!</v>
      </c>
      <c r="D78" s="17"/>
      <c r="E78" s="17"/>
      <c r="F78" s="17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4C34C-C3AA-42CB-8C14-72FFD0B48495}">
  <dimension ref="A1:F77"/>
  <sheetViews>
    <sheetView topLeftCell="A41" workbookViewId="0">
      <selection activeCell="D2" sqref="D2:F77"/>
    </sheetView>
  </sheetViews>
  <sheetFormatPr defaultRowHeight="14.4"/>
  <cols>
    <col min="1" max="1" width="18.77734375" bestFit="1" customWidth="1"/>
    <col min="2" max="2" width="10.77734375" bestFit="1" customWidth="1"/>
    <col min="3" max="6" width="18.77734375" bestFit="1" customWidth="1"/>
  </cols>
  <sheetData>
    <row r="1" spans="1:6">
      <c r="A1" t="s">
        <v>63</v>
      </c>
      <c r="B1" t="s">
        <v>64</v>
      </c>
      <c r="C1" t="s">
        <v>65</v>
      </c>
      <c r="D1" t="s">
        <v>66</v>
      </c>
      <c r="E1" t="s">
        <v>67</v>
      </c>
      <c r="F1" t="s">
        <v>68</v>
      </c>
    </row>
    <row r="2" spans="1:6">
      <c r="A2" t="s">
        <v>0</v>
      </c>
      <c r="B2" t="s">
        <v>1</v>
      </c>
      <c r="C2" t="s">
        <v>2</v>
      </c>
      <c r="D2" t="s">
        <v>69</v>
      </c>
      <c r="E2" t="s">
        <v>70</v>
      </c>
      <c r="F2" t="s">
        <v>71</v>
      </c>
    </row>
    <row r="3" spans="1:6">
      <c r="A3" t="s">
        <v>522</v>
      </c>
      <c r="B3" t="s">
        <v>73</v>
      </c>
      <c r="C3" t="s">
        <v>523</v>
      </c>
      <c r="D3" t="s">
        <v>524</v>
      </c>
      <c r="E3" t="s">
        <v>525</v>
      </c>
      <c r="F3" t="s">
        <v>526</v>
      </c>
    </row>
    <row r="4" spans="1:6">
      <c r="A4" t="s">
        <v>527</v>
      </c>
      <c r="B4" t="s">
        <v>79</v>
      </c>
      <c r="C4" t="s">
        <v>528</v>
      </c>
      <c r="D4" t="s">
        <v>529</v>
      </c>
      <c r="E4" t="s">
        <v>530</v>
      </c>
      <c r="F4" t="s">
        <v>531</v>
      </c>
    </row>
    <row r="5" spans="1:6">
      <c r="A5" t="s">
        <v>532</v>
      </c>
      <c r="B5" t="s">
        <v>85</v>
      </c>
      <c r="C5" t="s">
        <v>533</v>
      </c>
      <c r="D5" t="s">
        <v>534</v>
      </c>
      <c r="E5" t="s">
        <v>535</v>
      </c>
      <c r="F5" t="s">
        <v>536</v>
      </c>
    </row>
    <row r="6" spans="1:6">
      <c r="A6" t="s">
        <v>537</v>
      </c>
      <c r="B6" t="s">
        <v>91</v>
      </c>
      <c r="C6" t="s">
        <v>538</v>
      </c>
      <c r="D6" t="s">
        <v>539</v>
      </c>
      <c r="E6" t="s">
        <v>540</v>
      </c>
      <c r="F6" t="s">
        <v>541</v>
      </c>
    </row>
    <row r="7" spans="1:6">
      <c r="A7" t="s">
        <v>542</v>
      </c>
      <c r="B7" t="s">
        <v>97</v>
      </c>
      <c r="C7" t="s">
        <v>543</v>
      </c>
      <c r="D7" t="s">
        <v>544</v>
      </c>
      <c r="E7" t="s">
        <v>545</v>
      </c>
      <c r="F7" t="s">
        <v>546</v>
      </c>
    </row>
    <row r="8" spans="1:6">
      <c r="A8" t="s">
        <v>547</v>
      </c>
      <c r="B8" t="s">
        <v>103</v>
      </c>
      <c r="C8" t="s">
        <v>548</v>
      </c>
      <c r="D8" t="s">
        <v>549</v>
      </c>
      <c r="E8" t="s">
        <v>550</v>
      </c>
      <c r="F8" t="s">
        <v>551</v>
      </c>
    </row>
    <row r="9" spans="1:6">
      <c r="A9" t="s">
        <v>552</v>
      </c>
      <c r="B9" t="s">
        <v>109</v>
      </c>
      <c r="C9" t="s">
        <v>553</v>
      </c>
      <c r="D9" t="s">
        <v>554</v>
      </c>
      <c r="E9" t="s">
        <v>555</v>
      </c>
      <c r="F9" t="s">
        <v>556</v>
      </c>
    </row>
    <row r="10" spans="1:6">
      <c r="A10" t="s">
        <v>557</v>
      </c>
      <c r="B10" t="s">
        <v>115</v>
      </c>
      <c r="C10" t="s">
        <v>558</v>
      </c>
      <c r="D10" t="s">
        <v>559</v>
      </c>
      <c r="E10" t="s">
        <v>560</v>
      </c>
      <c r="F10" t="s">
        <v>561</v>
      </c>
    </row>
    <row r="11" spans="1:6">
      <c r="A11" t="s">
        <v>562</v>
      </c>
      <c r="B11" t="s">
        <v>121</v>
      </c>
      <c r="C11" t="s">
        <v>563</v>
      </c>
      <c r="D11" t="s">
        <v>564</v>
      </c>
      <c r="E11" t="s">
        <v>565</v>
      </c>
      <c r="F11" t="s">
        <v>566</v>
      </c>
    </row>
    <row r="12" spans="1:6">
      <c r="A12" t="s">
        <v>567</v>
      </c>
      <c r="B12" t="s">
        <v>127</v>
      </c>
      <c r="C12" t="s">
        <v>568</v>
      </c>
      <c r="D12" t="s">
        <v>569</v>
      </c>
      <c r="E12" t="s">
        <v>570</v>
      </c>
      <c r="F12" t="s">
        <v>571</v>
      </c>
    </row>
    <row r="13" spans="1:6">
      <c r="A13" t="s">
        <v>572</v>
      </c>
      <c r="B13" t="s">
        <v>133</v>
      </c>
      <c r="C13" t="s">
        <v>573</v>
      </c>
      <c r="D13" t="s">
        <v>574</v>
      </c>
      <c r="E13" t="s">
        <v>575</v>
      </c>
      <c r="F13" t="s">
        <v>576</v>
      </c>
    </row>
    <row r="14" spans="1:6">
      <c r="A14" t="s">
        <v>577</v>
      </c>
      <c r="B14" t="s">
        <v>139</v>
      </c>
      <c r="C14" t="s">
        <v>578</v>
      </c>
      <c r="D14" t="s">
        <v>579</v>
      </c>
      <c r="E14" t="s">
        <v>580</v>
      </c>
      <c r="F14" t="s">
        <v>581</v>
      </c>
    </row>
    <row r="15" spans="1:6">
      <c r="A15" t="s">
        <v>582</v>
      </c>
      <c r="B15" t="s">
        <v>145</v>
      </c>
      <c r="C15" t="s">
        <v>583</v>
      </c>
      <c r="D15" t="s">
        <v>584</v>
      </c>
      <c r="E15" t="s">
        <v>585</v>
      </c>
      <c r="F15" t="s">
        <v>586</v>
      </c>
    </row>
    <row r="16" spans="1:6">
      <c r="A16" t="s">
        <v>587</v>
      </c>
      <c r="B16" t="s">
        <v>151</v>
      </c>
      <c r="C16" t="s">
        <v>588</v>
      </c>
      <c r="D16" t="s">
        <v>589</v>
      </c>
      <c r="E16" t="s">
        <v>590</v>
      </c>
      <c r="F16" t="s">
        <v>591</v>
      </c>
    </row>
    <row r="17" spans="1:6">
      <c r="A17" t="s">
        <v>592</v>
      </c>
      <c r="B17" t="s">
        <v>157</v>
      </c>
      <c r="C17" t="s">
        <v>593</v>
      </c>
      <c r="D17" t="s">
        <v>594</v>
      </c>
      <c r="E17" t="s">
        <v>595</v>
      </c>
      <c r="F17" t="s">
        <v>596</v>
      </c>
    </row>
    <row r="18" spans="1:6">
      <c r="A18" t="s">
        <v>597</v>
      </c>
      <c r="B18" t="s">
        <v>163</v>
      </c>
      <c r="C18" t="s">
        <v>598</v>
      </c>
      <c r="D18" t="s">
        <v>599</v>
      </c>
      <c r="E18" t="s">
        <v>600</v>
      </c>
      <c r="F18" t="s">
        <v>601</v>
      </c>
    </row>
    <row r="19" spans="1:6">
      <c r="A19" t="s">
        <v>602</v>
      </c>
      <c r="B19" t="s">
        <v>169</v>
      </c>
      <c r="C19" t="s">
        <v>603</v>
      </c>
      <c r="D19" t="s">
        <v>604</v>
      </c>
      <c r="E19" t="s">
        <v>605</v>
      </c>
      <c r="F19" t="s">
        <v>606</v>
      </c>
    </row>
    <row r="20" spans="1:6">
      <c r="A20" t="s">
        <v>607</v>
      </c>
      <c r="B20" t="s">
        <v>175</v>
      </c>
      <c r="C20" t="s">
        <v>608</v>
      </c>
      <c r="D20" t="s">
        <v>609</v>
      </c>
      <c r="E20" t="s">
        <v>610</v>
      </c>
      <c r="F20" t="s">
        <v>611</v>
      </c>
    </row>
    <row r="21" spans="1:6">
      <c r="A21" t="s">
        <v>612</v>
      </c>
      <c r="B21" t="s">
        <v>181</v>
      </c>
      <c r="C21" t="s">
        <v>613</v>
      </c>
      <c r="D21" t="s">
        <v>614</v>
      </c>
      <c r="E21" t="s">
        <v>615</v>
      </c>
      <c r="F21" t="s">
        <v>616</v>
      </c>
    </row>
    <row r="22" spans="1:6">
      <c r="A22" t="s">
        <v>617</v>
      </c>
      <c r="B22" t="s">
        <v>187</v>
      </c>
      <c r="C22" t="s">
        <v>618</v>
      </c>
      <c r="D22" t="s">
        <v>619</v>
      </c>
      <c r="E22" t="s">
        <v>620</v>
      </c>
      <c r="F22" t="s">
        <v>621</v>
      </c>
    </row>
    <row r="23" spans="1:6">
      <c r="A23" t="s">
        <v>622</v>
      </c>
      <c r="B23" t="s">
        <v>193</v>
      </c>
      <c r="C23" t="s">
        <v>623</v>
      </c>
      <c r="D23" t="s">
        <v>624</v>
      </c>
      <c r="E23" t="s">
        <v>625</v>
      </c>
      <c r="F23" t="s">
        <v>626</v>
      </c>
    </row>
    <row r="24" spans="1:6">
      <c r="A24" t="s">
        <v>627</v>
      </c>
      <c r="B24" t="s">
        <v>199</v>
      </c>
      <c r="C24" t="s">
        <v>628</v>
      </c>
      <c r="D24" t="s">
        <v>629</v>
      </c>
      <c r="E24" t="s">
        <v>630</v>
      </c>
      <c r="F24" t="s">
        <v>631</v>
      </c>
    </row>
    <row r="25" spans="1:6">
      <c r="A25" t="s">
        <v>632</v>
      </c>
      <c r="B25" t="s">
        <v>205</v>
      </c>
      <c r="C25" t="s">
        <v>633</v>
      </c>
      <c r="D25" t="s">
        <v>634</v>
      </c>
      <c r="E25" t="s">
        <v>635</v>
      </c>
      <c r="F25" t="s">
        <v>636</v>
      </c>
    </row>
    <row r="26" spans="1:6">
      <c r="A26" t="s">
        <v>637</v>
      </c>
      <c r="B26" t="s">
        <v>211</v>
      </c>
      <c r="C26" t="s">
        <v>638</v>
      </c>
      <c r="D26" t="s">
        <v>639</v>
      </c>
      <c r="E26" t="s">
        <v>640</v>
      </c>
      <c r="F26" t="s">
        <v>641</v>
      </c>
    </row>
    <row r="27" spans="1:6">
      <c r="A27" t="s">
        <v>642</v>
      </c>
      <c r="B27" t="s">
        <v>217</v>
      </c>
      <c r="C27" t="s">
        <v>643</v>
      </c>
      <c r="D27" t="s">
        <v>644</v>
      </c>
      <c r="E27" t="s">
        <v>645</v>
      </c>
      <c r="F27" t="s">
        <v>646</v>
      </c>
    </row>
    <row r="28" spans="1:6">
      <c r="A28" t="s">
        <v>647</v>
      </c>
      <c r="B28" t="s">
        <v>223</v>
      </c>
      <c r="C28" t="s">
        <v>648</v>
      </c>
      <c r="D28" t="s">
        <v>649</v>
      </c>
      <c r="E28" t="s">
        <v>650</v>
      </c>
      <c r="F28" t="s">
        <v>651</v>
      </c>
    </row>
    <row r="29" spans="1:6">
      <c r="A29" t="s">
        <v>652</v>
      </c>
      <c r="B29" t="s">
        <v>229</v>
      </c>
      <c r="C29" t="s">
        <v>653</v>
      </c>
      <c r="D29" t="s">
        <v>654</v>
      </c>
      <c r="E29" t="s">
        <v>655</v>
      </c>
      <c r="F29" t="s">
        <v>656</v>
      </c>
    </row>
    <row r="30" spans="1:6">
      <c r="A30" t="s">
        <v>657</v>
      </c>
      <c r="B30" t="s">
        <v>235</v>
      </c>
      <c r="C30" t="s">
        <v>658</v>
      </c>
      <c r="D30" t="s">
        <v>659</v>
      </c>
      <c r="E30" t="s">
        <v>660</v>
      </c>
      <c r="F30" t="s">
        <v>661</v>
      </c>
    </row>
    <row r="31" spans="1:6">
      <c r="A31" t="s">
        <v>662</v>
      </c>
      <c r="B31" t="s">
        <v>241</v>
      </c>
      <c r="C31" t="s">
        <v>663</v>
      </c>
      <c r="D31" t="s">
        <v>664</v>
      </c>
      <c r="E31" t="s">
        <v>665</v>
      </c>
      <c r="F31" t="s">
        <v>666</v>
      </c>
    </row>
    <row r="32" spans="1:6">
      <c r="A32" t="s">
        <v>667</v>
      </c>
      <c r="B32" t="s">
        <v>247</v>
      </c>
      <c r="C32" t="s">
        <v>668</v>
      </c>
      <c r="D32" t="s">
        <v>669</v>
      </c>
      <c r="E32" t="s">
        <v>670</v>
      </c>
      <c r="F32" t="s">
        <v>671</v>
      </c>
    </row>
    <row r="33" spans="1:6">
      <c r="A33" t="s">
        <v>672</v>
      </c>
      <c r="B33" t="s">
        <v>253</v>
      </c>
      <c r="C33" t="s">
        <v>673</v>
      </c>
      <c r="D33" t="s">
        <v>674</v>
      </c>
      <c r="E33" t="s">
        <v>675</v>
      </c>
      <c r="F33" t="s">
        <v>676</v>
      </c>
    </row>
    <row r="34" spans="1:6">
      <c r="A34" t="s">
        <v>677</v>
      </c>
      <c r="B34" t="s">
        <v>259</v>
      </c>
      <c r="C34" t="s">
        <v>678</v>
      </c>
      <c r="D34" t="s">
        <v>679</v>
      </c>
      <c r="E34" t="s">
        <v>680</v>
      </c>
      <c r="F34" t="s">
        <v>681</v>
      </c>
    </row>
    <row r="35" spans="1:6">
      <c r="A35" t="s">
        <v>682</v>
      </c>
      <c r="B35" t="s">
        <v>265</v>
      </c>
      <c r="C35" t="s">
        <v>683</v>
      </c>
      <c r="D35" t="s">
        <v>684</v>
      </c>
      <c r="E35" t="s">
        <v>685</v>
      </c>
      <c r="F35" t="s">
        <v>686</v>
      </c>
    </row>
    <row r="36" spans="1:6">
      <c r="A36" t="s">
        <v>687</v>
      </c>
      <c r="B36" t="s">
        <v>271</v>
      </c>
      <c r="C36" t="s">
        <v>688</v>
      </c>
      <c r="D36" t="s">
        <v>689</v>
      </c>
      <c r="E36" t="s">
        <v>690</v>
      </c>
      <c r="F36" t="s">
        <v>691</v>
      </c>
    </row>
    <row r="37" spans="1:6">
      <c r="A37" t="s">
        <v>692</v>
      </c>
      <c r="B37" t="s">
        <v>277</v>
      </c>
      <c r="C37" t="s">
        <v>693</v>
      </c>
      <c r="D37" t="s">
        <v>694</v>
      </c>
      <c r="E37" t="s">
        <v>695</v>
      </c>
      <c r="F37" t="s">
        <v>696</v>
      </c>
    </row>
    <row r="38" spans="1:6">
      <c r="A38" t="s">
        <v>697</v>
      </c>
      <c r="B38" t="s">
        <v>283</v>
      </c>
      <c r="C38" t="s">
        <v>698</v>
      </c>
      <c r="D38" t="s">
        <v>699</v>
      </c>
      <c r="E38" t="s">
        <v>700</v>
      </c>
      <c r="F38" t="s">
        <v>701</v>
      </c>
    </row>
    <row r="39" spans="1:6">
      <c r="A39" t="s">
        <v>702</v>
      </c>
      <c r="B39" t="s">
        <v>289</v>
      </c>
      <c r="C39" t="s">
        <v>703</v>
      </c>
      <c r="D39" t="s">
        <v>704</v>
      </c>
      <c r="E39" t="s">
        <v>705</v>
      </c>
      <c r="F39" t="s">
        <v>706</v>
      </c>
    </row>
    <row r="40" spans="1:6">
      <c r="A40" t="s">
        <v>707</v>
      </c>
      <c r="B40" t="s">
        <v>295</v>
      </c>
      <c r="C40" t="s">
        <v>708</v>
      </c>
      <c r="D40" t="s">
        <v>709</v>
      </c>
      <c r="E40" t="s">
        <v>710</v>
      </c>
      <c r="F40" t="s">
        <v>711</v>
      </c>
    </row>
    <row r="41" spans="1:6">
      <c r="A41" t="s">
        <v>712</v>
      </c>
      <c r="B41" t="s">
        <v>301</v>
      </c>
      <c r="C41" t="s">
        <v>713</v>
      </c>
      <c r="D41" t="s">
        <v>714</v>
      </c>
      <c r="E41" t="s">
        <v>715</v>
      </c>
      <c r="F41" t="s">
        <v>716</v>
      </c>
    </row>
    <row r="42" spans="1:6">
      <c r="A42" t="s">
        <v>717</v>
      </c>
      <c r="B42" t="s">
        <v>307</v>
      </c>
      <c r="C42" t="s">
        <v>718</v>
      </c>
      <c r="D42" t="s">
        <v>719</v>
      </c>
      <c r="E42" t="s">
        <v>720</v>
      </c>
      <c r="F42" t="s">
        <v>721</v>
      </c>
    </row>
    <row r="43" spans="1:6">
      <c r="A43" t="s">
        <v>722</v>
      </c>
      <c r="B43" t="s">
        <v>313</v>
      </c>
      <c r="C43" t="s">
        <v>723</v>
      </c>
      <c r="D43" t="s">
        <v>724</v>
      </c>
      <c r="E43" t="s">
        <v>725</v>
      </c>
      <c r="F43" t="s">
        <v>726</v>
      </c>
    </row>
    <row r="44" spans="1:6">
      <c r="A44" t="s">
        <v>727</v>
      </c>
      <c r="B44" t="s">
        <v>319</v>
      </c>
      <c r="C44" t="s">
        <v>728</v>
      </c>
      <c r="D44" t="s">
        <v>729</v>
      </c>
      <c r="E44" t="s">
        <v>730</v>
      </c>
      <c r="F44" t="s">
        <v>731</v>
      </c>
    </row>
    <row r="45" spans="1:6">
      <c r="A45" t="s">
        <v>732</v>
      </c>
      <c r="B45" t="s">
        <v>325</v>
      </c>
      <c r="C45" t="s">
        <v>733</v>
      </c>
      <c r="D45" t="s">
        <v>734</v>
      </c>
      <c r="E45" t="s">
        <v>735</v>
      </c>
      <c r="F45" t="s">
        <v>736</v>
      </c>
    </row>
    <row r="46" spans="1:6">
      <c r="A46" t="s">
        <v>737</v>
      </c>
      <c r="B46" t="s">
        <v>331</v>
      </c>
      <c r="C46" t="s">
        <v>738</v>
      </c>
      <c r="D46" t="s">
        <v>739</v>
      </c>
      <c r="E46" t="s">
        <v>740</v>
      </c>
      <c r="F46" t="s">
        <v>741</v>
      </c>
    </row>
    <row r="47" spans="1:6">
      <c r="A47" t="s">
        <v>742</v>
      </c>
      <c r="B47" t="s">
        <v>337</v>
      </c>
      <c r="C47" t="s">
        <v>743</v>
      </c>
      <c r="D47" t="s">
        <v>744</v>
      </c>
      <c r="E47" t="s">
        <v>745</v>
      </c>
      <c r="F47" t="s">
        <v>746</v>
      </c>
    </row>
    <row r="48" spans="1:6">
      <c r="A48" t="s">
        <v>747</v>
      </c>
      <c r="B48" t="s">
        <v>343</v>
      </c>
      <c r="C48" t="s">
        <v>748</v>
      </c>
      <c r="D48" t="s">
        <v>749</v>
      </c>
      <c r="E48" t="s">
        <v>750</v>
      </c>
      <c r="F48" t="s">
        <v>751</v>
      </c>
    </row>
    <row r="49" spans="1:6">
      <c r="A49" t="s">
        <v>752</v>
      </c>
      <c r="B49" t="s">
        <v>349</v>
      </c>
      <c r="C49" t="s">
        <v>753</v>
      </c>
      <c r="D49" t="s">
        <v>754</v>
      </c>
      <c r="E49" t="s">
        <v>755</v>
      </c>
      <c r="F49" t="s">
        <v>756</v>
      </c>
    </row>
    <row r="50" spans="1:6">
      <c r="A50" t="s">
        <v>757</v>
      </c>
      <c r="B50" t="s">
        <v>355</v>
      </c>
      <c r="C50" t="s">
        <v>758</v>
      </c>
      <c r="D50" t="s">
        <v>759</v>
      </c>
      <c r="E50" t="s">
        <v>760</v>
      </c>
      <c r="F50" t="s">
        <v>761</v>
      </c>
    </row>
    <row r="51" spans="1:6">
      <c r="A51" t="s">
        <v>762</v>
      </c>
      <c r="B51" t="s">
        <v>361</v>
      </c>
      <c r="C51" t="s">
        <v>763</v>
      </c>
      <c r="D51" t="s">
        <v>764</v>
      </c>
      <c r="E51" t="s">
        <v>765</v>
      </c>
      <c r="F51" t="s">
        <v>766</v>
      </c>
    </row>
    <row r="52" spans="1:6">
      <c r="A52" t="s">
        <v>767</v>
      </c>
      <c r="B52" t="s">
        <v>367</v>
      </c>
      <c r="C52" t="s">
        <v>768</v>
      </c>
      <c r="D52" t="s">
        <v>769</v>
      </c>
      <c r="E52" t="s">
        <v>770</v>
      </c>
      <c r="F52" t="s">
        <v>771</v>
      </c>
    </row>
    <row r="53" spans="1:6">
      <c r="A53" t="s">
        <v>772</v>
      </c>
      <c r="B53" t="s">
        <v>373</v>
      </c>
      <c r="C53" t="s">
        <v>773</v>
      </c>
      <c r="D53" t="s">
        <v>774</v>
      </c>
      <c r="E53" t="s">
        <v>775</v>
      </c>
      <c r="F53" t="s">
        <v>776</v>
      </c>
    </row>
    <row r="54" spans="1:6">
      <c r="A54" t="s">
        <v>777</v>
      </c>
      <c r="B54" t="s">
        <v>379</v>
      </c>
      <c r="C54" t="s">
        <v>778</v>
      </c>
      <c r="D54" t="s">
        <v>779</v>
      </c>
      <c r="E54" t="s">
        <v>780</v>
      </c>
      <c r="F54" t="s">
        <v>781</v>
      </c>
    </row>
    <row r="55" spans="1:6">
      <c r="A55" t="s">
        <v>782</v>
      </c>
      <c r="B55" t="s">
        <v>385</v>
      </c>
      <c r="C55" t="s">
        <v>783</v>
      </c>
      <c r="D55" t="s">
        <v>784</v>
      </c>
      <c r="E55" t="s">
        <v>785</v>
      </c>
      <c r="F55" t="s">
        <v>786</v>
      </c>
    </row>
    <row r="56" spans="1:6">
      <c r="A56" t="s">
        <v>787</v>
      </c>
      <c r="B56" t="s">
        <v>391</v>
      </c>
      <c r="C56" t="s">
        <v>788</v>
      </c>
      <c r="D56" t="s">
        <v>789</v>
      </c>
      <c r="E56" t="s">
        <v>790</v>
      </c>
      <c r="F56" t="s">
        <v>791</v>
      </c>
    </row>
    <row r="57" spans="1:6">
      <c r="A57" t="s">
        <v>792</v>
      </c>
      <c r="B57" t="s">
        <v>397</v>
      </c>
      <c r="C57" t="s">
        <v>793</v>
      </c>
      <c r="D57" t="s">
        <v>794</v>
      </c>
      <c r="E57" t="s">
        <v>795</v>
      </c>
      <c r="F57" t="s">
        <v>796</v>
      </c>
    </row>
    <row r="58" spans="1:6">
      <c r="A58" t="s">
        <v>797</v>
      </c>
      <c r="B58" t="s">
        <v>403</v>
      </c>
      <c r="C58" t="s">
        <v>798</v>
      </c>
      <c r="D58" t="s">
        <v>799</v>
      </c>
      <c r="E58" t="s">
        <v>800</v>
      </c>
      <c r="F58" t="s">
        <v>801</v>
      </c>
    </row>
    <row r="59" spans="1:6">
      <c r="A59" t="s">
        <v>802</v>
      </c>
      <c r="B59" t="s">
        <v>409</v>
      </c>
      <c r="C59" t="s">
        <v>803</v>
      </c>
      <c r="D59" t="s">
        <v>804</v>
      </c>
      <c r="E59" t="s">
        <v>805</v>
      </c>
      <c r="F59" t="s">
        <v>806</v>
      </c>
    </row>
    <row r="60" spans="1:6">
      <c r="A60" t="s">
        <v>807</v>
      </c>
      <c r="B60" t="s">
        <v>415</v>
      </c>
      <c r="C60" t="s">
        <v>808</v>
      </c>
      <c r="D60" t="s">
        <v>809</v>
      </c>
      <c r="E60" t="s">
        <v>810</v>
      </c>
      <c r="F60" t="s">
        <v>811</v>
      </c>
    </row>
    <row r="61" spans="1:6">
      <c r="A61" t="s">
        <v>812</v>
      </c>
      <c r="B61" t="s">
        <v>421</v>
      </c>
      <c r="C61" t="s">
        <v>813</v>
      </c>
      <c r="D61" t="s">
        <v>814</v>
      </c>
      <c r="E61" t="s">
        <v>815</v>
      </c>
      <c r="F61" t="s">
        <v>816</v>
      </c>
    </row>
    <row r="62" spans="1:6">
      <c r="A62" t="s">
        <v>817</v>
      </c>
      <c r="B62" t="s">
        <v>427</v>
      </c>
      <c r="C62" t="s">
        <v>818</v>
      </c>
      <c r="D62" t="s">
        <v>819</v>
      </c>
      <c r="E62" t="s">
        <v>820</v>
      </c>
      <c r="F62" t="s">
        <v>821</v>
      </c>
    </row>
    <row r="63" spans="1:6">
      <c r="A63" t="s">
        <v>822</v>
      </c>
      <c r="B63" t="s">
        <v>433</v>
      </c>
      <c r="C63" t="s">
        <v>823</v>
      </c>
      <c r="D63" t="s">
        <v>824</v>
      </c>
      <c r="E63" t="s">
        <v>825</v>
      </c>
      <c r="F63" t="s">
        <v>826</v>
      </c>
    </row>
    <row r="64" spans="1:6">
      <c r="A64" t="s">
        <v>827</v>
      </c>
      <c r="B64" t="s">
        <v>439</v>
      </c>
      <c r="C64" t="s">
        <v>828</v>
      </c>
      <c r="D64" t="s">
        <v>829</v>
      </c>
      <c r="E64" t="s">
        <v>830</v>
      </c>
      <c r="F64" t="s">
        <v>831</v>
      </c>
    </row>
    <row r="65" spans="1:6">
      <c r="A65" t="s">
        <v>832</v>
      </c>
      <c r="B65" t="s">
        <v>445</v>
      </c>
      <c r="C65" t="s">
        <v>833</v>
      </c>
      <c r="D65" t="s">
        <v>834</v>
      </c>
      <c r="E65" t="s">
        <v>835</v>
      </c>
      <c r="F65" t="s">
        <v>836</v>
      </c>
    </row>
    <row r="66" spans="1:6">
      <c r="A66" t="s">
        <v>837</v>
      </c>
      <c r="B66" t="s">
        <v>451</v>
      </c>
      <c r="C66" t="s">
        <v>838</v>
      </c>
      <c r="D66" t="s">
        <v>839</v>
      </c>
      <c r="E66" t="s">
        <v>840</v>
      </c>
      <c r="F66" t="s">
        <v>841</v>
      </c>
    </row>
    <row r="67" spans="1:6">
      <c r="A67" t="s">
        <v>842</v>
      </c>
      <c r="B67" t="s">
        <v>457</v>
      </c>
      <c r="C67" t="s">
        <v>843</v>
      </c>
      <c r="D67" t="s">
        <v>844</v>
      </c>
      <c r="E67" t="s">
        <v>845</v>
      </c>
      <c r="F67" t="s">
        <v>846</v>
      </c>
    </row>
    <row r="68" spans="1:6">
      <c r="A68" t="s">
        <v>847</v>
      </c>
      <c r="B68" t="s">
        <v>463</v>
      </c>
      <c r="C68" t="s">
        <v>848</v>
      </c>
      <c r="D68" t="s">
        <v>849</v>
      </c>
      <c r="E68" t="s">
        <v>850</v>
      </c>
      <c r="F68" t="s">
        <v>851</v>
      </c>
    </row>
    <row r="69" spans="1:6">
      <c r="A69" t="s">
        <v>852</v>
      </c>
      <c r="B69" t="s">
        <v>469</v>
      </c>
      <c r="C69" t="s">
        <v>853</v>
      </c>
      <c r="D69" t="s">
        <v>854</v>
      </c>
      <c r="E69" t="s">
        <v>855</v>
      </c>
      <c r="F69" t="s">
        <v>856</v>
      </c>
    </row>
    <row r="70" spans="1:6">
      <c r="A70" t="s">
        <v>857</v>
      </c>
      <c r="B70" t="s">
        <v>475</v>
      </c>
      <c r="C70" t="s">
        <v>858</v>
      </c>
      <c r="D70" t="s">
        <v>859</v>
      </c>
      <c r="E70" t="s">
        <v>860</v>
      </c>
      <c r="F70" t="s">
        <v>861</v>
      </c>
    </row>
    <row r="71" spans="1:6">
      <c r="A71" t="s">
        <v>862</v>
      </c>
      <c r="B71" t="s">
        <v>481</v>
      </c>
      <c r="C71" t="s">
        <v>863</v>
      </c>
      <c r="D71" t="s">
        <v>864</v>
      </c>
      <c r="E71" t="s">
        <v>865</v>
      </c>
      <c r="F71" t="s">
        <v>866</v>
      </c>
    </row>
    <row r="72" spans="1:6">
      <c r="A72" t="s">
        <v>867</v>
      </c>
      <c r="B72" t="s">
        <v>487</v>
      </c>
      <c r="C72" t="s">
        <v>868</v>
      </c>
      <c r="D72" t="s">
        <v>869</v>
      </c>
      <c r="E72" t="s">
        <v>870</v>
      </c>
      <c r="F72" t="s">
        <v>871</v>
      </c>
    </row>
    <row r="73" spans="1:6">
      <c r="A73" t="s">
        <v>872</v>
      </c>
      <c r="B73" t="s">
        <v>493</v>
      </c>
      <c r="C73" t="s">
        <v>873</v>
      </c>
      <c r="D73" t="s">
        <v>874</v>
      </c>
      <c r="E73" t="s">
        <v>875</v>
      </c>
      <c r="F73" t="s">
        <v>876</v>
      </c>
    </row>
    <row r="74" spans="1:6">
      <c r="A74" t="s">
        <v>877</v>
      </c>
      <c r="B74" t="s">
        <v>499</v>
      </c>
      <c r="C74" t="s">
        <v>878</v>
      </c>
      <c r="D74" t="s">
        <v>879</v>
      </c>
      <c r="E74" t="s">
        <v>880</v>
      </c>
      <c r="F74" t="s">
        <v>881</v>
      </c>
    </row>
    <row r="75" spans="1:6">
      <c r="A75" t="s">
        <v>622</v>
      </c>
      <c r="B75" t="s">
        <v>505</v>
      </c>
      <c r="C75" t="s">
        <v>882</v>
      </c>
      <c r="D75" t="s">
        <v>883</v>
      </c>
      <c r="E75" t="s">
        <v>884</v>
      </c>
      <c r="F75" t="s">
        <v>885</v>
      </c>
    </row>
    <row r="76" spans="1:6">
      <c r="A76" t="s">
        <v>886</v>
      </c>
      <c r="B76" t="s">
        <v>511</v>
      </c>
      <c r="C76" t="s">
        <v>887</v>
      </c>
      <c r="D76" t="s">
        <v>888</v>
      </c>
      <c r="E76" t="s">
        <v>889</v>
      </c>
      <c r="F76" t="s">
        <v>890</v>
      </c>
    </row>
    <row r="77" spans="1:6">
      <c r="A77" t="s">
        <v>891</v>
      </c>
      <c r="B77" t="s">
        <v>517</v>
      </c>
      <c r="C77" t="s">
        <v>892</v>
      </c>
      <c r="D77" t="s">
        <v>893</v>
      </c>
      <c r="E77" t="s">
        <v>894</v>
      </c>
      <c r="F77" t="s">
        <v>895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2B104-89A1-419A-8E68-77BA45476A62}">
  <dimension ref="A1:F77"/>
  <sheetViews>
    <sheetView topLeftCell="A41" workbookViewId="0">
      <selection activeCell="D2" sqref="D2:F77"/>
    </sheetView>
  </sheetViews>
  <sheetFormatPr defaultRowHeight="14.4"/>
  <cols>
    <col min="1" max="1" width="18.77734375" bestFit="1" customWidth="1"/>
    <col min="2" max="2" width="10.77734375" bestFit="1" customWidth="1"/>
    <col min="3" max="6" width="18.77734375" bestFit="1" customWidth="1"/>
  </cols>
  <sheetData>
    <row r="1" spans="1:6">
      <c r="A1" t="s">
        <v>63</v>
      </c>
      <c r="B1" t="s">
        <v>64</v>
      </c>
      <c r="C1" t="s">
        <v>65</v>
      </c>
      <c r="D1" t="s">
        <v>66</v>
      </c>
      <c r="E1" t="s">
        <v>67</v>
      </c>
      <c r="F1" t="s">
        <v>68</v>
      </c>
    </row>
    <row r="2" spans="1:6">
      <c r="A2" t="s">
        <v>0</v>
      </c>
      <c r="B2" t="s">
        <v>1</v>
      </c>
      <c r="C2" t="s">
        <v>2</v>
      </c>
      <c r="D2" t="s">
        <v>69</v>
      </c>
      <c r="E2" t="s">
        <v>70</v>
      </c>
      <c r="F2" t="s">
        <v>71</v>
      </c>
    </row>
    <row r="3" spans="1:6">
      <c r="A3" t="s">
        <v>896</v>
      </c>
      <c r="B3" t="s">
        <v>73</v>
      </c>
      <c r="C3" t="s">
        <v>897</v>
      </c>
      <c r="D3" t="s">
        <v>898</v>
      </c>
      <c r="E3" t="s">
        <v>502</v>
      </c>
      <c r="F3" t="s">
        <v>899</v>
      </c>
    </row>
    <row r="4" spans="1:6">
      <c r="A4" t="s">
        <v>900</v>
      </c>
      <c r="B4" t="s">
        <v>79</v>
      </c>
      <c r="C4" t="s">
        <v>901</v>
      </c>
      <c r="D4" t="s">
        <v>902</v>
      </c>
      <c r="E4" t="s">
        <v>112</v>
      </c>
      <c r="F4" t="s">
        <v>903</v>
      </c>
    </row>
    <row r="5" spans="1:6">
      <c r="A5" t="s">
        <v>904</v>
      </c>
      <c r="B5" t="s">
        <v>85</v>
      </c>
      <c r="C5" t="s">
        <v>284</v>
      </c>
      <c r="D5" t="s">
        <v>285</v>
      </c>
      <c r="E5" t="s">
        <v>286</v>
      </c>
      <c r="F5" t="s">
        <v>287</v>
      </c>
    </row>
    <row r="6" spans="1:6">
      <c r="A6" t="s">
        <v>905</v>
      </c>
      <c r="B6" t="s">
        <v>91</v>
      </c>
      <c r="C6" t="s">
        <v>906</v>
      </c>
      <c r="D6" t="s">
        <v>907</v>
      </c>
      <c r="E6" t="s">
        <v>250</v>
      </c>
      <c r="F6" t="s">
        <v>908</v>
      </c>
    </row>
    <row r="7" spans="1:6">
      <c r="A7" t="s">
        <v>909</v>
      </c>
      <c r="B7" t="s">
        <v>97</v>
      </c>
      <c r="C7" t="s">
        <v>910</v>
      </c>
      <c r="D7" t="s">
        <v>911</v>
      </c>
      <c r="E7" t="s">
        <v>912</v>
      </c>
      <c r="F7" t="s">
        <v>913</v>
      </c>
    </row>
    <row r="8" spans="1:6">
      <c r="A8" t="s">
        <v>914</v>
      </c>
      <c r="B8" t="s">
        <v>103</v>
      </c>
      <c r="C8" t="s">
        <v>290</v>
      </c>
      <c r="D8" t="s">
        <v>291</v>
      </c>
      <c r="E8" t="s">
        <v>292</v>
      </c>
      <c r="F8" t="s">
        <v>293</v>
      </c>
    </row>
    <row r="9" spans="1:6">
      <c r="A9" t="s">
        <v>915</v>
      </c>
      <c r="B9" t="s">
        <v>109</v>
      </c>
      <c r="C9" t="s">
        <v>916</v>
      </c>
      <c r="D9" t="s">
        <v>917</v>
      </c>
      <c r="E9" t="s">
        <v>496</v>
      </c>
      <c r="F9" t="s">
        <v>918</v>
      </c>
    </row>
    <row r="10" spans="1:6">
      <c r="A10" t="s">
        <v>919</v>
      </c>
      <c r="B10" t="s">
        <v>115</v>
      </c>
      <c r="C10" t="s">
        <v>920</v>
      </c>
      <c r="D10" t="s">
        <v>921</v>
      </c>
      <c r="E10" t="s">
        <v>322</v>
      </c>
      <c r="F10" t="s">
        <v>922</v>
      </c>
    </row>
    <row r="11" spans="1:6">
      <c r="A11" t="s">
        <v>923</v>
      </c>
      <c r="B11" t="s">
        <v>121</v>
      </c>
      <c r="C11" t="s">
        <v>924</v>
      </c>
      <c r="D11" t="s">
        <v>925</v>
      </c>
      <c r="E11" t="s">
        <v>430</v>
      </c>
      <c r="F11" t="s">
        <v>926</v>
      </c>
    </row>
    <row r="12" spans="1:6">
      <c r="A12" t="s">
        <v>927</v>
      </c>
      <c r="B12" t="s">
        <v>127</v>
      </c>
      <c r="C12" t="s">
        <v>928</v>
      </c>
      <c r="D12" t="s">
        <v>929</v>
      </c>
      <c r="E12" t="s">
        <v>196</v>
      </c>
      <c r="F12" t="s">
        <v>930</v>
      </c>
    </row>
    <row r="13" spans="1:6">
      <c r="A13" t="s">
        <v>931</v>
      </c>
      <c r="B13" t="s">
        <v>133</v>
      </c>
      <c r="C13" t="s">
        <v>932</v>
      </c>
      <c r="D13" t="s">
        <v>933</v>
      </c>
      <c r="E13" t="s">
        <v>934</v>
      </c>
      <c r="F13" t="s">
        <v>935</v>
      </c>
    </row>
    <row r="14" spans="1:6">
      <c r="A14" t="s">
        <v>936</v>
      </c>
      <c r="B14" t="s">
        <v>139</v>
      </c>
      <c r="C14" t="s">
        <v>937</v>
      </c>
      <c r="D14" t="s">
        <v>938</v>
      </c>
      <c r="E14" t="s">
        <v>939</v>
      </c>
      <c r="F14" t="s">
        <v>940</v>
      </c>
    </row>
    <row r="15" spans="1:6">
      <c r="A15" t="s">
        <v>941</v>
      </c>
      <c r="B15" t="s">
        <v>145</v>
      </c>
      <c r="C15" t="s">
        <v>942</v>
      </c>
      <c r="D15" t="s">
        <v>943</v>
      </c>
      <c r="E15" t="s">
        <v>944</v>
      </c>
      <c r="F15" t="s">
        <v>945</v>
      </c>
    </row>
    <row r="16" spans="1:6">
      <c r="A16" t="s">
        <v>946</v>
      </c>
      <c r="B16" t="s">
        <v>151</v>
      </c>
      <c r="C16" t="s">
        <v>947</v>
      </c>
      <c r="D16" t="s">
        <v>948</v>
      </c>
      <c r="E16" t="s">
        <v>280</v>
      </c>
      <c r="F16" t="s">
        <v>949</v>
      </c>
    </row>
    <row r="17" spans="1:6">
      <c r="A17" t="s">
        <v>950</v>
      </c>
      <c r="B17" t="s">
        <v>157</v>
      </c>
      <c r="C17" t="s">
        <v>951</v>
      </c>
      <c r="D17" t="s">
        <v>952</v>
      </c>
      <c r="E17" t="s">
        <v>382</v>
      </c>
      <c r="F17" t="s">
        <v>953</v>
      </c>
    </row>
    <row r="18" spans="1:6">
      <c r="A18" t="s">
        <v>954</v>
      </c>
      <c r="B18" t="s">
        <v>163</v>
      </c>
      <c r="C18" t="s">
        <v>955</v>
      </c>
      <c r="D18" t="s">
        <v>956</v>
      </c>
      <c r="E18" t="s">
        <v>220</v>
      </c>
      <c r="F18" t="s">
        <v>957</v>
      </c>
    </row>
    <row r="19" spans="1:6">
      <c r="A19" t="s">
        <v>958</v>
      </c>
      <c r="B19" t="s">
        <v>169</v>
      </c>
      <c r="C19" t="s">
        <v>959</v>
      </c>
      <c r="D19" t="s">
        <v>960</v>
      </c>
      <c r="E19" t="s">
        <v>961</v>
      </c>
      <c r="F19" t="s">
        <v>962</v>
      </c>
    </row>
    <row r="20" spans="1:6">
      <c r="A20" t="s">
        <v>963</v>
      </c>
      <c r="B20" t="s">
        <v>175</v>
      </c>
      <c r="C20" t="s">
        <v>964</v>
      </c>
      <c r="D20" t="s">
        <v>965</v>
      </c>
      <c r="E20" t="s">
        <v>214</v>
      </c>
      <c r="F20" t="s">
        <v>966</v>
      </c>
    </row>
    <row r="21" spans="1:6">
      <c r="A21" t="s">
        <v>967</v>
      </c>
      <c r="B21" t="s">
        <v>181</v>
      </c>
      <c r="C21" t="s">
        <v>968</v>
      </c>
      <c r="D21" t="s">
        <v>969</v>
      </c>
      <c r="E21" t="s">
        <v>970</v>
      </c>
      <c r="F21" t="s">
        <v>971</v>
      </c>
    </row>
    <row r="22" spans="1:6">
      <c r="A22" t="s">
        <v>972</v>
      </c>
      <c r="B22" t="s">
        <v>187</v>
      </c>
      <c r="C22" t="s">
        <v>224</v>
      </c>
      <c r="D22" t="s">
        <v>225</v>
      </c>
      <c r="E22" t="s">
        <v>226</v>
      </c>
      <c r="F22" t="s">
        <v>227</v>
      </c>
    </row>
    <row r="23" spans="1:6">
      <c r="A23" t="s">
        <v>973</v>
      </c>
      <c r="B23" t="s">
        <v>193</v>
      </c>
      <c r="C23" t="s">
        <v>974</v>
      </c>
      <c r="D23" t="s">
        <v>975</v>
      </c>
      <c r="E23" t="s">
        <v>976</v>
      </c>
      <c r="F23" t="s">
        <v>977</v>
      </c>
    </row>
    <row r="24" spans="1:6">
      <c r="A24" t="s">
        <v>978</v>
      </c>
      <c r="B24" t="s">
        <v>199</v>
      </c>
      <c r="C24" t="s">
        <v>979</v>
      </c>
      <c r="D24" t="s">
        <v>980</v>
      </c>
      <c r="E24" t="s">
        <v>981</v>
      </c>
      <c r="F24" t="s">
        <v>982</v>
      </c>
    </row>
    <row r="25" spans="1:6">
      <c r="A25" t="s">
        <v>983</v>
      </c>
      <c r="B25" t="s">
        <v>205</v>
      </c>
      <c r="C25" t="s">
        <v>984</v>
      </c>
      <c r="D25" t="s">
        <v>985</v>
      </c>
      <c r="E25" t="s">
        <v>364</v>
      </c>
      <c r="F25" t="s">
        <v>986</v>
      </c>
    </row>
    <row r="26" spans="1:6">
      <c r="A26" t="s">
        <v>987</v>
      </c>
      <c r="B26" t="s">
        <v>211</v>
      </c>
      <c r="C26" t="s">
        <v>988</v>
      </c>
      <c r="D26" t="s">
        <v>989</v>
      </c>
      <c r="E26" t="s">
        <v>412</v>
      </c>
      <c r="F26" t="s">
        <v>990</v>
      </c>
    </row>
    <row r="27" spans="1:6">
      <c r="A27" t="s">
        <v>991</v>
      </c>
      <c r="B27" t="s">
        <v>217</v>
      </c>
      <c r="C27" t="s">
        <v>992</v>
      </c>
      <c r="D27" t="s">
        <v>993</v>
      </c>
      <c r="E27" t="s">
        <v>178</v>
      </c>
      <c r="F27" t="s">
        <v>994</v>
      </c>
    </row>
    <row r="28" spans="1:6">
      <c r="A28" t="s">
        <v>995</v>
      </c>
      <c r="B28" t="s">
        <v>223</v>
      </c>
      <c r="C28" t="s">
        <v>98</v>
      </c>
      <c r="D28" t="s">
        <v>99</v>
      </c>
      <c r="E28" t="s">
        <v>100</v>
      </c>
      <c r="F28" t="s">
        <v>101</v>
      </c>
    </row>
    <row r="29" spans="1:6">
      <c r="A29" t="s">
        <v>996</v>
      </c>
      <c r="B29" t="s">
        <v>229</v>
      </c>
      <c r="C29" t="s">
        <v>997</v>
      </c>
      <c r="D29" t="s">
        <v>998</v>
      </c>
      <c r="E29" t="s">
        <v>76</v>
      </c>
      <c r="F29" t="s">
        <v>999</v>
      </c>
    </row>
    <row r="30" spans="1:6">
      <c r="A30" t="s">
        <v>1000</v>
      </c>
      <c r="B30" t="s">
        <v>235</v>
      </c>
      <c r="C30" t="s">
        <v>1001</v>
      </c>
      <c r="D30" t="s">
        <v>1002</v>
      </c>
      <c r="E30" t="s">
        <v>1003</v>
      </c>
      <c r="F30" t="s">
        <v>461</v>
      </c>
    </row>
    <row r="31" spans="1:6">
      <c r="A31" t="s">
        <v>1004</v>
      </c>
      <c r="B31" t="s">
        <v>241</v>
      </c>
      <c r="C31" t="s">
        <v>1005</v>
      </c>
      <c r="D31" t="s">
        <v>1006</v>
      </c>
      <c r="E31" t="s">
        <v>478</v>
      </c>
      <c r="F31" t="s">
        <v>1007</v>
      </c>
    </row>
    <row r="32" spans="1:6">
      <c r="A32" t="s">
        <v>1008</v>
      </c>
      <c r="B32" t="s">
        <v>247</v>
      </c>
      <c r="C32" t="s">
        <v>230</v>
      </c>
      <c r="D32" t="s">
        <v>231</v>
      </c>
      <c r="E32" t="s">
        <v>232</v>
      </c>
      <c r="F32" t="s">
        <v>233</v>
      </c>
    </row>
    <row r="33" spans="1:6">
      <c r="A33" t="s">
        <v>1009</v>
      </c>
      <c r="B33" t="s">
        <v>253</v>
      </c>
      <c r="C33" t="s">
        <v>344</v>
      </c>
      <c r="D33" t="s">
        <v>345</v>
      </c>
      <c r="E33" t="s">
        <v>346</v>
      </c>
      <c r="F33" t="s">
        <v>347</v>
      </c>
    </row>
    <row r="34" spans="1:6">
      <c r="A34" t="s">
        <v>1010</v>
      </c>
      <c r="B34" t="s">
        <v>259</v>
      </c>
      <c r="C34" t="s">
        <v>506</v>
      </c>
      <c r="D34" t="s">
        <v>507</v>
      </c>
      <c r="E34" t="s">
        <v>508</v>
      </c>
      <c r="F34" t="s">
        <v>509</v>
      </c>
    </row>
    <row r="35" spans="1:6">
      <c r="A35" t="s">
        <v>1011</v>
      </c>
      <c r="B35" t="s">
        <v>265</v>
      </c>
      <c r="C35" t="s">
        <v>1012</v>
      </c>
      <c r="D35" t="s">
        <v>1013</v>
      </c>
      <c r="E35" t="s">
        <v>172</v>
      </c>
      <c r="F35" t="s">
        <v>1014</v>
      </c>
    </row>
    <row r="36" spans="1:6">
      <c r="A36" t="s">
        <v>1015</v>
      </c>
      <c r="B36" t="s">
        <v>271</v>
      </c>
      <c r="C36" t="s">
        <v>1016</v>
      </c>
      <c r="D36" t="s">
        <v>1017</v>
      </c>
      <c r="E36" t="s">
        <v>1018</v>
      </c>
      <c r="F36" t="s">
        <v>1019</v>
      </c>
    </row>
    <row r="37" spans="1:6">
      <c r="A37" t="s">
        <v>1020</v>
      </c>
      <c r="B37" t="s">
        <v>277</v>
      </c>
      <c r="C37" t="s">
        <v>1021</v>
      </c>
      <c r="D37" t="s">
        <v>1022</v>
      </c>
      <c r="E37" t="s">
        <v>130</v>
      </c>
      <c r="F37" t="s">
        <v>1023</v>
      </c>
    </row>
    <row r="38" spans="1:6">
      <c r="A38" t="s">
        <v>1024</v>
      </c>
      <c r="B38" t="s">
        <v>283</v>
      </c>
      <c r="C38" t="s">
        <v>1025</v>
      </c>
      <c r="D38" t="s">
        <v>1026</v>
      </c>
      <c r="E38" t="s">
        <v>118</v>
      </c>
      <c r="F38" t="s">
        <v>1027</v>
      </c>
    </row>
    <row r="39" spans="1:6">
      <c r="A39" t="s">
        <v>1028</v>
      </c>
      <c r="B39" t="s">
        <v>289</v>
      </c>
      <c r="C39" t="s">
        <v>1029</v>
      </c>
      <c r="D39" t="s">
        <v>1030</v>
      </c>
      <c r="E39" t="s">
        <v>166</v>
      </c>
      <c r="F39" t="s">
        <v>1031</v>
      </c>
    </row>
    <row r="40" spans="1:6">
      <c r="A40" t="s">
        <v>1032</v>
      </c>
      <c r="B40" t="s">
        <v>295</v>
      </c>
      <c r="C40" t="s">
        <v>1033</v>
      </c>
      <c r="D40" t="s">
        <v>1034</v>
      </c>
      <c r="E40" t="s">
        <v>106</v>
      </c>
      <c r="F40" t="s">
        <v>1035</v>
      </c>
    </row>
    <row r="41" spans="1:6">
      <c r="A41" t="s">
        <v>1036</v>
      </c>
      <c r="B41" t="s">
        <v>301</v>
      </c>
      <c r="C41" t="s">
        <v>272</v>
      </c>
      <c r="D41" t="s">
        <v>273</v>
      </c>
      <c r="E41" t="s">
        <v>274</v>
      </c>
      <c r="F41" t="s">
        <v>275</v>
      </c>
    </row>
    <row r="42" spans="1:6">
      <c r="A42" t="s">
        <v>1037</v>
      </c>
      <c r="B42" t="s">
        <v>307</v>
      </c>
      <c r="C42" t="s">
        <v>1038</v>
      </c>
      <c r="D42" t="s">
        <v>1039</v>
      </c>
      <c r="E42" t="s">
        <v>1040</v>
      </c>
      <c r="F42" t="s">
        <v>1041</v>
      </c>
    </row>
    <row r="43" spans="1:6">
      <c r="A43" t="s">
        <v>1042</v>
      </c>
      <c r="B43" t="s">
        <v>313</v>
      </c>
      <c r="C43" t="s">
        <v>1043</v>
      </c>
      <c r="D43" t="s">
        <v>1044</v>
      </c>
      <c r="E43" t="s">
        <v>1045</v>
      </c>
      <c r="F43" t="s">
        <v>371</v>
      </c>
    </row>
    <row r="44" spans="1:6">
      <c r="A44" t="s">
        <v>1046</v>
      </c>
      <c r="B44" t="s">
        <v>319</v>
      </c>
      <c r="C44" t="s">
        <v>1047</v>
      </c>
      <c r="D44" t="s">
        <v>1048</v>
      </c>
      <c r="E44" t="s">
        <v>1049</v>
      </c>
      <c r="F44" t="s">
        <v>1050</v>
      </c>
    </row>
    <row r="45" spans="1:6">
      <c r="A45" t="s">
        <v>1051</v>
      </c>
      <c r="B45" t="s">
        <v>325</v>
      </c>
      <c r="C45" t="s">
        <v>1052</v>
      </c>
      <c r="D45" t="s">
        <v>1053</v>
      </c>
      <c r="E45" t="s">
        <v>454</v>
      </c>
      <c r="F45" t="s">
        <v>1054</v>
      </c>
    </row>
    <row r="46" spans="1:6">
      <c r="A46" t="s">
        <v>1055</v>
      </c>
      <c r="B46" t="s">
        <v>331</v>
      </c>
      <c r="C46" t="s">
        <v>1056</v>
      </c>
      <c r="D46" t="s">
        <v>1057</v>
      </c>
      <c r="E46" t="s">
        <v>1058</v>
      </c>
      <c r="F46" t="s">
        <v>1059</v>
      </c>
    </row>
    <row r="47" spans="1:6">
      <c r="A47" t="s">
        <v>1060</v>
      </c>
      <c r="B47" t="s">
        <v>337</v>
      </c>
      <c r="C47" t="s">
        <v>1061</v>
      </c>
      <c r="D47" t="s">
        <v>1062</v>
      </c>
      <c r="E47" t="s">
        <v>466</v>
      </c>
      <c r="F47" t="s">
        <v>1063</v>
      </c>
    </row>
    <row r="48" spans="1:6">
      <c r="A48" t="s">
        <v>1064</v>
      </c>
      <c r="B48" t="s">
        <v>343</v>
      </c>
      <c r="C48" t="s">
        <v>1065</v>
      </c>
      <c r="D48" t="s">
        <v>1066</v>
      </c>
      <c r="E48" t="s">
        <v>376</v>
      </c>
      <c r="F48" t="s">
        <v>1067</v>
      </c>
    </row>
    <row r="49" spans="1:6">
      <c r="A49" t="s">
        <v>1068</v>
      </c>
      <c r="B49" t="s">
        <v>349</v>
      </c>
      <c r="C49" t="s">
        <v>1069</v>
      </c>
      <c r="D49" t="s">
        <v>1070</v>
      </c>
      <c r="E49" t="s">
        <v>1071</v>
      </c>
      <c r="F49" t="s">
        <v>521</v>
      </c>
    </row>
    <row r="50" spans="1:6">
      <c r="A50" t="s">
        <v>1072</v>
      </c>
      <c r="B50" t="s">
        <v>355</v>
      </c>
      <c r="C50" t="s">
        <v>392</v>
      </c>
      <c r="D50" t="s">
        <v>393</v>
      </c>
      <c r="E50" t="s">
        <v>394</v>
      </c>
      <c r="F50" t="s">
        <v>395</v>
      </c>
    </row>
    <row r="51" spans="1:6">
      <c r="A51" t="s">
        <v>1073</v>
      </c>
      <c r="B51" t="s">
        <v>361</v>
      </c>
      <c r="C51" t="s">
        <v>1074</v>
      </c>
      <c r="D51" t="s">
        <v>1075</v>
      </c>
      <c r="E51" t="s">
        <v>418</v>
      </c>
      <c r="F51" t="s">
        <v>1076</v>
      </c>
    </row>
    <row r="52" spans="1:6">
      <c r="A52" t="s">
        <v>1077</v>
      </c>
      <c r="B52" t="s">
        <v>367</v>
      </c>
      <c r="C52" t="s">
        <v>1078</v>
      </c>
      <c r="D52" t="s">
        <v>1079</v>
      </c>
      <c r="E52" t="s">
        <v>262</v>
      </c>
      <c r="F52" t="s">
        <v>1080</v>
      </c>
    </row>
    <row r="53" spans="1:6">
      <c r="A53" t="s">
        <v>1081</v>
      </c>
      <c r="B53" t="s">
        <v>373</v>
      </c>
      <c r="C53" t="s">
        <v>326</v>
      </c>
      <c r="D53" t="s">
        <v>327</v>
      </c>
      <c r="E53" t="s">
        <v>328</v>
      </c>
      <c r="F53" t="s">
        <v>329</v>
      </c>
    </row>
    <row r="54" spans="1:6">
      <c r="A54" t="s">
        <v>1082</v>
      </c>
      <c r="B54" t="s">
        <v>379</v>
      </c>
      <c r="C54" t="s">
        <v>1083</v>
      </c>
      <c r="D54" t="s">
        <v>1084</v>
      </c>
      <c r="E54" t="s">
        <v>442</v>
      </c>
      <c r="F54" t="s">
        <v>1085</v>
      </c>
    </row>
    <row r="55" spans="1:6">
      <c r="A55" t="s">
        <v>1086</v>
      </c>
      <c r="B55" t="s">
        <v>385</v>
      </c>
      <c r="C55" t="s">
        <v>386</v>
      </c>
      <c r="D55" t="s">
        <v>387</v>
      </c>
      <c r="E55" t="s">
        <v>388</v>
      </c>
      <c r="F55" t="s">
        <v>389</v>
      </c>
    </row>
    <row r="56" spans="1:6">
      <c r="A56" t="s">
        <v>1087</v>
      </c>
      <c r="B56" t="s">
        <v>391</v>
      </c>
      <c r="C56" t="s">
        <v>302</v>
      </c>
      <c r="D56" t="s">
        <v>303</v>
      </c>
      <c r="E56" t="s">
        <v>304</v>
      </c>
      <c r="F56" t="s">
        <v>305</v>
      </c>
    </row>
    <row r="57" spans="1:6">
      <c r="A57" t="s">
        <v>1088</v>
      </c>
      <c r="B57" t="s">
        <v>397</v>
      </c>
      <c r="C57" t="s">
        <v>1089</v>
      </c>
      <c r="D57" t="s">
        <v>1090</v>
      </c>
      <c r="E57" t="s">
        <v>1091</v>
      </c>
      <c r="F57" t="s">
        <v>1092</v>
      </c>
    </row>
    <row r="58" spans="1:6">
      <c r="A58" t="s">
        <v>1093</v>
      </c>
      <c r="B58" t="s">
        <v>403</v>
      </c>
      <c r="C58" t="s">
        <v>1094</v>
      </c>
      <c r="D58" t="s">
        <v>1095</v>
      </c>
      <c r="E58" t="s">
        <v>1096</v>
      </c>
      <c r="F58" t="s">
        <v>1097</v>
      </c>
    </row>
    <row r="59" spans="1:6">
      <c r="A59" t="s">
        <v>1098</v>
      </c>
      <c r="B59" t="s">
        <v>409</v>
      </c>
      <c r="C59" t="s">
        <v>1099</v>
      </c>
      <c r="D59" t="s">
        <v>1100</v>
      </c>
      <c r="E59" t="s">
        <v>256</v>
      </c>
      <c r="F59" t="s">
        <v>1101</v>
      </c>
    </row>
    <row r="60" spans="1:6">
      <c r="A60" t="s">
        <v>1102</v>
      </c>
      <c r="B60" t="s">
        <v>415</v>
      </c>
      <c r="C60" t="s">
        <v>1103</v>
      </c>
      <c r="D60" t="s">
        <v>1104</v>
      </c>
      <c r="E60" t="s">
        <v>268</v>
      </c>
      <c r="F60" t="s">
        <v>1105</v>
      </c>
    </row>
    <row r="61" spans="1:6">
      <c r="A61" t="s">
        <v>1106</v>
      </c>
      <c r="B61" t="s">
        <v>421</v>
      </c>
      <c r="C61" t="s">
        <v>1107</v>
      </c>
      <c r="D61" t="s">
        <v>1108</v>
      </c>
      <c r="E61" t="s">
        <v>490</v>
      </c>
      <c r="F61" t="s">
        <v>1109</v>
      </c>
    </row>
    <row r="62" spans="1:6">
      <c r="A62" t="s">
        <v>1110</v>
      </c>
      <c r="B62" t="s">
        <v>427</v>
      </c>
      <c r="C62" t="s">
        <v>1111</v>
      </c>
      <c r="D62" t="s">
        <v>1112</v>
      </c>
      <c r="E62" t="s">
        <v>1113</v>
      </c>
      <c r="F62" t="s">
        <v>125</v>
      </c>
    </row>
    <row r="63" spans="1:6">
      <c r="A63" t="s">
        <v>1114</v>
      </c>
      <c r="B63" t="s">
        <v>433</v>
      </c>
      <c r="C63" t="s">
        <v>1115</v>
      </c>
      <c r="D63" t="s">
        <v>1116</v>
      </c>
      <c r="E63" t="s">
        <v>160</v>
      </c>
      <c r="F63" t="s">
        <v>1117</v>
      </c>
    </row>
    <row r="64" spans="1:6">
      <c r="A64" t="s">
        <v>1118</v>
      </c>
      <c r="B64" t="s">
        <v>439</v>
      </c>
      <c r="C64" t="s">
        <v>1119</v>
      </c>
      <c r="D64" t="s">
        <v>1120</v>
      </c>
      <c r="E64" t="s">
        <v>436</v>
      </c>
      <c r="F64" t="s">
        <v>1121</v>
      </c>
    </row>
    <row r="65" spans="1:6">
      <c r="A65" t="s">
        <v>1122</v>
      </c>
      <c r="B65" t="s">
        <v>445</v>
      </c>
      <c r="C65" t="s">
        <v>1123</v>
      </c>
      <c r="D65" t="s">
        <v>1124</v>
      </c>
      <c r="E65" t="s">
        <v>310</v>
      </c>
      <c r="F65" t="s">
        <v>1125</v>
      </c>
    </row>
    <row r="66" spans="1:6">
      <c r="A66" t="s">
        <v>1126</v>
      </c>
      <c r="B66" t="s">
        <v>451</v>
      </c>
      <c r="C66" t="s">
        <v>1127</v>
      </c>
      <c r="D66" t="s">
        <v>1128</v>
      </c>
      <c r="E66" t="s">
        <v>244</v>
      </c>
      <c r="F66" t="s">
        <v>1129</v>
      </c>
    </row>
    <row r="67" spans="1:6">
      <c r="A67" t="s">
        <v>1130</v>
      </c>
      <c r="B67" t="s">
        <v>457</v>
      </c>
      <c r="C67" t="s">
        <v>1131</v>
      </c>
      <c r="D67" t="s">
        <v>1132</v>
      </c>
      <c r="E67" t="s">
        <v>82</v>
      </c>
      <c r="F67" t="s">
        <v>1133</v>
      </c>
    </row>
    <row r="68" spans="1:6">
      <c r="A68" t="s">
        <v>1134</v>
      </c>
      <c r="B68" t="s">
        <v>463</v>
      </c>
      <c r="C68" t="s">
        <v>1135</v>
      </c>
      <c r="D68" t="s">
        <v>1136</v>
      </c>
      <c r="E68" t="s">
        <v>1137</v>
      </c>
      <c r="F68" t="s">
        <v>1138</v>
      </c>
    </row>
    <row r="69" spans="1:6">
      <c r="A69" t="s">
        <v>1139</v>
      </c>
      <c r="B69" t="s">
        <v>469</v>
      </c>
      <c r="C69" t="s">
        <v>1140</v>
      </c>
      <c r="D69" t="s">
        <v>1141</v>
      </c>
      <c r="E69" t="s">
        <v>1142</v>
      </c>
      <c r="F69" t="s">
        <v>1143</v>
      </c>
    </row>
    <row r="70" spans="1:6">
      <c r="A70" t="s">
        <v>1144</v>
      </c>
      <c r="B70" t="s">
        <v>475</v>
      </c>
      <c r="C70" t="s">
        <v>332</v>
      </c>
      <c r="D70" t="s">
        <v>333</v>
      </c>
      <c r="E70" t="s">
        <v>334</v>
      </c>
      <c r="F70" t="s">
        <v>335</v>
      </c>
    </row>
    <row r="71" spans="1:6">
      <c r="A71" t="s">
        <v>1145</v>
      </c>
      <c r="B71" t="s">
        <v>481</v>
      </c>
      <c r="C71" t="s">
        <v>1146</v>
      </c>
      <c r="D71" t="s">
        <v>1147</v>
      </c>
      <c r="E71" t="s">
        <v>1148</v>
      </c>
      <c r="F71" t="s">
        <v>353</v>
      </c>
    </row>
    <row r="72" spans="1:6">
      <c r="A72" t="s">
        <v>1149</v>
      </c>
      <c r="B72" t="s">
        <v>487</v>
      </c>
      <c r="C72" t="s">
        <v>1150</v>
      </c>
      <c r="D72" t="s">
        <v>1151</v>
      </c>
      <c r="E72" t="s">
        <v>1152</v>
      </c>
      <c r="F72" t="s">
        <v>1153</v>
      </c>
    </row>
    <row r="73" spans="1:6">
      <c r="A73" t="s">
        <v>1154</v>
      </c>
      <c r="B73" t="s">
        <v>493</v>
      </c>
      <c r="C73" t="s">
        <v>1155</v>
      </c>
      <c r="D73" t="s">
        <v>1156</v>
      </c>
      <c r="E73" t="s">
        <v>358</v>
      </c>
      <c r="F73" t="s">
        <v>1157</v>
      </c>
    </row>
    <row r="74" spans="1:6">
      <c r="A74" t="s">
        <v>1158</v>
      </c>
      <c r="B74" t="s">
        <v>499</v>
      </c>
      <c r="C74" t="s">
        <v>1159</v>
      </c>
      <c r="D74" t="s">
        <v>1160</v>
      </c>
      <c r="E74" t="s">
        <v>1161</v>
      </c>
      <c r="F74" t="s">
        <v>1162</v>
      </c>
    </row>
    <row r="75" spans="1:6">
      <c r="A75" t="s">
        <v>1163</v>
      </c>
      <c r="B75" t="s">
        <v>505</v>
      </c>
      <c r="C75" t="s">
        <v>1164</v>
      </c>
      <c r="D75" t="s">
        <v>1165</v>
      </c>
      <c r="E75" t="s">
        <v>340</v>
      </c>
      <c r="F75" t="s">
        <v>1166</v>
      </c>
    </row>
    <row r="76" spans="1:6">
      <c r="A76" t="s">
        <v>1167</v>
      </c>
      <c r="B76" t="s">
        <v>511</v>
      </c>
      <c r="C76" t="s">
        <v>1168</v>
      </c>
      <c r="D76" t="s">
        <v>1169</v>
      </c>
      <c r="E76" t="s">
        <v>1170</v>
      </c>
      <c r="F76" t="s">
        <v>1171</v>
      </c>
    </row>
    <row r="77" spans="1:6">
      <c r="A77" t="s">
        <v>1172</v>
      </c>
      <c r="B77" t="s">
        <v>517</v>
      </c>
      <c r="C77" t="s">
        <v>182</v>
      </c>
      <c r="D77" t="s">
        <v>183</v>
      </c>
      <c r="E77" t="s">
        <v>184</v>
      </c>
      <c r="F77" t="s">
        <v>185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A991F-FB44-464F-97B8-845D40C9B9EC}">
  <dimension ref="A1:F77"/>
  <sheetViews>
    <sheetView topLeftCell="A41" workbookViewId="0">
      <selection activeCell="L57" sqref="L57"/>
    </sheetView>
  </sheetViews>
  <sheetFormatPr defaultRowHeight="14.4"/>
  <cols>
    <col min="1" max="1" width="18.77734375" bestFit="1" customWidth="1"/>
    <col min="2" max="2" width="10.77734375" bestFit="1" customWidth="1"/>
    <col min="3" max="6" width="18.77734375" bestFit="1" customWidth="1"/>
  </cols>
  <sheetData>
    <row r="1" spans="1:6">
      <c r="A1" t="s">
        <v>63</v>
      </c>
      <c r="B1" t="s">
        <v>64</v>
      </c>
      <c r="C1" t="s">
        <v>65</v>
      </c>
      <c r="D1" t="s">
        <v>66</v>
      </c>
      <c r="E1" t="s">
        <v>67</v>
      </c>
      <c r="F1" t="s">
        <v>68</v>
      </c>
    </row>
    <row r="2" spans="1:6">
      <c r="A2" t="s">
        <v>0</v>
      </c>
      <c r="B2" t="s">
        <v>1</v>
      </c>
      <c r="C2" t="s">
        <v>2</v>
      </c>
      <c r="D2" t="s">
        <v>69</v>
      </c>
      <c r="E2" t="s">
        <v>70</v>
      </c>
      <c r="F2" t="s">
        <v>71</v>
      </c>
    </row>
    <row r="3" spans="1:6">
      <c r="A3" t="s">
        <v>1173</v>
      </c>
      <c r="B3" t="s">
        <v>73</v>
      </c>
      <c r="C3" t="s">
        <v>1174</v>
      </c>
      <c r="D3" t="s">
        <v>1175</v>
      </c>
      <c r="E3" t="s">
        <v>1176</v>
      </c>
      <c r="F3" t="s">
        <v>1177</v>
      </c>
    </row>
    <row r="4" spans="1:6">
      <c r="A4" t="s">
        <v>1178</v>
      </c>
      <c r="B4" t="s">
        <v>79</v>
      </c>
      <c r="C4" t="s">
        <v>1179</v>
      </c>
      <c r="D4" t="s">
        <v>1180</v>
      </c>
      <c r="E4" t="s">
        <v>1181</v>
      </c>
      <c r="F4" t="s">
        <v>1182</v>
      </c>
    </row>
    <row r="5" spans="1:6">
      <c r="A5" t="s">
        <v>1183</v>
      </c>
      <c r="B5" t="s">
        <v>85</v>
      </c>
      <c r="C5" t="s">
        <v>1184</v>
      </c>
      <c r="D5" t="s">
        <v>1185</v>
      </c>
      <c r="E5" t="s">
        <v>1186</v>
      </c>
      <c r="F5" t="s">
        <v>1187</v>
      </c>
    </row>
    <row r="6" spans="1:6">
      <c r="A6" t="s">
        <v>1188</v>
      </c>
      <c r="B6" t="s">
        <v>91</v>
      </c>
      <c r="C6" t="s">
        <v>1189</v>
      </c>
      <c r="D6" t="s">
        <v>1190</v>
      </c>
      <c r="E6" t="s">
        <v>1191</v>
      </c>
      <c r="F6" t="s">
        <v>1192</v>
      </c>
    </row>
    <row r="7" spans="1:6">
      <c r="A7" t="s">
        <v>1193</v>
      </c>
      <c r="B7" t="s">
        <v>97</v>
      </c>
      <c r="C7" t="s">
        <v>1194</v>
      </c>
      <c r="D7" t="s">
        <v>1195</v>
      </c>
      <c r="E7" t="s">
        <v>1196</v>
      </c>
      <c r="F7" t="s">
        <v>1197</v>
      </c>
    </row>
    <row r="8" spans="1:6">
      <c r="A8" t="s">
        <v>1198</v>
      </c>
      <c r="B8" t="s">
        <v>103</v>
      </c>
      <c r="C8" t="s">
        <v>1199</v>
      </c>
      <c r="D8" t="s">
        <v>1200</v>
      </c>
      <c r="E8" t="s">
        <v>1201</v>
      </c>
      <c r="F8" t="s">
        <v>1202</v>
      </c>
    </row>
    <row r="9" spans="1:6">
      <c r="A9" t="s">
        <v>1203</v>
      </c>
      <c r="B9" t="s">
        <v>109</v>
      </c>
      <c r="C9" t="s">
        <v>1204</v>
      </c>
      <c r="D9" t="s">
        <v>1205</v>
      </c>
      <c r="E9" t="s">
        <v>1206</v>
      </c>
      <c r="F9" t="s">
        <v>1207</v>
      </c>
    </row>
    <row r="10" spans="1:6">
      <c r="A10" t="s">
        <v>1208</v>
      </c>
      <c r="B10" t="s">
        <v>115</v>
      </c>
      <c r="C10" t="s">
        <v>1209</v>
      </c>
      <c r="D10" t="s">
        <v>1210</v>
      </c>
      <c r="E10" t="s">
        <v>1211</v>
      </c>
      <c r="F10" t="s">
        <v>1212</v>
      </c>
    </row>
    <row r="11" spans="1:6">
      <c r="A11" t="s">
        <v>1213</v>
      </c>
      <c r="B11" t="s">
        <v>121</v>
      </c>
      <c r="C11" t="s">
        <v>1214</v>
      </c>
      <c r="D11" t="s">
        <v>1215</v>
      </c>
      <c r="E11" t="s">
        <v>1216</v>
      </c>
      <c r="F11" t="s">
        <v>1217</v>
      </c>
    </row>
    <row r="12" spans="1:6">
      <c r="A12" t="s">
        <v>1218</v>
      </c>
      <c r="B12" t="s">
        <v>127</v>
      </c>
      <c r="C12" t="s">
        <v>1219</v>
      </c>
      <c r="D12" t="s">
        <v>1220</v>
      </c>
      <c r="E12" t="s">
        <v>1221</v>
      </c>
      <c r="F12" t="s">
        <v>1222</v>
      </c>
    </row>
    <row r="13" spans="1:6">
      <c r="A13" t="s">
        <v>1223</v>
      </c>
      <c r="B13" t="s">
        <v>133</v>
      </c>
      <c r="C13" t="s">
        <v>1224</v>
      </c>
      <c r="D13" t="s">
        <v>1225</v>
      </c>
      <c r="E13" t="s">
        <v>1226</v>
      </c>
      <c r="F13" t="s">
        <v>1227</v>
      </c>
    </row>
    <row r="14" spans="1:6">
      <c r="A14" t="s">
        <v>1228</v>
      </c>
      <c r="B14" t="s">
        <v>139</v>
      </c>
      <c r="C14" t="s">
        <v>1229</v>
      </c>
      <c r="D14" t="s">
        <v>1230</v>
      </c>
      <c r="E14" t="s">
        <v>1231</v>
      </c>
      <c r="F14" t="s">
        <v>1232</v>
      </c>
    </row>
    <row r="15" spans="1:6">
      <c r="A15" t="s">
        <v>1233</v>
      </c>
      <c r="B15" t="s">
        <v>145</v>
      </c>
      <c r="C15" t="s">
        <v>1234</v>
      </c>
      <c r="D15" t="s">
        <v>1235</v>
      </c>
      <c r="E15" t="s">
        <v>1236</v>
      </c>
      <c r="F15" t="s">
        <v>1237</v>
      </c>
    </row>
    <row r="16" spans="1:6">
      <c r="A16" t="s">
        <v>1238</v>
      </c>
      <c r="B16" t="s">
        <v>151</v>
      </c>
      <c r="C16" t="s">
        <v>1239</v>
      </c>
      <c r="D16" t="s">
        <v>1240</v>
      </c>
      <c r="E16" t="s">
        <v>1241</v>
      </c>
      <c r="F16" t="s">
        <v>1242</v>
      </c>
    </row>
    <row r="17" spans="1:6">
      <c r="A17" t="s">
        <v>1243</v>
      </c>
      <c r="B17" t="s">
        <v>157</v>
      </c>
      <c r="C17" t="s">
        <v>1244</v>
      </c>
      <c r="D17" t="s">
        <v>1245</v>
      </c>
      <c r="E17" t="s">
        <v>1246</v>
      </c>
      <c r="F17" t="s">
        <v>1247</v>
      </c>
    </row>
    <row r="18" spans="1:6">
      <c r="A18" t="s">
        <v>1248</v>
      </c>
      <c r="B18" t="s">
        <v>163</v>
      </c>
      <c r="C18" t="s">
        <v>1249</v>
      </c>
      <c r="D18" t="s">
        <v>1250</v>
      </c>
      <c r="E18" t="s">
        <v>1251</v>
      </c>
      <c r="F18" t="s">
        <v>1252</v>
      </c>
    </row>
    <row r="19" spans="1:6">
      <c r="A19" t="s">
        <v>1253</v>
      </c>
      <c r="B19" t="s">
        <v>169</v>
      </c>
      <c r="C19" t="s">
        <v>1254</v>
      </c>
      <c r="D19" t="s">
        <v>1255</v>
      </c>
      <c r="E19" t="s">
        <v>1256</v>
      </c>
      <c r="F19" t="s">
        <v>1257</v>
      </c>
    </row>
    <row r="20" spans="1:6">
      <c r="A20" t="s">
        <v>1258</v>
      </c>
      <c r="B20" t="s">
        <v>175</v>
      </c>
      <c r="C20" t="s">
        <v>1259</v>
      </c>
      <c r="D20" t="s">
        <v>1260</v>
      </c>
      <c r="E20" t="s">
        <v>1261</v>
      </c>
      <c r="F20" t="s">
        <v>1262</v>
      </c>
    </row>
    <row r="21" spans="1:6">
      <c r="A21" t="s">
        <v>1263</v>
      </c>
      <c r="B21" t="s">
        <v>181</v>
      </c>
      <c r="C21" t="s">
        <v>1264</v>
      </c>
      <c r="D21" t="s">
        <v>1265</v>
      </c>
      <c r="E21" t="s">
        <v>1266</v>
      </c>
      <c r="F21" t="s">
        <v>1267</v>
      </c>
    </row>
    <row r="22" spans="1:6">
      <c r="A22" t="s">
        <v>1268</v>
      </c>
      <c r="B22" t="s">
        <v>187</v>
      </c>
      <c r="C22" t="s">
        <v>1269</v>
      </c>
      <c r="D22" t="s">
        <v>1270</v>
      </c>
      <c r="E22" t="s">
        <v>1271</v>
      </c>
      <c r="F22" t="s">
        <v>1272</v>
      </c>
    </row>
    <row r="23" spans="1:6">
      <c r="A23" t="s">
        <v>1273</v>
      </c>
      <c r="B23" t="s">
        <v>193</v>
      </c>
      <c r="C23" t="s">
        <v>1274</v>
      </c>
      <c r="D23" t="s">
        <v>1275</v>
      </c>
      <c r="E23" t="s">
        <v>1276</v>
      </c>
      <c r="F23" t="s">
        <v>1277</v>
      </c>
    </row>
    <row r="24" spans="1:6">
      <c r="A24" t="s">
        <v>1278</v>
      </c>
      <c r="B24" t="s">
        <v>199</v>
      </c>
      <c r="C24" t="s">
        <v>1279</v>
      </c>
      <c r="D24" t="s">
        <v>1280</v>
      </c>
      <c r="E24" t="s">
        <v>1281</v>
      </c>
      <c r="F24" t="s">
        <v>1282</v>
      </c>
    </row>
    <row r="25" spans="1:6">
      <c r="A25" t="s">
        <v>1283</v>
      </c>
      <c r="B25" t="s">
        <v>205</v>
      </c>
      <c r="C25" t="s">
        <v>1284</v>
      </c>
      <c r="D25" t="s">
        <v>1285</v>
      </c>
      <c r="E25" t="s">
        <v>1286</v>
      </c>
      <c r="F25" t="s">
        <v>1287</v>
      </c>
    </row>
    <row r="26" spans="1:6">
      <c r="A26" t="s">
        <v>1288</v>
      </c>
      <c r="B26" t="s">
        <v>211</v>
      </c>
      <c r="C26" t="s">
        <v>1289</v>
      </c>
      <c r="D26" t="s">
        <v>1290</v>
      </c>
      <c r="E26" t="s">
        <v>1291</v>
      </c>
      <c r="F26" t="s">
        <v>1292</v>
      </c>
    </row>
    <row r="27" spans="1:6">
      <c r="A27" t="s">
        <v>1293</v>
      </c>
      <c r="B27" t="s">
        <v>217</v>
      </c>
      <c r="C27" t="s">
        <v>1294</v>
      </c>
      <c r="D27" t="s">
        <v>1295</v>
      </c>
      <c r="E27" t="s">
        <v>1296</v>
      </c>
      <c r="F27" t="s">
        <v>1297</v>
      </c>
    </row>
    <row r="28" spans="1:6">
      <c r="A28" t="s">
        <v>1298</v>
      </c>
      <c r="B28" t="s">
        <v>223</v>
      </c>
      <c r="C28" t="s">
        <v>1299</v>
      </c>
      <c r="D28" t="s">
        <v>1300</v>
      </c>
      <c r="E28" t="s">
        <v>1301</v>
      </c>
      <c r="F28" t="s">
        <v>1302</v>
      </c>
    </row>
    <row r="29" spans="1:6">
      <c r="A29" t="s">
        <v>1303</v>
      </c>
      <c r="B29" t="s">
        <v>229</v>
      </c>
      <c r="C29" t="s">
        <v>1304</v>
      </c>
      <c r="D29" t="s">
        <v>1305</v>
      </c>
      <c r="E29" t="s">
        <v>1306</v>
      </c>
      <c r="F29" t="s">
        <v>1307</v>
      </c>
    </row>
    <row r="30" spans="1:6">
      <c r="A30" t="s">
        <v>1308</v>
      </c>
      <c r="B30" t="s">
        <v>235</v>
      </c>
      <c r="C30" t="s">
        <v>1309</v>
      </c>
      <c r="D30" t="s">
        <v>1310</v>
      </c>
      <c r="E30" t="s">
        <v>1311</v>
      </c>
      <c r="F30" t="s">
        <v>1312</v>
      </c>
    </row>
    <row r="31" spans="1:6">
      <c r="A31" t="s">
        <v>1313</v>
      </c>
      <c r="B31" t="s">
        <v>241</v>
      </c>
      <c r="C31" t="s">
        <v>1314</v>
      </c>
      <c r="D31" t="s">
        <v>1315</v>
      </c>
      <c r="E31" t="s">
        <v>1316</v>
      </c>
      <c r="F31" t="s">
        <v>1317</v>
      </c>
    </row>
    <row r="32" spans="1:6">
      <c r="A32" t="s">
        <v>1318</v>
      </c>
      <c r="B32" t="s">
        <v>247</v>
      </c>
      <c r="C32" t="s">
        <v>1319</v>
      </c>
      <c r="D32" t="s">
        <v>1320</v>
      </c>
      <c r="E32" t="s">
        <v>1321</v>
      </c>
      <c r="F32" t="s">
        <v>1322</v>
      </c>
    </row>
    <row r="33" spans="1:6">
      <c r="A33" t="s">
        <v>1323</v>
      </c>
      <c r="B33" t="s">
        <v>253</v>
      </c>
      <c r="C33" t="s">
        <v>1324</v>
      </c>
      <c r="D33" t="s">
        <v>1325</v>
      </c>
      <c r="E33" t="s">
        <v>1326</v>
      </c>
      <c r="F33" t="s">
        <v>1327</v>
      </c>
    </row>
    <row r="34" spans="1:6">
      <c r="A34" t="s">
        <v>1328</v>
      </c>
      <c r="B34" t="s">
        <v>259</v>
      </c>
      <c r="C34" t="s">
        <v>1329</v>
      </c>
      <c r="D34" t="s">
        <v>1330</v>
      </c>
      <c r="E34" t="s">
        <v>1331</v>
      </c>
      <c r="F34" t="s">
        <v>1332</v>
      </c>
    </row>
    <row r="35" spans="1:6">
      <c r="A35" t="s">
        <v>1333</v>
      </c>
      <c r="B35" t="s">
        <v>265</v>
      </c>
      <c r="C35" t="s">
        <v>1334</v>
      </c>
      <c r="D35" t="s">
        <v>1335</v>
      </c>
      <c r="E35" t="s">
        <v>1336</v>
      </c>
      <c r="F35" t="s">
        <v>1337</v>
      </c>
    </row>
    <row r="36" spans="1:6">
      <c r="A36" t="s">
        <v>1338</v>
      </c>
      <c r="B36" t="s">
        <v>271</v>
      </c>
      <c r="C36" t="s">
        <v>1339</v>
      </c>
      <c r="D36" t="s">
        <v>1340</v>
      </c>
      <c r="E36" t="s">
        <v>1341</v>
      </c>
      <c r="F36" t="s">
        <v>1342</v>
      </c>
    </row>
    <row r="37" spans="1:6">
      <c r="A37" t="s">
        <v>1343</v>
      </c>
      <c r="B37" t="s">
        <v>277</v>
      </c>
      <c r="C37" t="s">
        <v>1344</v>
      </c>
      <c r="D37" t="s">
        <v>1345</v>
      </c>
      <c r="E37" t="s">
        <v>1346</v>
      </c>
      <c r="F37" t="s">
        <v>1347</v>
      </c>
    </row>
    <row r="38" spans="1:6">
      <c r="A38" t="s">
        <v>1348</v>
      </c>
      <c r="B38" t="s">
        <v>283</v>
      </c>
      <c r="C38" t="s">
        <v>1349</v>
      </c>
      <c r="D38" t="s">
        <v>1350</v>
      </c>
      <c r="E38" t="s">
        <v>1351</v>
      </c>
      <c r="F38" t="s">
        <v>1352</v>
      </c>
    </row>
    <row r="39" spans="1:6">
      <c r="A39" t="s">
        <v>1353</v>
      </c>
      <c r="B39" t="s">
        <v>289</v>
      </c>
      <c r="C39" t="s">
        <v>1354</v>
      </c>
      <c r="D39" t="s">
        <v>1355</v>
      </c>
      <c r="E39" t="s">
        <v>1356</v>
      </c>
      <c r="F39" t="s">
        <v>1357</v>
      </c>
    </row>
    <row r="40" spans="1:6">
      <c r="A40" t="s">
        <v>1358</v>
      </c>
      <c r="B40" t="s">
        <v>295</v>
      </c>
      <c r="C40" t="s">
        <v>1359</v>
      </c>
      <c r="D40" t="s">
        <v>1360</v>
      </c>
      <c r="E40" t="s">
        <v>1361</v>
      </c>
      <c r="F40" t="s">
        <v>1362</v>
      </c>
    </row>
    <row r="41" spans="1:6">
      <c r="A41" t="s">
        <v>1363</v>
      </c>
      <c r="B41" t="s">
        <v>301</v>
      </c>
      <c r="C41" t="s">
        <v>1364</v>
      </c>
      <c r="D41" t="s">
        <v>1365</v>
      </c>
      <c r="E41" t="s">
        <v>1366</v>
      </c>
      <c r="F41" t="s">
        <v>1367</v>
      </c>
    </row>
    <row r="42" spans="1:6">
      <c r="A42" t="s">
        <v>1368</v>
      </c>
      <c r="B42" t="s">
        <v>307</v>
      </c>
      <c r="C42" t="s">
        <v>1369</v>
      </c>
      <c r="D42" t="s">
        <v>1370</v>
      </c>
      <c r="E42" t="s">
        <v>1371</v>
      </c>
      <c r="F42" t="s">
        <v>1372</v>
      </c>
    </row>
    <row r="43" spans="1:6">
      <c r="A43" t="s">
        <v>1373</v>
      </c>
      <c r="B43" t="s">
        <v>313</v>
      </c>
      <c r="C43" t="s">
        <v>1374</v>
      </c>
      <c r="D43" t="s">
        <v>1375</v>
      </c>
      <c r="E43" t="s">
        <v>1376</v>
      </c>
      <c r="F43" t="s">
        <v>1377</v>
      </c>
    </row>
    <row r="44" spans="1:6">
      <c r="A44" t="s">
        <v>1378</v>
      </c>
      <c r="B44" t="s">
        <v>319</v>
      </c>
      <c r="C44" t="s">
        <v>1379</v>
      </c>
      <c r="D44" t="s">
        <v>1380</v>
      </c>
      <c r="E44" t="s">
        <v>1381</v>
      </c>
      <c r="F44" t="s">
        <v>1382</v>
      </c>
    </row>
    <row r="45" spans="1:6">
      <c r="A45" t="s">
        <v>1383</v>
      </c>
      <c r="B45" t="s">
        <v>325</v>
      </c>
      <c r="C45" t="s">
        <v>1384</v>
      </c>
      <c r="D45" t="s">
        <v>1385</v>
      </c>
      <c r="E45" t="s">
        <v>1386</v>
      </c>
      <c r="F45" t="s">
        <v>1387</v>
      </c>
    </row>
    <row r="46" spans="1:6">
      <c r="A46" t="s">
        <v>1388</v>
      </c>
      <c r="B46" t="s">
        <v>331</v>
      </c>
      <c r="C46" t="s">
        <v>1389</v>
      </c>
      <c r="D46" t="s">
        <v>1390</v>
      </c>
      <c r="E46" t="s">
        <v>1391</v>
      </c>
      <c r="F46" t="s">
        <v>1392</v>
      </c>
    </row>
    <row r="47" spans="1:6">
      <c r="A47" t="s">
        <v>1393</v>
      </c>
      <c r="B47" t="s">
        <v>337</v>
      </c>
      <c r="C47" t="s">
        <v>1394</v>
      </c>
      <c r="D47" t="s">
        <v>1395</v>
      </c>
      <c r="E47" t="s">
        <v>1396</v>
      </c>
      <c r="F47" t="s">
        <v>1397</v>
      </c>
    </row>
    <row r="48" spans="1:6">
      <c r="A48" t="s">
        <v>1398</v>
      </c>
      <c r="B48" t="s">
        <v>343</v>
      </c>
      <c r="C48" t="s">
        <v>1399</v>
      </c>
      <c r="D48" t="s">
        <v>1400</v>
      </c>
      <c r="E48" t="s">
        <v>1401</v>
      </c>
      <c r="F48" t="s">
        <v>1402</v>
      </c>
    </row>
    <row r="49" spans="1:6">
      <c r="A49" t="s">
        <v>1403</v>
      </c>
      <c r="B49" t="s">
        <v>349</v>
      </c>
      <c r="C49" t="s">
        <v>1404</v>
      </c>
      <c r="D49" t="s">
        <v>1405</v>
      </c>
      <c r="E49" t="s">
        <v>1406</v>
      </c>
      <c r="F49" t="s">
        <v>1407</v>
      </c>
    </row>
    <row r="50" spans="1:6">
      <c r="A50" t="s">
        <v>1408</v>
      </c>
      <c r="B50" t="s">
        <v>355</v>
      </c>
      <c r="C50" t="s">
        <v>1409</v>
      </c>
      <c r="D50" t="s">
        <v>1410</v>
      </c>
      <c r="E50" t="s">
        <v>1411</v>
      </c>
      <c r="F50" t="s">
        <v>1412</v>
      </c>
    </row>
    <row r="51" spans="1:6">
      <c r="A51" t="s">
        <v>1413</v>
      </c>
      <c r="B51" t="s">
        <v>361</v>
      </c>
      <c r="C51" t="s">
        <v>1414</v>
      </c>
      <c r="D51" t="s">
        <v>1415</v>
      </c>
      <c r="E51" t="s">
        <v>1416</v>
      </c>
      <c r="F51" t="s">
        <v>1417</v>
      </c>
    </row>
    <row r="52" spans="1:6">
      <c r="A52" t="s">
        <v>1418</v>
      </c>
      <c r="B52" t="s">
        <v>367</v>
      </c>
      <c r="C52" t="s">
        <v>1419</v>
      </c>
      <c r="D52" t="s">
        <v>1420</v>
      </c>
      <c r="E52" t="s">
        <v>1421</v>
      </c>
      <c r="F52" t="s">
        <v>1422</v>
      </c>
    </row>
    <row r="53" spans="1:6">
      <c r="A53" t="s">
        <v>1423</v>
      </c>
      <c r="B53" t="s">
        <v>373</v>
      </c>
      <c r="C53" t="s">
        <v>1424</v>
      </c>
      <c r="D53" t="s">
        <v>1425</v>
      </c>
      <c r="E53" t="s">
        <v>1426</v>
      </c>
      <c r="F53" t="s">
        <v>1427</v>
      </c>
    </row>
    <row r="54" spans="1:6">
      <c r="A54" t="s">
        <v>1428</v>
      </c>
      <c r="B54" t="s">
        <v>379</v>
      </c>
      <c r="C54" t="s">
        <v>1429</v>
      </c>
      <c r="D54" t="s">
        <v>1430</v>
      </c>
      <c r="E54" t="s">
        <v>1431</v>
      </c>
      <c r="F54" t="s">
        <v>1432</v>
      </c>
    </row>
    <row r="55" spans="1:6">
      <c r="A55" t="s">
        <v>1433</v>
      </c>
      <c r="B55" t="s">
        <v>385</v>
      </c>
      <c r="C55" t="s">
        <v>1434</v>
      </c>
      <c r="D55" t="s">
        <v>1435</v>
      </c>
      <c r="E55" t="s">
        <v>1436</v>
      </c>
      <c r="F55" t="s">
        <v>1437</v>
      </c>
    </row>
    <row r="56" spans="1:6">
      <c r="A56" t="s">
        <v>1438</v>
      </c>
      <c r="B56" t="s">
        <v>391</v>
      </c>
      <c r="C56" t="s">
        <v>1439</v>
      </c>
      <c r="D56" t="s">
        <v>1440</v>
      </c>
      <c r="E56" t="s">
        <v>1441</v>
      </c>
      <c r="F56" t="s">
        <v>1442</v>
      </c>
    </row>
    <row r="57" spans="1:6">
      <c r="A57" t="s">
        <v>1443</v>
      </c>
      <c r="B57" t="s">
        <v>397</v>
      </c>
      <c r="C57" t="s">
        <v>1444</v>
      </c>
      <c r="D57" t="s">
        <v>1445</v>
      </c>
      <c r="E57" t="s">
        <v>1446</v>
      </c>
      <c r="F57" t="s">
        <v>1447</v>
      </c>
    </row>
    <row r="58" spans="1:6">
      <c r="A58" t="s">
        <v>1448</v>
      </c>
      <c r="B58" t="s">
        <v>403</v>
      </c>
      <c r="C58" t="s">
        <v>1449</v>
      </c>
      <c r="D58" t="s">
        <v>1450</v>
      </c>
      <c r="E58" t="s">
        <v>1451</v>
      </c>
      <c r="F58" t="s">
        <v>1452</v>
      </c>
    </row>
    <row r="59" spans="1:6">
      <c r="A59" t="s">
        <v>1453</v>
      </c>
      <c r="B59" t="s">
        <v>409</v>
      </c>
      <c r="C59" t="s">
        <v>1454</v>
      </c>
      <c r="D59" t="s">
        <v>1455</v>
      </c>
      <c r="E59" t="s">
        <v>1456</v>
      </c>
      <c r="F59" t="s">
        <v>1457</v>
      </c>
    </row>
    <row r="60" spans="1:6">
      <c r="A60" t="s">
        <v>1458</v>
      </c>
      <c r="B60" t="s">
        <v>415</v>
      </c>
      <c r="C60" t="s">
        <v>1459</v>
      </c>
      <c r="D60" t="s">
        <v>1460</v>
      </c>
      <c r="E60" t="s">
        <v>1461</v>
      </c>
      <c r="F60" t="s">
        <v>1462</v>
      </c>
    </row>
    <row r="61" spans="1:6">
      <c r="A61" t="s">
        <v>1463</v>
      </c>
      <c r="B61" t="s">
        <v>421</v>
      </c>
      <c r="C61" t="s">
        <v>1464</v>
      </c>
      <c r="D61" t="s">
        <v>1465</v>
      </c>
      <c r="E61" t="s">
        <v>1466</v>
      </c>
      <c r="F61" t="s">
        <v>1467</v>
      </c>
    </row>
    <row r="62" spans="1:6">
      <c r="A62" t="s">
        <v>1468</v>
      </c>
      <c r="B62" t="s">
        <v>427</v>
      </c>
      <c r="C62" t="s">
        <v>1469</v>
      </c>
      <c r="D62" t="s">
        <v>1470</v>
      </c>
      <c r="E62" t="s">
        <v>1471</v>
      </c>
      <c r="F62" t="s">
        <v>1472</v>
      </c>
    </row>
    <row r="63" spans="1:6">
      <c r="A63" t="s">
        <v>1473</v>
      </c>
      <c r="B63" t="s">
        <v>433</v>
      </c>
      <c r="C63" t="s">
        <v>1474</v>
      </c>
      <c r="D63" t="s">
        <v>1475</v>
      </c>
      <c r="E63" t="s">
        <v>1476</v>
      </c>
      <c r="F63" t="s">
        <v>1477</v>
      </c>
    </row>
    <row r="64" spans="1:6">
      <c r="A64" t="s">
        <v>1478</v>
      </c>
      <c r="B64" t="s">
        <v>439</v>
      </c>
      <c r="C64" t="s">
        <v>1479</v>
      </c>
      <c r="D64" t="s">
        <v>1480</v>
      </c>
      <c r="E64" t="s">
        <v>1481</v>
      </c>
      <c r="F64" t="s">
        <v>1482</v>
      </c>
    </row>
    <row r="65" spans="1:6">
      <c r="A65" t="s">
        <v>1483</v>
      </c>
      <c r="B65" t="s">
        <v>445</v>
      </c>
      <c r="C65" t="s">
        <v>1484</v>
      </c>
      <c r="D65" t="s">
        <v>1485</v>
      </c>
      <c r="E65" t="s">
        <v>1486</v>
      </c>
      <c r="F65" t="s">
        <v>1487</v>
      </c>
    </row>
    <row r="66" spans="1:6">
      <c r="A66" t="s">
        <v>1488</v>
      </c>
      <c r="B66" t="s">
        <v>451</v>
      </c>
      <c r="C66" t="s">
        <v>1489</v>
      </c>
      <c r="D66" t="s">
        <v>1490</v>
      </c>
      <c r="E66" t="s">
        <v>1491</v>
      </c>
      <c r="F66" t="s">
        <v>1492</v>
      </c>
    </row>
    <row r="67" spans="1:6">
      <c r="A67" t="s">
        <v>1493</v>
      </c>
      <c r="B67" t="s">
        <v>457</v>
      </c>
      <c r="C67" t="s">
        <v>1494</v>
      </c>
      <c r="D67" t="s">
        <v>1495</v>
      </c>
      <c r="E67" t="s">
        <v>1496</v>
      </c>
      <c r="F67" t="s">
        <v>1497</v>
      </c>
    </row>
    <row r="68" spans="1:6">
      <c r="A68" t="s">
        <v>1498</v>
      </c>
      <c r="B68" t="s">
        <v>463</v>
      </c>
      <c r="C68" t="s">
        <v>1499</v>
      </c>
      <c r="D68" t="s">
        <v>1500</v>
      </c>
      <c r="E68" t="s">
        <v>1501</v>
      </c>
      <c r="F68" t="s">
        <v>1502</v>
      </c>
    </row>
    <row r="69" spans="1:6">
      <c r="A69" t="s">
        <v>1503</v>
      </c>
      <c r="B69" t="s">
        <v>469</v>
      </c>
      <c r="C69" t="s">
        <v>1504</v>
      </c>
      <c r="D69" t="s">
        <v>1505</v>
      </c>
      <c r="E69" t="s">
        <v>1506</v>
      </c>
      <c r="F69" t="s">
        <v>1507</v>
      </c>
    </row>
    <row r="70" spans="1:6">
      <c r="A70" t="s">
        <v>1508</v>
      </c>
      <c r="B70" t="s">
        <v>475</v>
      </c>
      <c r="C70" t="s">
        <v>1509</v>
      </c>
      <c r="D70" t="s">
        <v>1510</v>
      </c>
      <c r="E70" t="s">
        <v>1511</v>
      </c>
      <c r="F70" t="s">
        <v>1512</v>
      </c>
    </row>
    <row r="71" spans="1:6">
      <c r="A71" t="s">
        <v>1513</v>
      </c>
      <c r="B71" t="s">
        <v>481</v>
      </c>
      <c r="C71" t="s">
        <v>1514</v>
      </c>
      <c r="D71" t="s">
        <v>1515</v>
      </c>
      <c r="E71" t="s">
        <v>1516</v>
      </c>
      <c r="F71" t="s">
        <v>1517</v>
      </c>
    </row>
    <row r="72" spans="1:6">
      <c r="A72" t="s">
        <v>1518</v>
      </c>
      <c r="B72" t="s">
        <v>487</v>
      </c>
      <c r="C72" t="s">
        <v>1519</v>
      </c>
      <c r="D72" t="s">
        <v>1520</v>
      </c>
      <c r="E72" t="s">
        <v>1521</v>
      </c>
      <c r="F72" t="s">
        <v>1522</v>
      </c>
    </row>
    <row r="73" spans="1:6">
      <c r="A73" t="s">
        <v>1523</v>
      </c>
      <c r="B73" t="s">
        <v>493</v>
      </c>
      <c r="C73" t="s">
        <v>1524</v>
      </c>
      <c r="D73" t="s">
        <v>1525</v>
      </c>
      <c r="E73" t="s">
        <v>1526</v>
      </c>
      <c r="F73" t="s">
        <v>1527</v>
      </c>
    </row>
    <row r="74" spans="1:6">
      <c r="A74" t="s">
        <v>1528</v>
      </c>
      <c r="B74" t="s">
        <v>499</v>
      </c>
      <c r="C74" t="s">
        <v>1529</v>
      </c>
      <c r="D74" t="s">
        <v>1530</v>
      </c>
      <c r="E74" t="s">
        <v>1531</v>
      </c>
      <c r="F74" t="s">
        <v>1532</v>
      </c>
    </row>
    <row r="75" spans="1:6">
      <c r="A75" t="s">
        <v>1533</v>
      </c>
      <c r="B75" t="s">
        <v>505</v>
      </c>
      <c r="C75" t="s">
        <v>1534</v>
      </c>
      <c r="D75" t="s">
        <v>1535</v>
      </c>
      <c r="E75" t="s">
        <v>1536</v>
      </c>
      <c r="F75" t="s">
        <v>1537</v>
      </c>
    </row>
    <row r="76" spans="1:6">
      <c r="A76" t="s">
        <v>1538</v>
      </c>
      <c r="B76" t="s">
        <v>511</v>
      </c>
      <c r="C76" t="s">
        <v>1539</v>
      </c>
      <c r="D76" t="s">
        <v>1540</v>
      </c>
      <c r="E76" t="s">
        <v>1541</v>
      </c>
      <c r="F76" t="s">
        <v>1542</v>
      </c>
    </row>
    <row r="77" spans="1:6">
      <c r="A77" t="s">
        <v>1543</v>
      </c>
      <c r="B77" t="s">
        <v>517</v>
      </c>
      <c r="C77" t="s">
        <v>1544</v>
      </c>
      <c r="D77" t="s">
        <v>1545</v>
      </c>
      <c r="E77" t="s">
        <v>1546</v>
      </c>
      <c r="F77" t="s">
        <v>1547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90"/>
  <sheetViews>
    <sheetView tabSelected="1" topLeftCell="D87" workbookViewId="0">
      <selection activeCell="AA93" sqref="AA93"/>
    </sheetView>
  </sheetViews>
  <sheetFormatPr defaultRowHeight="14.4"/>
  <cols>
    <col min="12" max="12" width="11.21875" customWidth="1"/>
    <col min="14" max="14" width="12" bestFit="1" customWidth="1"/>
    <col min="23" max="23" width="12" bestFit="1" customWidth="1"/>
  </cols>
  <sheetData>
    <row r="1" spans="1:31">
      <c r="I1" t="s">
        <v>4</v>
      </c>
    </row>
    <row r="2" spans="1:31">
      <c r="H2" s="9" t="s">
        <v>12</v>
      </c>
      <c r="I2" s="10"/>
      <c r="J2" s="10"/>
      <c r="K2" s="10"/>
    </row>
    <row r="3" spans="1:31">
      <c r="I3" s="11" t="s">
        <v>13</v>
      </c>
      <c r="U3" t="s">
        <v>4</v>
      </c>
    </row>
    <row r="4" spans="1:31">
      <c r="T4" s="2" t="s">
        <v>5</v>
      </c>
      <c r="U4" s="3"/>
      <c r="V4" s="3"/>
      <c r="AA4" s="4" t="s">
        <v>6</v>
      </c>
    </row>
    <row r="5" spans="1:31">
      <c r="AA5" s="5" t="s">
        <v>7</v>
      </c>
    </row>
    <row r="6" spans="1:31">
      <c r="J6" s="7" t="s">
        <v>9</v>
      </c>
      <c r="P6" s="6" t="s">
        <v>8</v>
      </c>
      <c r="U6" s="7" t="s">
        <v>9</v>
      </c>
    </row>
    <row r="8" spans="1:31">
      <c r="B8" s="12" t="s">
        <v>3</v>
      </c>
      <c r="H8" s="13" t="s">
        <v>0</v>
      </c>
      <c r="I8" s="13" t="s">
        <v>1</v>
      </c>
      <c r="J8" s="13" t="s">
        <v>2</v>
      </c>
      <c r="K8" s="13" t="s">
        <v>69</v>
      </c>
      <c r="L8" s="13" t="s">
        <v>70</v>
      </c>
      <c r="M8" s="13" t="s">
        <v>71</v>
      </c>
      <c r="O8" t="s">
        <v>0</v>
      </c>
      <c r="P8" t="s">
        <v>1</v>
      </c>
      <c r="Q8" t="s">
        <v>2</v>
      </c>
      <c r="T8" t="s">
        <v>0</v>
      </c>
      <c r="U8" t="s">
        <v>1</v>
      </c>
      <c r="V8" t="s">
        <v>2</v>
      </c>
      <c r="W8" t="s">
        <v>69</v>
      </c>
      <c r="X8" t="s">
        <v>70</v>
      </c>
      <c r="Y8" t="s">
        <v>71</v>
      </c>
      <c r="AA8" s="7" t="s">
        <v>9</v>
      </c>
    </row>
    <row r="9" spans="1:31">
      <c r="H9" s="13">
        <v>528.42211723328001</v>
      </c>
      <c r="I9" s="13">
        <v>0</v>
      </c>
      <c r="J9" s="13">
        <v>0.92753572502744996</v>
      </c>
      <c r="K9" s="16">
        <v>0.95944066484423696</v>
      </c>
      <c r="L9" s="16">
        <v>0.99062002617338096</v>
      </c>
      <c r="M9" s="16">
        <v>0.98841063435077303</v>
      </c>
      <c r="O9">
        <v>31631.437063216999</v>
      </c>
      <c r="P9">
        <v>0</v>
      </c>
      <c r="Q9">
        <v>0.86789252022805996</v>
      </c>
      <c r="T9">
        <v>516.47806167603005</v>
      </c>
      <c r="U9">
        <v>0</v>
      </c>
      <c r="V9">
        <v>0.87676778750529005</v>
      </c>
      <c r="W9">
        <v>0.92127795710906701</v>
      </c>
      <c r="X9">
        <v>0.96849941427653696</v>
      </c>
      <c r="Y9">
        <v>0.98064743561059498</v>
      </c>
      <c r="Z9" t="s">
        <v>0</v>
      </c>
      <c r="AA9" t="s">
        <v>1</v>
      </c>
      <c r="AB9" t="s">
        <v>2</v>
      </c>
      <c r="AC9" t="s">
        <v>69</v>
      </c>
      <c r="AD9" t="s">
        <v>70</v>
      </c>
      <c r="AE9" t="s">
        <v>71</v>
      </c>
    </row>
    <row r="10" spans="1:31">
      <c r="H10" s="13">
        <v>44.919252395629996</v>
      </c>
      <c r="I10" s="13">
        <v>1</v>
      </c>
      <c r="J10" s="13">
        <v>0.92714055409601004</v>
      </c>
      <c r="K10" s="13">
        <v>0.95757791358040301</v>
      </c>
      <c r="L10" s="13">
        <v>0.99006042560644503</v>
      </c>
      <c r="M10" s="13">
        <v>0.99049429250866305</v>
      </c>
      <c r="O10">
        <v>105930.40180206001</v>
      </c>
      <c r="P10">
        <v>1</v>
      </c>
      <c r="Q10">
        <v>0.87848405014011999</v>
      </c>
      <c r="T10">
        <v>45.124292373656999</v>
      </c>
      <c r="U10">
        <v>1</v>
      </c>
      <c r="V10">
        <v>0.85975022163975001</v>
      </c>
      <c r="W10">
        <v>0.91444953290061104</v>
      </c>
      <c r="X10">
        <v>0.95158345469167704</v>
      </c>
      <c r="Y10">
        <v>0.98753034304101495</v>
      </c>
      <c r="Z10">
        <v>1040.5108928679999</v>
      </c>
      <c r="AA10">
        <v>0</v>
      </c>
      <c r="AB10">
        <v>0.93789735623255899</v>
      </c>
      <c r="AC10">
        <v>0.967953594875544</v>
      </c>
      <c r="AD10">
        <v>0.98152245905587598</v>
      </c>
      <c r="AE10">
        <v>0.99325115320100599</v>
      </c>
    </row>
    <row r="11" spans="1:31">
      <c r="A11" t="s">
        <v>0</v>
      </c>
      <c r="B11" t="s">
        <v>1</v>
      </c>
      <c r="C11" t="s">
        <v>2</v>
      </c>
      <c r="D11" t="s">
        <v>69</v>
      </c>
      <c r="E11" t="s">
        <v>70</v>
      </c>
      <c r="F11" t="s">
        <v>71</v>
      </c>
      <c r="H11" s="13">
        <v>26.595830917358001</v>
      </c>
      <c r="I11" s="13">
        <v>2</v>
      </c>
      <c r="J11" s="13">
        <v>0.90282019469364005</v>
      </c>
      <c r="K11" s="13">
        <v>0.96463413244826801</v>
      </c>
      <c r="L11" s="13">
        <v>0.99302591046269795</v>
      </c>
      <c r="M11" s="13">
        <v>0.99085343997983999</v>
      </c>
      <c r="O11">
        <v>20426.547765732001</v>
      </c>
      <c r="P11">
        <v>2</v>
      </c>
      <c r="Q11">
        <v>0.86953596591228</v>
      </c>
      <c r="T11">
        <v>25.734663009643999</v>
      </c>
      <c r="U11">
        <v>2</v>
      </c>
      <c r="V11">
        <v>0.88387511465156998</v>
      </c>
      <c r="W11">
        <v>0.92153505613782405</v>
      </c>
      <c r="X11">
        <v>0.96180052996058696</v>
      </c>
      <c r="Y11">
        <v>0.98823477874500099</v>
      </c>
      <c r="Z11">
        <v>671.68617248534997</v>
      </c>
      <c r="AA11">
        <v>1</v>
      </c>
      <c r="AB11">
        <v>0.93069784601413197</v>
      </c>
      <c r="AC11">
        <v>0.96410512699905904</v>
      </c>
      <c r="AD11">
        <v>0.99164432438970296</v>
      </c>
      <c r="AE11">
        <v>0.99315645665194097</v>
      </c>
    </row>
    <row r="12" spans="1:31">
      <c r="A12">
        <v>6010.4250907898004</v>
      </c>
      <c r="B12">
        <v>0</v>
      </c>
      <c r="C12">
        <v>0.92537408671792998</v>
      </c>
      <c r="D12">
        <v>0.96333528588515405</v>
      </c>
      <c r="E12">
        <v>0.98446472481700997</v>
      </c>
      <c r="F12">
        <v>0.99088536080705103</v>
      </c>
      <c r="H12" s="13">
        <v>26.379585266113001</v>
      </c>
      <c r="I12" s="13">
        <v>3</v>
      </c>
      <c r="J12" s="13">
        <v>0.91953937776460004</v>
      </c>
      <c r="K12" s="13">
        <v>0.960558478348846</v>
      </c>
      <c r="L12" s="13">
        <v>0.99316283662778004</v>
      </c>
      <c r="M12" s="13">
        <v>0.99038943817660796</v>
      </c>
      <c r="O12">
        <v>15612.75434494</v>
      </c>
      <c r="P12">
        <v>3</v>
      </c>
      <c r="Q12">
        <v>0.86624892257596997</v>
      </c>
      <c r="T12">
        <v>24.735927581786999</v>
      </c>
      <c r="U12">
        <v>3</v>
      </c>
      <c r="V12">
        <v>0.85658758531037005</v>
      </c>
      <c r="W12">
        <v>0.929842742142032</v>
      </c>
      <c r="X12">
        <v>0.96738515524436497</v>
      </c>
      <c r="Y12">
        <v>0.985077816161544</v>
      </c>
      <c r="Z12">
        <v>925.08506774902003</v>
      </c>
      <c r="AA12">
        <v>2</v>
      </c>
      <c r="AB12">
        <v>0.92795149768141305</v>
      </c>
      <c r="AC12">
        <v>0.96262950473327102</v>
      </c>
      <c r="AD12">
        <v>0.98346311577479195</v>
      </c>
      <c r="AE12">
        <v>0.99223590103844495</v>
      </c>
    </row>
    <row r="13" spans="1:31">
      <c r="A13">
        <v>21883.603096007999</v>
      </c>
      <c r="B13">
        <v>1</v>
      </c>
      <c r="C13">
        <v>0.92713363436205998</v>
      </c>
      <c r="D13">
        <v>0.95452738853503105</v>
      </c>
      <c r="E13">
        <v>0.98787086159071003</v>
      </c>
      <c r="F13">
        <v>0.99184912813770298</v>
      </c>
      <c r="H13" s="13">
        <v>26.0009765625</v>
      </c>
      <c r="I13" s="13">
        <v>4</v>
      </c>
      <c r="J13" s="13">
        <v>0.92925779558249999</v>
      </c>
      <c r="K13" s="13">
        <v>0.95830315918138398</v>
      </c>
      <c r="L13" s="16">
        <v>0.994154840278622</v>
      </c>
      <c r="M13" s="13">
        <v>0.99004968728506804</v>
      </c>
      <c r="O13">
        <v>3884.2408657074002</v>
      </c>
      <c r="P13">
        <v>4</v>
      </c>
      <c r="Q13">
        <v>0.85663486251452003</v>
      </c>
      <c r="T13">
        <v>26.153564453125</v>
      </c>
      <c r="U13">
        <v>4</v>
      </c>
      <c r="V13">
        <v>0.84764434107552999</v>
      </c>
      <c r="W13">
        <v>0.91072025951644697</v>
      </c>
      <c r="X13">
        <v>0.97921056838494902</v>
      </c>
      <c r="Y13">
        <v>0.97413711718871698</v>
      </c>
      <c r="Z13">
        <v>699.02896881104004</v>
      </c>
      <c r="AA13">
        <v>3</v>
      </c>
      <c r="AB13">
        <v>0.92743547689571004</v>
      </c>
      <c r="AC13">
        <v>0.96235177572783803</v>
      </c>
      <c r="AD13">
        <v>0.98975069010858796</v>
      </c>
      <c r="AE13">
        <v>0.99173644883634504</v>
      </c>
    </row>
    <row r="14" spans="1:31">
      <c r="A14">
        <v>4934.4692230225</v>
      </c>
      <c r="B14">
        <v>2</v>
      </c>
      <c r="C14">
        <v>0.93213317472613</v>
      </c>
      <c r="D14">
        <v>0.95459472479826502</v>
      </c>
      <c r="E14">
        <v>0.99284490274479098</v>
      </c>
      <c r="F14">
        <v>0.99081880337736405</v>
      </c>
      <c r="H14" s="13">
        <v>24.889469146728999</v>
      </c>
      <c r="I14" s="13">
        <v>5</v>
      </c>
      <c r="J14" s="13">
        <v>0.92330687557984004</v>
      </c>
      <c r="K14" s="13">
        <v>0.957931703665029</v>
      </c>
      <c r="L14" s="13">
        <v>0.99012350707136498</v>
      </c>
      <c r="M14" s="13">
        <v>0.992033570330494</v>
      </c>
      <c r="O14">
        <v>4490.5872344971003</v>
      </c>
      <c r="P14">
        <v>5</v>
      </c>
      <c r="Q14">
        <v>0.85797767376237999</v>
      </c>
      <c r="T14">
        <v>24.775743484496999</v>
      </c>
      <c r="U14">
        <v>5</v>
      </c>
      <c r="V14">
        <v>0.88137396517713995</v>
      </c>
      <c r="W14">
        <v>0.93113847824477403</v>
      </c>
      <c r="X14">
        <v>0.95069244259882602</v>
      </c>
      <c r="Y14">
        <v>0.99045780218715296</v>
      </c>
      <c r="Z14">
        <v>666.57757759094</v>
      </c>
      <c r="AA14">
        <v>4</v>
      </c>
      <c r="AB14">
        <v>0.93254295729191305</v>
      </c>
      <c r="AC14">
        <v>0.96509415614615102</v>
      </c>
      <c r="AD14">
        <v>0.99126273460773495</v>
      </c>
      <c r="AE14">
        <v>0.99223300554831195</v>
      </c>
    </row>
    <row r="15" spans="1:31">
      <c r="A15">
        <v>6733.4170341491999</v>
      </c>
      <c r="B15">
        <v>3</v>
      </c>
      <c r="C15">
        <v>0.93070226349391005</v>
      </c>
      <c r="D15">
        <v>0.94619186891750895</v>
      </c>
      <c r="E15">
        <v>0.99225153803382704</v>
      </c>
      <c r="F15">
        <v>0.98749293009060102</v>
      </c>
      <c r="H15" s="13">
        <v>26.412725448608001</v>
      </c>
      <c r="I15" s="13">
        <v>6</v>
      </c>
      <c r="J15" s="13">
        <v>0.91166165970894997</v>
      </c>
      <c r="K15" s="13">
        <v>0.95453225239364203</v>
      </c>
      <c r="L15" s="13">
        <v>0.98787086159071003</v>
      </c>
      <c r="M15" s="13">
        <v>0.99185017661620301</v>
      </c>
      <c r="O15">
        <v>4702.3766040802002</v>
      </c>
      <c r="P15">
        <v>6</v>
      </c>
      <c r="Q15">
        <v>0.82440861691268996</v>
      </c>
      <c r="T15">
        <v>25.252342224121001</v>
      </c>
      <c r="U15">
        <v>6</v>
      </c>
      <c r="V15">
        <v>0.85807570947846001</v>
      </c>
      <c r="W15">
        <v>0.88815388985836596</v>
      </c>
      <c r="X15">
        <v>0.98133732713934596</v>
      </c>
      <c r="Y15">
        <v>0.97280992882068495</v>
      </c>
      <c r="Z15">
        <v>665.88354110718001</v>
      </c>
      <c r="AA15">
        <v>5</v>
      </c>
      <c r="AB15">
        <v>0.939326922002926</v>
      </c>
      <c r="AC15">
        <v>0.96871436305622405</v>
      </c>
      <c r="AD15">
        <v>0.98770318519214495</v>
      </c>
      <c r="AE15">
        <v>0.99001466489351997</v>
      </c>
    </row>
    <row r="16" spans="1:31">
      <c r="A16">
        <v>4430.7515621185003</v>
      </c>
      <c r="B16">
        <v>4</v>
      </c>
      <c r="C16">
        <v>0.89992696653349002</v>
      </c>
      <c r="D16">
        <v>0.953920131549989</v>
      </c>
      <c r="E16">
        <v>0.99149740606144299</v>
      </c>
      <c r="F16">
        <v>0.98915869454042904</v>
      </c>
      <c r="H16" s="13">
        <v>24.941682815551999</v>
      </c>
      <c r="I16" s="13">
        <v>7</v>
      </c>
      <c r="J16" s="13">
        <v>0.91807641591355005</v>
      </c>
      <c r="K16" s="13">
        <v>0.94406154662422004</v>
      </c>
      <c r="L16" s="13">
        <v>0.99051415083836203</v>
      </c>
      <c r="M16" s="13">
        <v>0.98989213127817399</v>
      </c>
      <c r="O16">
        <v>5621.3133335113998</v>
      </c>
      <c r="P16">
        <v>7</v>
      </c>
      <c r="Q16">
        <v>0.84781036813480004</v>
      </c>
      <c r="T16">
        <v>24.701833724976002</v>
      </c>
      <c r="U16">
        <v>7</v>
      </c>
      <c r="V16">
        <v>0.84238325219833998</v>
      </c>
      <c r="W16">
        <v>0.92307117597250499</v>
      </c>
      <c r="X16">
        <v>0.96828548290185201</v>
      </c>
      <c r="Y16">
        <v>0.98405121773857496</v>
      </c>
      <c r="Z16">
        <v>662.44316101074003</v>
      </c>
      <c r="AA16">
        <v>6</v>
      </c>
      <c r="AB16">
        <v>0.91413769034909198</v>
      </c>
      <c r="AC16">
        <v>0.95514308605706999</v>
      </c>
      <c r="AD16">
        <v>0.98074103762142295</v>
      </c>
      <c r="AE16">
        <v>0.99275711051907001</v>
      </c>
    </row>
    <row r="17" spans="1:31">
      <c r="A17">
        <v>5540.7156944275002</v>
      </c>
      <c r="B17">
        <v>5</v>
      </c>
      <c r="C17">
        <v>0.92926408391134996</v>
      </c>
      <c r="D17">
        <v>0.96070337131349803</v>
      </c>
      <c r="E17">
        <v>0.99547951123179401</v>
      </c>
      <c r="F17">
        <v>0.98914950203712004</v>
      </c>
      <c r="H17" s="13">
        <v>26.795387268066001</v>
      </c>
      <c r="I17" s="13">
        <v>8</v>
      </c>
      <c r="J17" s="13">
        <v>0.93168430859063001</v>
      </c>
      <c r="K17" s="13">
        <v>0.95667490533732202</v>
      </c>
      <c r="L17" s="13">
        <v>0.99536898168808996</v>
      </c>
      <c r="M17" s="13">
        <v>0.98718045727056603</v>
      </c>
      <c r="O17">
        <v>4925.4529476165999</v>
      </c>
      <c r="P17">
        <v>8</v>
      </c>
      <c r="Q17">
        <v>0.85970693852904001</v>
      </c>
      <c r="T17">
        <v>25.173425674438</v>
      </c>
      <c r="U17">
        <v>8</v>
      </c>
      <c r="V17">
        <v>0.88366302393138996</v>
      </c>
      <c r="W17">
        <v>0.93527791942886196</v>
      </c>
      <c r="X17">
        <v>0.96996107632425099</v>
      </c>
      <c r="Y17">
        <v>0.98676370061780105</v>
      </c>
      <c r="Z17">
        <v>669.53730583190998</v>
      </c>
      <c r="AA17">
        <v>7</v>
      </c>
      <c r="AB17">
        <v>0.93960805414743198</v>
      </c>
      <c r="AC17">
        <v>0.96886384044269502</v>
      </c>
      <c r="AD17">
        <v>0.99485011356736397</v>
      </c>
      <c r="AE17">
        <v>0.99143005436118703</v>
      </c>
    </row>
    <row r="18" spans="1:31">
      <c r="A18">
        <v>9079.9584388733001</v>
      </c>
      <c r="B18">
        <v>6</v>
      </c>
      <c r="C18">
        <v>0.90282737503480004</v>
      </c>
      <c r="D18">
        <v>0.95737161152425398</v>
      </c>
      <c r="E18">
        <v>0.99042122744079697</v>
      </c>
      <c r="F18">
        <v>0.99088001617735399</v>
      </c>
      <c r="H18" s="13">
        <v>26.018857955933001</v>
      </c>
      <c r="I18" s="13">
        <v>9</v>
      </c>
      <c r="J18" s="13">
        <v>0.91661288137754005</v>
      </c>
      <c r="K18" s="13">
        <v>0.94473563028079699</v>
      </c>
      <c r="L18" s="13">
        <v>0.99218597169995804</v>
      </c>
      <c r="M18" s="13">
        <v>0.98958562016889595</v>
      </c>
      <c r="O18">
        <v>4717.7793979645003</v>
      </c>
      <c r="P18">
        <v>9</v>
      </c>
      <c r="Q18">
        <v>0.85669823015851998</v>
      </c>
      <c r="T18">
        <v>24.697780609131001</v>
      </c>
      <c r="U18">
        <v>9</v>
      </c>
      <c r="V18">
        <v>0.87698216852991995</v>
      </c>
      <c r="W18">
        <v>0.92088690796639605</v>
      </c>
      <c r="X18">
        <v>0.95824177733000904</v>
      </c>
      <c r="Y18">
        <v>0.98484204075904402</v>
      </c>
      <c r="Z18">
        <v>667.66786575316996</v>
      </c>
      <c r="AA18">
        <v>8</v>
      </c>
      <c r="AB18">
        <v>0.867175011326625</v>
      </c>
      <c r="AC18">
        <v>0.92886312859392695</v>
      </c>
      <c r="AD18">
        <v>0.91200294881822497</v>
      </c>
      <c r="AE18">
        <v>0.99386565245453895</v>
      </c>
    </row>
    <row r="19" spans="1:31">
      <c r="A19">
        <v>5405.2536487579</v>
      </c>
      <c r="B19">
        <v>7</v>
      </c>
      <c r="C19">
        <v>0.92715546901307</v>
      </c>
      <c r="D19">
        <v>0.96218925125964805</v>
      </c>
      <c r="E19">
        <v>0.99082729796126701</v>
      </c>
      <c r="F19">
        <v>0.99067053435643604</v>
      </c>
      <c r="H19" s="13">
        <v>25.715589523315</v>
      </c>
      <c r="I19" s="13">
        <v>10</v>
      </c>
      <c r="J19" s="13">
        <v>0.92603608028907003</v>
      </c>
      <c r="K19" s="13">
        <v>0.95522279672340604</v>
      </c>
      <c r="L19" s="13">
        <v>0.99274711507256597</v>
      </c>
      <c r="M19" s="13">
        <v>0.98758728796815098</v>
      </c>
      <c r="O19">
        <v>4937.1318817138999</v>
      </c>
      <c r="P19">
        <v>10</v>
      </c>
      <c r="Q19">
        <v>0.87061554083458004</v>
      </c>
      <c r="T19">
        <v>24.939298629761002</v>
      </c>
      <c r="U19">
        <v>10</v>
      </c>
      <c r="V19">
        <v>0.86622953248870005</v>
      </c>
      <c r="W19">
        <v>0.93445977615950004</v>
      </c>
      <c r="X19">
        <v>0.97898468564858399</v>
      </c>
      <c r="Y19">
        <v>0.98422347709496205</v>
      </c>
      <c r="Z19">
        <v>657.55820274353005</v>
      </c>
      <c r="AA19">
        <v>9</v>
      </c>
      <c r="AB19">
        <v>0.91866366480958495</v>
      </c>
      <c r="AC19">
        <v>0.95760782012907497</v>
      </c>
      <c r="AD19">
        <v>0.98050156292955104</v>
      </c>
      <c r="AE19">
        <v>0.993043710666345</v>
      </c>
    </row>
    <row r="20" spans="1:31">
      <c r="A20">
        <v>7976.8891334534001</v>
      </c>
      <c r="B20">
        <v>8</v>
      </c>
      <c r="C20">
        <v>0.89787869443137003</v>
      </c>
      <c r="D20">
        <v>0.957258652897929</v>
      </c>
      <c r="E20">
        <v>0.99118364907270495</v>
      </c>
      <c r="F20">
        <v>0.98965648764489</v>
      </c>
      <c r="H20" s="13">
        <v>26.285886764526001</v>
      </c>
      <c r="I20" s="13">
        <v>11</v>
      </c>
      <c r="J20" s="13">
        <v>0.91320535973067996</v>
      </c>
      <c r="K20" s="13">
        <v>0.96238737070293101</v>
      </c>
      <c r="L20" s="13">
        <v>0.98581401664616497</v>
      </c>
      <c r="M20" s="13">
        <v>0.991475900548202</v>
      </c>
      <c r="O20">
        <v>5195.5049037933004</v>
      </c>
      <c r="P20">
        <v>11</v>
      </c>
      <c r="Q20">
        <v>0.88463619921101999</v>
      </c>
      <c r="T20">
        <v>25.927066802978999</v>
      </c>
      <c r="U20">
        <v>11</v>
      </c>
      <c r="V20">
        <v>0.87114977879988997</v>
      </c>
      <c r="W20">
        <v>0.90373007122502402</v>
      </c>
      <c r="X20">
        <v>0.976995720298518</v>
      </c>
      <c r="Y20">
        <v>0.97115004117013504</v>
      </c>
      <c r="Z20">
        <v>667.45829582214003</v>
      </c>
      <c r="AA20">
        <v>10</v>
      </c>
      <c r="AB20">
        <v>0.93017033858391296</v>
      </c>
      <c r="AC20">
        <v>0.96382202128993499</v>
      </c>
      <c r="AD20">
        <v>0.98262744366357702</v>
      </c>
      <c r="AE20">
        <v>0.99097099677496003</v>
      </c>
    </row>
    <row r="21" spans="1:31">
      <c r="A21">
        <v>3935.9610080718999</v>
      </c>
      <c r="B21">
        <v>9</v>
      </c>
      <c r="C21">
        <v>0.91861608339901002</v>
      </c>
      <c r="D21">
        <v>0.95510464126885597</v>
      </c>
      <c r="E21">
        <v>0.99212797269172803</v>
      </c>
      <c r="F21">
        <v>0.98949706502566503</v>
      </c>
      <c r="H21" s="13">
        <v>26.379823684691999</v>
      </c>
      <c r="I21" s="13">
        <v>12</v>
      </c>
      <c r="J21" s="13">
        <v>0.92449690148246999</v>
      </c>
      <c r="K21" s="13">
        <v>0.95958380751097305</v>
      </c>
      <c r="L21" s="13">
        <v>0.99552477117862603</v>
      </c>
      <c r="M21" s="13">
        <v>0.98842844264758101</v>
      </c>
      <c r="O21">
        <v>5251.6319751740002</v>
      </c>
      <c r="P21">
        <v>12</v>
      </c>
      <c r="Q21">
        <v>0.87194369544354</v>
      </c>
      <c r="T21">
        <v>25.147676467896002</v>
      </c>
      <c r="U21">
        <v>12</v>
      </c>
      <c r="V21">
        <v>0.87147263397551</v>
      </c>
      <c r="W21">
        <v>0.93876101379841903</v>
      </c>
      <c r="X21">
        <v>0.97129051930384203</v>
      </c>
      <c r="Y21">
        <v>0.986383888325292</v>
      </c>
      <c r="Z21">
        <v>669.68750953673998</v>
      </c>
      <c r="AA21">
        <v>11</v>
      </c>
      <c r="AB21">
        <v>0.93082491807664003</v>
      </c>
      <c r="AC21">
        <v>0.96417330164131698</v>
      </c>
      <c r="AD21">
        <v>0.98699652531555804</v>
      </c>
      <c r="AE21">
        <v>0.99272463024707103</v>
      </c>
    </row>
    <row r="22" spans="1:31">
      <c r="A22">
        <v>3863.9264106750002</v>
      </c>
      <c r="B22">
        <v>10</v>
      </c>
      <c r="C22">
        <v>0.92564113051659003</v>
      </c>
      <c r="D22">
        <v>0.95833962264150896</v>
      </c>
      <c r="E22">
        <v>0.98902999942608305</v>
      </c>
      <c r="F22">
        <v>0.99012526346120799</v>
      </c>
      <c r="H22" s="13">
        <v>24.947166442871001</v>
      </c>
      <c r="I22" s="13">
        <v>13</v>
      </c>
      <c r="J22" s="13">
        <v>0.92757961082212004</v>
      </c>
      <c r="K22" s="13">
        <v>0.95444276794571403</v>
      </c>
      <c r="L22" s="13">
        <v>0.99060391071119502</v>
      </c>
      <c r="M22" s="13">
        <v>0.989449043725803</v>
      </c>
      <c r="O22">
        <v>4757.180929184</v>
      </c>
      <c r="P22">
        <v>13</v>
      </c>
      <c r="Q22">
        <v>0.85800714731135996</v>
      </c>
      <c r="T22">
        <v>25.147438049316001</v>
      </c>
      <c r="U22">
        <v>13</v>
      </c>
      <c r="V22">
        <v>0.86623023039457003</v>
      </c>
      <c r="W22">
        <v>0.93105640684272695</v>
      </c>
      <c r="X22">
        <v>0.96703481775634603</v>
      </c>
      <c r="Y22">
        <v>0.98670813028981696</v>
      </c>
      <c r="Z22">
        <v>657.88078308105003</v>
      </c>
      <c r="AA22">
        <v>12</v>
      </c>
      <c r="AB22">
        <v>0.94299502739598196</v>
      </c>
      <c r="AC22">
        <v>0.97066128744528102</v>
      </c>
      <c r="AD22">
        <v>0.991338836489005</v>
      </c>
      <c r="AE22">
        <v>0.99192378597370401</v>
      </c>
    </row>
    <row r="23" spans="1:31">
      <c r="A23">
        <v>3726.6089916228998</v>
      </c>
      <c r="B23">
        <v>11</v>
      </c>
      <c r="C23">
        <v>0.91507759487308005</v>
      </c>
      <c r="D23">
        <v>0.95521174116852503</v>
      </c>
      <c r="E23">
        <v>0.99273202061902299</v>
      </c>
      <c r="F23">
        <v>0.98758619635685596</v>
      </c>
      <c r="H23" s="13">
        <v>25.73561668396</v>
      </c>
      <c r="I23" s="13">
        <v>14</v>
      </c>
      <c r="J23" s="13">
        <v>0.91694804450824996</v>
      </c>
      <c r="K23" s="13">
        <v>0.96411577772051804</v>
      </c>
      <c r="L23" s="13">
        <v>0.98878370760124001</v>
      </c>
      <c r="M23" s="13">
        <v>0.98790374000327896</v>
      </c>
      <c r="O23">
        <v>5928.6425113677997</v>
      </c>
      <c r="P23">
        <v>14</v>
      </c>
      <c r="Q23">
        <v>0.85222932580538002</v>
      </c>
      <c r="T23">
        <v>25.207757949828999</v>
      </c>
      <c r="U23">
        <v>14</v>
      </c>
      <c r="V23">
        <v>0.87843982817638999</v>
      </c>
      <c r="W23">
        <v>0.92690339818053402</v>
      </c>
      <c r="X23">
        <v>0.96876915241654904</v>
      </c>
      <c r="Y23">
        <v>0.984901295017095</v>
      </c>
      <c r="Z23">
        <v>662.35542297362997</v>
      </c>
      <c r="AA23">
        <v>13</v>
      </c>
      <c r="AB23">
        <v>0.92724684374180499</v>
      </c>
      <c r="AC23">
        <v>0.96225021382474096</v>
      </c>
      <c r="AD23">
        <v>0.98068815772790596</v>
      </c>
      <c r="AE23">
        <v>0.99211499765824196</v>
      </c>
    </row>
    <row r="24" spans="1:31">
      <c r="A24">
        <v>3805.0451278687001</v>
      </c>
      <c r="B24">
        <v>12</v>
      </c>
      <c r="C24">
        <v>0.92409518470067997</v>
      </c>
      <c r="D24">
        <v>0.96055038445973295</v>
      </c>
      <c r="E24">
        <v>0.99315446800676099</v>
      </c>
      <c r="F24">
        <v>0.99038836184534795</v>
      </c>
      <c r="H24" s="13">
        <v>25.788068771361999</v>
      </c>
      <c r="I24" s="13">
        <v>15</v>
      </c>
      <c r="J24" s="13">
        <v>0.92750159696389001</v>
      </c>
      <c r="K24" s="13">
        <v>0.96159785350447502</v>
      </c>
      <c r="L24" s="13">
        <v>0.98906872116255296</v>
      </c>
      <c r="M24" s="13">
        <v>0.98958583030764102</v>
      </c>
      <c r="O24">
        <v>4832.2708606719998</v>
      </c>
      <c r="P24">
        <v>15</v>
      </c>
      <c r="Q24">
        <v>0.85943088061963002</v>
      </c>
      <c r="T24">
        <v>24.837255477905</v>
      </c>
      <c r="U24">
        <v>15</v>
      </c>
      <c r="V24">
        <v>0.87979417297485996</v>
      </c>
      <c r="W24">
        <v>0.90591289720993096</v>
      </c>
      <c r="X24">
        <v>0.97561893426913604</v>
      </c>
      <c r="Y24">
        <v>0.97819667411247002</v>
      </c>
      <c r="Z24">
        <v>676.30290985107001</v>
      </c>
      <c r="AA24">
        <v>14</v>
      </c>
      <c r="AB24">
        <v>0.92857957486380005</v>
      </c>
      <c r="AC24">
        <v>0.96296734339248402</v>
      </c>
      <c r="AD24">
        <v>0.99347668972508196</v>
      </c>
      <c r="AE24">
        <v>0.99209583508043697</v>
      </c>
    </row>
    <row r="25" spans="1:31">
      <c r="A25">
        <v>3710.0410461426</v>
      </c>
      <c r="B25">
        <v>13</v>
      </c>
      <c r="C25">
        <v>0.92461851775331005</v>
      </c>
      <c r="D25">
        <v>0.96152253147779898</v>
      </c>
      <c r="E25">
        <v>0.99084487505068397</v>
      </c>
      <c r="F25">
        <v>0.98913985588089803</v>
      </c>
      <c r="H25" s="13">
        <v>26.107549667358001</v>
      </c>
      <c r="I25" s="13">
        <v>16</v>
      </c>
      <c r="J25" s="13">
        <v>0.91860861934477001</v>
      </c>
      <c r="K25" s="13">
        <v>0.95794875327179996</v>
      </c>
      <c r="L25" s="13">
        <v>0.99593961702066702</v>
      </c>
      <c r="M25" s="13">
        <v>0.987190489078414</v>
      </c>
      <c r="O25">
        <v>4600.4810333251999</v>
      </c>
      <c r="P25">
        <v>16</v>
      </c>
      <c r="Q25">
        <v>0.86755416931669005</v>
      </c>
      <c r="T25">
        <v>25.155305862426999</v>
      </c>
      <c r="U25">
        <v>16</v>
      </c>
      <c r="V25">
        <v>0.87146869555942996</v>
      </c>
      <c r="W25">
        <v>0.93736066825519204</v>
      </c>
      <c r="X25">
        <v>0.97985688844678998</v>
      </c>
      <c r="Y25">
        <v>0.98504845668121999</v>
      </c>
      <c r="Z25">
        <v>961.69471740722997</v>
      </c>
      <c r="AA25">
        <v>15</v>
      </c>
      <c r="AB25">
        <v>0.92427537382139102</v>
      </c>
      <c r="AC25">
        <v>0.96064771850806896</v>
      </c>
      <c r="AD25">
        <v>0.99193369789271002</v>
      </c>
      <c r="AE25">
        <v>0.99077079042155303</v>
      </c>
    </row>
    <row r="26" spans="1:31">
      <c r="A26">
        <v>3625.7445812225001</v>
      </c>
      <c r="B26">
        <v>14</v>
      </c>
      <c r="C26">
        <v>0.91661288137754005</v>
      </c>
      <c r="D26">
        <v>0.95419980587812203</v>
      </c>
      <c r="E26">
        <v>0.99296603641965397</v>
      </c>
      <c r="F26">
        <v>0.98666239277771295</v>
      </c>
      <c r="H26" s="13">
        <v>25.110960006713999</v>
      </c>
      <c r="I26" s="13">
        <v>17</v>
      </c>
      <c r="J26" s="13">
        <v>0.91422229577780001</v>
      </c>
      <c r="K26" s="13">
        <v>0.96484496364879102</v>
      </c>
      <c r="L26" s="13">
        <v>0.99182382906692601</v>
      </c>
      <c r="M26" s="13">
        <v>0.99130542144012801</v>
      </c>
      <c r="O26">
        <v>4231.9834232330004</v>
      </c>
      <c r="P26">
        <v>17</v>
      </c>
      <c r="Q26">
        <v>0.86382880047703003</v>
      </c>
      <c r="T26">
        <v>24.856090545653998</v>
      </c>
      <c r="U26">
        <v>17</v>
      </c>
      <c r="V26">
        <v>0.85938362899206999</v>
      </c>
      <c r="W26">
        <v>0.91015808829937395</v>
      </c>
      <c r="X26">
        <v>0.963556515080221</v>
      </c>
      <c r="Y26">
        <v>0.98227164963640201</v>
      </c>
      <c r="Z26">
        <v>664.83259201049998</v>
      </c>
      <c r="AA26">
        <v>16</v>
      </c>
      <c r="AB26">
        <v>0.93435448577680502</v>
      </c>
      <c r="AC26">
        <v>0.96606334841628905</v>
      </c>
      <c r="AD26">
        <v>0.98929832303618703</v>
      </c>
      <c r="AE26">
        <v>0.99255541803116598</v>
      </c>
    </row>
    <row r="27" spans="1:31">
      <c r="A27">
        <v>4438.2512569426999</v>
      </c>
      <c r="B27">
        <v>15</v>
      </c>
      <c r="C27">
        <v>0.92001159252282005</v>
      </c>
      <c r="D27">
        <v>0.96075555719878503</v>
      </c>
      <c r="E27">
        <v>0.99238746690202995</v>
      </c>
      <c r="F27">
        <v>0.99069991318772899</v>
      </c>
      <c r="H27" s="13">
        <v>26.294469833373999</v>
      </c>
      <c r="I27" s="13">
        <v>18</v>
      </c>
      <c r="J27" s="13">
        <v>0.91285559382574</v>
      </c>
      <c r="K27" s="13">
        <v>0.96083302662250003</v>
      </c>
      <c r="L27" s="13">
        <v>0.99191007678302801</v>
      </c>
      <c r="M27" s="13">
        <v>0.99003085944531</v>
      </c>
      <c r="O27">
        <v>4111.6123199463</v>
      </c>
      <c r="P27">
        <v>18</v>
      </c>
      <c r="Q27">
        <v>0.87951558077316006</v>
      </c>
      <c r="T27">
        <v>25.172710418701001</v>
      </c>
      <c r="U27">
        <v>18</v>
      </c>
      <c r="V27">
        <v>0.85806285265423998</v>
      </c>
      <c r="W27">
        <v>0.92444763579039402</v>
      </c>
      <c r="X27">
        <v>0.96794738843375105</v>
      </c>
      <c r="Y27">
        <v>0.98435027764080296</v>
      </c>
      <c r="Z27">
        <v>660.47596931457997</v>
      </c>
      <c r="AA27">
        <v>17</v>
      </c>
      <c r="AB27">
        <v>0.92516082797240096</v>
      </c>
      <c r="AC27">
        <v>0.96112575586403304</v>
      </c>
      <c r="AD27">
        <v>0.99566839452585498</v>
      </c>
      <c r="AE27">
        <v>0.99093130715955002</v>
      </c>
    </row>
    <row r="28" spans="1:31">
      <c r="A28">
        <v>5437.1595382690002</v>
      </c>
      <c r="B28">
        <v>16</v>
      </c>
      <c r="C28">
        <v>0.91313364055299995</v>
      </c>
      <c r="D28">
        <v>0.95496240671381705</v>
      </c>
      <c r="E28">
        <v>0.98826618449020398</v>
      </c>
      <c r="F28">
        <v>0.99103115276999898</v>
      </c>
      <c r="H28" s="13">
        <v>26.956796646118001</v>
      </c>
      <c r="I28" s="13">
        <v>19</v>
      </c>
      <c r="J28" s="13">
        <v>0.92080514158521998</v>
      </c>
      <c r="K28" s="13">
        <v>0.96240574219628805</v>
      </c>
      <c r="L28" s="13">
        <v>0.99053587701868895</v>
      </c>
      <c r="M28" s="13">
        <v>0.99005905748538803</v>
      </c>
      <c r="O28">
        <v>5149.3837833404996</v>
      </c>
      <c r="P28">
        <v>19</v>
      </c>
      <c r="Q28">
        <v>0.82818686257176999</v>
      </c>
      <c r="T28">
        <v>24.729490280151001</v>
      </c>
      <c r="U28">
        <v>19</v>
      </c>
      <c r="V28">
        <v>0.87382321987226996</v>
      </c>
      <c r="W28">
        <v>0.93823896599838397</v>
      </c>
      <c r="X28">
        <v>0.97533590153152305</v>
      </c>
      <c r="Y28">
        <v>0.979885868872169</v>
      </c>
      <c r="Z28">
        <v>671.30827903748002</v>
      </c>
      <c r="AA28">
        <v>18</v>
      </c>
      <c r="AB28">
        <v>0.93419858083914897</v>
      </c>
      <c r="AC28">
        <v>0.96598000856132205</v>
      </c>
      <c r="AD28">
        <v>0.99224728462108103</v>
      </c>
      <c r="AE28">
        <v>0.99123450395236201</v>
      </c>
    </row>
    <row r="29" spans="1:31">
      <c r="A29">
        <v>5164.9572849274</v>
      </c>
      <c r="B29">
        <v>17</v>
      </c>
      <c r="C29">
        <v>0.92750214179430002</v>
      </c>
      <c r="D29">
        <v>0.95610242134525902</v>
      </c>
      <c r="E29">
        <v>0.99037241879190396</v>
      </c>
      <c r="F29">
        <v>0.98880159366526699</v>
      </c>
      <c r="H29" s="13">
        <v>26.045322418213001</v>
      </c>
      <c r="I29" s="13">
        <v>20</v>
      </c>
      <c r="J29" s="13">
        <v>0.92651942136667997</v>
      </c>
      <c r="K29" s="13">
        <v>0.95510864462477296</v>
      </c>
      <c r="L29" s="13">
        <v>0.99212797269172803</v>
      </c>
      <c r="M29" s="13">
        <v>0.98949813598875003</v>
      </c>
      <c r="O29">
        <v>5126.0385513306001</v>
      </c>
      <c r="P29">
        <v>20</v>
      </c>
      <c r="Q29">
        <v>0.87398428045164001</v>
      </c>
      <c r="T29">
        <v>24.940967559813998</v>
      </c>
      <c r="U29">
        <v>20</v>
      </c>
      <c r="V29">
        <v>0.85962017363923005</v>
      </c>
      <c r="W29">
        <v>0.92337553416669904</v>
      </c>
      <c r="X29">
        <v>0.95968719387670298</v>
      </c>
      <c r="Y29">
        <v>0.98456015291159005</v>
      </c>
      <c r="Z29">
        <v>681.11634254455998</v>
      </c>
      <c r="AA29">
        <v>19</v>
      </c>
      <c r="AB29">
        <v>0.94088215833649202</v>
      </c>
      <c r="AC29">
        <v>0.96954073620101799</v>
      </c>
      <c r="AD29">
        <v>0.98949977326390504</v>
      </c>
      <c r="AE29">
        <v>0.99282156333294902</v>
      </c>
    </row>
    <row r="30" spans="1:31">
      <c r="A30">
        <v>9086.5476131439009</v>
      </c>
      <c r="B30">
        <v>18</v>
      </c>
      <c r="C30">
        <v>0.91301042042364</v>
      </c>
      <c r="D30">
        <v>0.96220100964442101</v>
      </c>
      <c r="E30">
        <v>0.98978603022772305</v>
      </c>
      <c r="F30">
        <v>0.990610614220509</v>
      </c>
      <c r="H30" s="13">
        <v>25.021314620971999</v>
      </c>
      <c r="I30" s="13">
        <v>21</v>
      </c>
      <c r="J30" s="13">
        <v>0.90683384243802001</v>
      </c>
      <c r="K30" s="13">
        <v>0.96382517480145002</v>
      </c>
      <c r="L30" s="13">
        <v>0.99540313651843604</v>
      </c>
      <c r="M30" s="13">
        <v>0.98895316104959796</v>
      </c>
      <c r="O30">
        <v>4112.6453876494998</v>
      </c>
      <c r="P30">
        <v>21</v>
      </c>
      <c r="Q30">
        <v>0.87113040265977004</v>
      </c>
      <c r="T30">
        <v>24.760961532593001</v>
      </c>
      <c r="U30">
        <v>21</v>
      </c>
      <c r="V30">
        <v>0.87842446070730995</v>
      </c>
      <c r="W30">
        <v>0.92780452404248004</v>
      </c>
      <c r="X30">
        <v>0.98174849675353604</v>
      </c>
      <c r="Y30">
        <v>0.97826359079453795</v>
      </c>
      <c r="Z30">
        <v>667.05942153931005</v>
      </c>
      <c r="AA30">
        <v>20</v>
      </c>
      <c r="AB30">
        <v>0.93414555077238504</v>
      </c>
      <c r="AC30">
        <v>0.96595165798079796</v>
      </c>
      <c r="AD30">
        <v>0.99309117722492901</v>
      </c>
      <c r="AE30">
        <v>0.99147766635491297</v>
      </c>
    </row>
    <row r="31" spans="1:31">
      <c r="A31">
        <v>14051.740884781</v>
      </c>
      <c r="B31">
        <v>19</v>
      </c>
      <c r="C31">
        <v>0.91994438461414996</v>
      </c>
      <c r="D31">
        <v>0.95702846888318804</v>
      </c>
      <c r="E31">
        <v>0.98904388493559303</v>
      </c>
      <c r="F31">
        <v>0.99186295638544597</v>
      </c>
      <c r="H31" s="13">
        <v>25.583028793335</v>
      </c>
      <c r="I31" s="13">
        <v>22</v>
      </c>
      <c r="J31" s="13">
        <v>0.91802824915228998</v>
      </c>
      <c r="K31" s="13">
        <v>0.95833515394423696</v>
      </c>
      <c r="L31" s="13">
        <v>0.98901360181685505</v>
      </c>
      <c r="M31" s="13">
        <v>0.99012634266738697</v>
      </c>
      <c r="O31">
        <v>4081.2766551970999</v>
      </c>
      <c r="P31">
        <v>22</v>
      </c>
      <c r="Q31">
        <v>0.88213161163590004</v>
      </c>
      <c r="T31">
        <v>25.018930435181002</v>
      </c>
      <c r="U31">
        <v>22</v>
      </c>
      <c r="V31">
        <v>0.85765795174644999</v>
      </c>
      <c r="W31">
        <v>0.93694712639882405</v>
      </c>
      <c r="X31">
        <v>0.96315941340213096</v>
      </c>
      <c r="Y31">
        <v>0.98825240882562704</v>
      </c>
      <c r="Z31">
        <v>663.44666481017998</v>
      </c>
      <c r="AA31">
        <v>21</v>
      </c>
      <c r="AB31">
        <v>0.92482843909891099</v>
      </c>
      <c r="AC31">
        <v>0.96094635793292804</v>
      </c>
      <c r="AD31">
        <v>0.98993770548537796</v>
      </c>
      <c r="AE31">
        <v>0.99127863356327295</v>
      </c>
    </row>
    <row r="32" spans="1:31">
      <c r="A32">
        <v>7905.7652950287002</v>
      </c>
      <c r="B32">
        <v>20</v>
      </c>
      <c r="C32">
        <v>0.89405876914419002</v>
      </c>
      <c r="D32">
        <v>0.96331032855541698</v>
      </c>
      <c r="E32">
        <v>0.98332129094412302</v>
      </c>
      <c r="F32">
        <v>0.99155192899077405</v>
      </c>
      <c r="H32" s="13">
        <v>26.793241500853998</v>
      </c>
      <c r="I32" s="13">
        <v>23</v>
      </c>
      <c r="J32" s="13">
        <v>0.91508478170380003</v>
      </c>
      <c r="K32" s="13">
        <v>0.95612423796430401</v>
      </c>
      <c r="L32" s="13">
        <v>0.99037241879190396</v>
      </c>
      <c r="M32" s="13">
        <v>0.98880810373580397</v>
      </c>
      <c r="O32">
        <v>12836.832284927001</v>
      </c>
      <c r="P32">
        <v>23</v>
      </c>
      <c r="Q32">
        <v>0.87137047464664996</v>
      </c>
      <c r="T32">
        <v>24.87587928772</v>
      </c>
      <c r="U32">
        <v>23</v>
      </c>
      <c r="V32">
        <v>0.87100611557315999</v>
      </c>
      <c r="W32">
        <v>0.93132287179029205</v>
      </c>
      <c r="X32">
        <v>0.97815757803097703</v>
      </c>
      <c r="Y32">
        <v>0.98298418229572804</v>
      </c>
      <c r="Z32">
        <v>664.22319412231002</v>
      </c>
      <c r="AA32">
        <v>22</v>
      </c>
      <c r="AB32">
        <v>0.93251631767741705</v>
      </c>
      <c r="AC32">
        <v>0.965079890034932</v>
      </c>
      <c r="AD32">
        <v>0.98767981045862197</v>
      </c>
      <c r="AE32">
        <v>0.99248599521064096</v>
      </c>
    </row>
    <row r="33" spans="1:31">
      <c r="A33">
        <v>7033.6875915526998</v>
      </c>
      <c r="B33">
        <v>21</v>
      </c>
      <c r="C33">
        <v>0.91406726356664003</v>
      </c>
      <c r="D33">
        <v>0.96359546133762397</v>
      </c>
      <c r="E33">
        <v>0.99473156046161504</v>
      </c>
      <c r="F33">
        <v>0.98856057192701297</v>
      </c>
      <c r="H33" s="13">
        <v>25.923490524291999</v>
      </c>
      <c r="I33" s="13">
        <v>24</v>
      </c>
      <c r="J33" s="13">
        <v>0.91921558128639003</v>
      </c>
      <c r="K33" s="13">
        <v>0.96075950407111899</v>
      </c>
      <c r="L33" s="13">
        <v>0.99238746690202995</v>
      </c>
      <c r="M33" s="13">
        <v>0.99070098759701897</v>
      </c>
      <c r="O33">
        <v>11081.079959868999</v>
      </c>
      <c r="P33">
        <v>24</v>
      </c>
      <c r="Q33">
        <v>0.85995660905114002</v>
      </c>
      <c r="T33">
        <v>25.09069442749</v>
      </c>
      <c r="U33">
        <v>24</v>
      </c>
      <c r="V33">
        <v>0.89276484892993002</v>
      </c>
      <c r="W33">
        <v>0.93266345576807597</v>
      </c>
      <c r="X33">
        <v>0.96827323993162595</v>
      </c>
      <c r="Y33">
        <v>0.98534517675241595</v>
      </c>
      <c r="Z33">
        <v>666.80884361266999</v>
      </c>
      <c r="AA33">
        <v>23</v>
      </c>
      <c r="AB33">
        <v>0.93190389926647399</v>
      </c>
      <c r="AC33">
        <v>0.96475181774860497</v>
      </c>
      <c r="AD33">
        <v>0.98891488808527706</v>
      </c>
      <c r="AE33">
        <v>0.99157488371386504</v>
      </c>
    </row>
    <row r="34" spans="1:31">
      <c r="A34">
        <v>5239.4254207611002</v>
      </c>
      <c r="B34">
        <v>22</v>
      </c>
      <c r="C34">
        <v>0.92758599335309999</v>
      </c>
      <c r="D34">
        <v>0.96544318553740105</v>
      </c>
      <c r="E34">
        <v>0.99125536156587901</v>
      </c>
      <c r="F34">
        <v>0.99100695081165502</v>
      </c>
      <c r="H34" s="13">
        <v>25.076150894165</v>
      </c>
      <c r="I34" s="13">
        <v>25</v>
      </c>
      <c r="J34" s="13">
        <v>0.93318830688733001</v>
      </c>
      <c r="K34" s="13">
        <v>0.95702846888318804</v>
      </c>
      <c r="L34" s="13">
        <v>0.98904388493559303</v>
      </c>
      <c r="M34" s="13">
        <v>0.99186295638544597</v>
      </c>
      <c r="O34">
        <v>7301.3231754302997</v>
      </c>
      <c r="P34">
        <v>25</v>
      </c>
      <c r="Q34">
        <v>0.79882019682854999</v>
      </c>
      <c r="T34">
        <v>25.093793869018999</v>
      </c>
      <c r="U34">
        <v>25</v>
      </c>
      <c r="V34">
        <v>0.86695334575472005</v>
      </c>
      <c r="W34">
        <v>0.92879263964554504</v>
      </c>
      <c r="X34">
        <v>0.97613145911700605</v>
      </c>
      <c r="Y34">
        <v>0.98277568819723704</v>
      </c>
      <c r="Z34">
        <v>669.87681388855003</v>
      </c>
      <c r="AA34">
        <v>24</v>
      </c>
      <c r="AB34">
        <v>0.92030293291140197</v>
      </c>
      <c r="AC34">
        <v>0.95849765902936601</v>
      </c>
      <c r="AD34">
        <v>0.97798406165163299</v>
      </c>
      <c r="AE34">
        <v>0.99234042462108796</v>
      </c>
    </row>
    <row r="35" spans="1:31">
      <c r="A35">
        <v>4512.8774642943999</v>
      </c>
      <c r="B35">
        <v>23</v>
      </c>
      <c r="C35">
        <v>0.93168480971802003</v>
      </c>
      <c r="D35">
        <v>0.96011642672207598</v>
      </c>
      <c r="E35">
        <v>0.98700561140590304</v>
      </c>
      <c r="F35">
        <v>0.99125189930818902</v>
      </c>
      <c r="H35" s="13">
        <v>27.139663696288999</v>
      </c>
      <c r="I35" s="13">
        <v>26</v>
      </c>
      <c r="J35" s="13">
        <v>0.91593681234607005</v>
      </c>
      <c r="K35" s="13">
        <v>0.95790758500435902</v>
      </c>
      <c r="L35" s="13">
        <v>0.99156091065154195</v>
      </c>
      <c r="M35" s="13">
        <v>0.989381092261434</v>
      </c>
      <c r="O35">
        <v>5151.2298583984002</v>
      </c>
      <c r="P35">
        <v>26</v>
      </c>
      <c r="Q35">
        <v>0.85717942974174999</v>
      </c>
      <c r="T35">
        <v>24.699449539185</v>
      </c>
      <c r="U35">
        <v>26</v>
      </c>
      <c r="V35">
        <v>0.85337386300353002</v>
      </c>
      <c r="W35">
        <v>0.93891961952249003</v>
      </c>
      <c r="X35">
        <v>0.97417714449482296</v>
      </c>
      <c r="Y35">
        <v>0.98494895862442999</v>
      </c>
      <c r="Z35">
        <v>870.27025222778002</v>
      </c>
      <c r="AA35">
        <v>25</v>
      </c>
      <c r="AB35">
        <v>0.93616167899941005</v>
      </c>
      <c r="AC35">
        <v>0.96702841415930696</v>
      </c>
      <c r="AD35">
        <v>0.99332105820840999</v>
      </c>
      <c r="AE35">
        <v>0.99246870172416302</v>
      </c>
    </row>
    <row r="36" spans="1:31">
      <c r="A36">
        <v>5064.3496513366999</v>
      </c>
      <c r="B36">
        <v>24</v>
      </c>
      <c r="C36">
        <v>0.93209172494521997</v>
      </c>
      <c r="D36">
        <v>0.96485245799771602</v>
      </c>
      <c r="E36">
        <v>0.99182382906692601</v>
      </c>
      <c r="F36">
        <v>0.99130758750354697</v>
      </c>
      <c r="H36" s="13">
        <v>25.019407272338999</v>
      </c>
      <c r="I36" s="13">
        <v>27</v>
      </c>
      <c r="J36" s="13">
        <v>0.91313364055299995</v>
      </c>
      <c r="K36" s="13">
        <v>0.96331770188167198</v>
      </c>
      <c r="L36" s="13">
        <v>0.98332881743737899</v>
      </c>
      <c r="M36" s="13">
        <v>0.99155302103718201</v>
      </c>
      <c r="O36">
        <v>5657.1993827819997</v>
      </c>
      <c r="P36">
        <v>27</v>
      </c>
      <c r="Q36">
        <v>0.87834482758621002</v>
      </c>
      <c r="T36">
        <v>24.665594100951999</v>
      </c>
      <c r="U36">
        <v>27</v>
      </c>
      <c r="V36">
        <v>0.85950964969497001</v>
      </c>
      <c r="W36">
        <v>0.92308063421173203</v>
      </c>
      <c r="X36">
        <v>0.97728499919734901</v>
      </c>
      <c r="Y36">
        <v>0.97892773688194501</v>
      </c>
      <c r="Z36">
        <v>672.10006713867006</v>
      </c>
      <c r="AA36">
        <v>26</v>
      </c>
      <c r="AB36">
        <v>0.91350683711073</v>
      </c>
      <c r="AC36">
        <v>0.954798613095175</v>
      </c>
      <c r="AD36">
        <v>0.95742934955611303</v>
      </c>
      <c r="AE36">
        <v>0.99250780689387497</v>
      </c>
    </row>
    <row r="37" spans="1:31">
      <c r="A37">
        <v>4342.8585529327001</v>
      </c>
      <c r="B37">
        <v>25</v>
      </c>
      <c r="C37">
        <v>0.91485451186692002</v>
      </c>
      <c r="D37">
        <v>0.95830315918138398</v>
      </c>
      <c r="E37">
        <v>0.994154840278622</v>
      </c>
      <c r="F37">
        <v>0.99004968728506804</v>
      </c>
      <c r="H37" s="13">
        <v>25.867462158203001</v>
      </c>
      <c r="I37" s="13">
        <v>28</v>
      </c>
      <c r="J37" s="13">
        <v>0.93017621289608998</v>
      </c>
      <c r="K37" s="13">
        <v>0.95004131662305402</v>
      </c>
      <c r="L37" s="13">
        <v>0.99227733275795404</v>
      </c>
      <c r="M37" s="13">
        <v>0.98853250404066795</v>
      </c>
      <c r="O37">
        <v>5333.9784145354997</v>
      </c>
      <c r="P37">
        <v>28</v>
      </c>
      <c r="Q37">
        <v>0.86458465268605</v>
      </c>
      <c r="T37">
        <v>24.99532699585</v>
      </c>
      <c r="U37">
        <v>28</v>
      </c>
      <c r="V37">
        <v>0.86705214510309003</v>
      </c>
      <c r="W37">
        <v>0.917540591802539</v>
      </c>
      <c r="X37">
        <v>0.96985552588756696</v>
      </c>
      <c r="Y37">
        <v>0.98289103798494604</v>
      </c>
      <c r="Z37">
        <v>666.65339469909998</v>
      </c>
      <c r="AA37">
        <v>27</v>
      </c>
      <c r="AB37">
        <v>0.92897621995860402</v>
      </c>
      <c r="AC37">
        <v>0.96318058288820096</v>
      </c>
      <c r="AD37">
        <v>0.988535485174035</v>
      </c>
      <c r="AE37">
        <v>0.99294306708744295</v>
      </c>
    </row>
    <row r="38" spans="1:31">
      <c r="A38">
        <v>4371.1521625518999</v>
      </c>
      <c r="B38">
        <v>26</v>
      </c>
      <c r="C38">
        <v>0.91281642415786002</v>
      </c>
      <c r="D38">
        <v>0.95946038532160305</v>
      </c>
      <c r="E38">
        <v>0.99062002617338096</v>
      </c>
      <c r="F38">
        <v>0.98841724802719499</v>
      </c>
      <c r="H38" s="13">
        <v>25.134563446045</v>
      </c>
      <c r="I38" s="13">
        <v>29</v>
      </c>
      <c r="J38" s="13">
        <v>0.92590869206838999</v>
      </c>
      <c r="K38" s="13">
        <v>0.94618782309754601</v>
      </c>
      <c r="L38" s="13">
        <v>0.99225153803382704</v>
      </c>
      <c r="M38" s="13">
        <v>0.987491862934465</v>
      </c>
      <c r="O38">
        <v>5109.7977161406998</v>
      </c>
      <c r="P38">
        <v>29</v>
      </c>
      <c r="Q38">
        <v>0.86382038730334998</v>
      </c>
      <c r="T38">
        <v>24.903059005736999</v>
      </c>
      <c r="U38">
        <v>29</v>
      </c>
      <c r="V38">
        <v>0.86987969063306003</v>
      </c>
      <c r="W38">
        <v>0.93757699757605195</v>
      </c>
      <c r="X38">
        <v>0.97089505057803405</v>
      </c>
      <c r="Y38">
        <v>0.98546486231478803</v>
      </c>
      <c r="Z38">
        <v>667.28401184081997</v>
      </c>
      <c r="AA38">
        <v>28</v>
      </c>
      <c r="AB38">
        <v>0.91008285490605401</v>
      </c>
      <c r="AC38">
        <v>0.95292500277514403</v>
      </c>
      <c r="AD38">
        <v>0.97662533145472497</v>
      </c>
      <c r="AE38">
        <v>0.99105754318441297</v>
      </c>
    </row>
    <row r="39" spans="1:31">
      <c r="A39">
        <v>4436.5031719208</v>
      </c>
      <c r="B39">
        <v>27</v>
      </c>
      <c r="C39">
        <v>0.91165385665794996</v>
      </c>
      <c r="D39">
        <v>0.96074398378044801</v>
      </c>
      <c r="E39">
        <v>0.99178742862342695</v>
      </c>
      <c r="F39">
        <v>0.98952225634200697</v>
      </c>
      <c r="H39" s="13">
        <v>26.001214981078999</v>
      </c>
      <c r="I39" s="13">
        <v>30</v>
      </c>
      <c r="J39" s="13">
        <v>0.91428372836589</v>
      </c>
      <c r="K39" s="13">
        <v>0.95980144013150004</v>
      </c>
      <c r="L39" s="13">
        <v>0.99310374005753899</v>
      </c>
      <c r="M39" s="13">
        <v>0.99030950262038897</v>
      </c>
      <c r="O39">
        <v>9542.4191951752</v>
      </c>
      <c r="P39">
        <v>30</v>
      </c>
      <c r="Q39">
        <v>0.85770885888114001</v>
      </c>
      <c r="T39">
        <v>24.628400802611999</v>
      </c>
      <c r="U39">
        <v>30</v>
      </c>
      <c r="V39">
        <v>0.79881008869584003</v>
      </c>
      <c r="W39">
        <v>0.92275483482474197</v>
      </c>
      <c r="X39">
        <v>0.98440324484216501</v>
      </c>
      <c r="Y39">
        <v>0.97816119348159203</v>
      </c>
      <c r="Z39">
        <v>666.53251647949003</v>
      </c>
      <c r="AA39">
        <v>29</v>
      </c>
      <c r="AB39">
        <v>0.92999765721744299</v>
      </c>
      <c r="AC39">
        <v>0.963729312043061</v>
      </c>
      <c r="AD39">
        <v>0.99495137566061698</v>
      </c>
      <c r="AE39">
        <v>0.98926984797576001</v>
      </c>
    </row>
    <row r="40" spans="1:31">
      <c r="A40">
        <v>5151.0846614838001</v>
      </c>
      <c r="B40">
        <v>28</v>
      </c>
      <c r="C40">
        <v>0.88813811305626</v>
      </c>
      <c r="D40">
        <v>0.961855200332842</v>
      </c>
      <c r="E40">
        <v>0.99020987578779895</v>
      </c>
      <c r="F40">
        <v>0.98878300234389904</v>
      </c>
      <c r="H40" s="13">
        <v>25.045871734618999</v>
      </c>
      <c r="I40" s="13">
        <v>31</v>
      </c>
      <c r="J40" s="13">
        <v>0.92715600225464001</v>
      </c>
      <c r="K40" s="13">
        <v>0.94892854008100203</v>
      </c>
      <c r="L40" s="13">
        <v>0.99341903753423899</v>
      </c>
      <c r="M40" s="13">
        <v>0.98772673221970897</v>
      </c>
      <c r="O40">
        <v>16190.443992615001</v>
      </c>
      <c r="P40">
        <v>31</v>
      </c>
      <c r="Q40">
        <v>0.85378266956461002</v>
      </c>
      <c r="T40">
        <v>25.017261505126999</v>
      </c>
      <c r="U40">
        <v>31</v>
      </c>
      <c r="V40">
        <v>0.86392822354601995</v>
      </c>
      <c r="W40">
        <v>0.92699730883675602</v>
      </c>
      <c r="X40">
        <v>0.97733900045726796</v>
      </c>
      <c r="Y40">
        <v>0.98086486191165601</v>
      </c>
      <c r="Z40">
        <v>669.15774345397995</v>
      </c>
      <c r="AA40">
        <v>30</v>
      </c>
      <c r="AB40">
        <v>0.93270712607128103</v>
      </c>
      <c r="AC40">
        <v>0.965182063531007</v>
      </c>
      <c r="AD40">
        <v>0.98102537773214005</v>
      </c>
      <c r="AE40">
        <v>0.99225748600142905</v>
      </c>
    </row>
    <row r="41" spans="1:31">
      <c r="A41">
        <v>4190.3162002563004</v>
      </c>
      <c r="B41">
        <v>29</v>
      </c>
      <c r="C41">
        <v>0.91953114060015995</v>
      </c>
      <c r="D41">
        <v>0.95790758500435902</v>
      </c>
      <c r="E41">
        <v>0.99156091065154195</v>
      </c>
      <c r="F41">
        <v>0.989381092261434</v>
      </c>
      <c r="H41" s="13">
        <v>26.461362838745</v>
      </c>
      <c r="I41" s="13">
        <v>32</v>
      </c>
      <c r="J41" s="13">
        <v>0.91929140364213002</v>
      </c>
      <c r="K41" s="13">
        <v>0.95970677230269896</v>
      </c>
      <c r="L41" s="13">
        <v>0.992396931564826</v>
      </c>
      <c r="M41" s="13">
        <v>0.98906425134322995</v>
      </c>
      <c r="O41">
        <v>10099.493026733</v>
      </c>
      <c r="P41">
        <v>32</v>
      </c>
      <c r="Q41">
        <v>0.86861061439319998</v>
      </c>
      <c r="T41">
        <v>24.611949920653998</v>
      </c>
      <c r="U41">
        <v>32</v>
      </c>
      <c r="V41">
        <v>0.85664744972054996</v>
      </c>
      <c r="W41">
        <v>0.92458676615368596</v>
      </c>
      <c r="X41">
        <v>0.97907628377241396</v>
      </c>
      <c r="Y41">
        <v>0.97919593283831696</v>
      </c>
      <c r="Z41">
        <v>653.64694595337005</v>
      </c>
      <c r="AA41">
        <v>31</v>
      </c>
      <c r="AB41">
        <v>0.91151124500805702</v>
      </c>
      <c r="AC41">
        <v>0.95370743686544701</v>
      </c>
      <c r="AD41">
        <v>0.98974069163388101</v>
      </c>
      <c r="AE41">
        <v>0.99174439294055095</v>
      </c>
    </row>
    <row r="42" spans="1:31">
      <c r="A42">
        <v>4158.8585376740002</v>
      </c>
      <c r="B42">
        <v>30</v>
      </c>
      <c r="C42">
        <v>0.91589677080904996</v>
      </c>
      <c r="D42">
        <v>0.95283687443973497</v>
      </c>
      <c r="E42">
        <v>0.99634871714336104</v>
      </c>
      <c r="F42">
        <v>0.98977811204042698</v>
      </c>
      <c r="H42" s="13">
        <v>25.027990341187</v>
      </c>
      <c r="I42" s="13">
        <v>33</v>
      </c>
      <c r="J42" s="13">
        <v>0.91612037875962005</v>
      </c>
      <c r="K42" s="13">
        <v>0.96124082390176802</v>
      </c>
      <c r="L42" s="13">
        <v>0.98778718505854302</v>
      </c>
      <c r="M42" s="13">
        <v>0.98901928777295101</v>
      </c>
      <c r="O42">
        <v>11408.508300781001</v>
      </c>
      <c r="P42">
        <v>33</v>
      </c>
      <c r="Q42">
        <v>0.88249298761716</v>
      </c>
      <c r="T42">
        <v>24.913787841796999</v>
      </c>
      <c r="U42">
        <v>33</v>
      </c>
      <c r="V42">
        <v>0.88248936199324002</v>
      </c>
      <c r="W42">
        <v>0.93719367561914202</v>
      </c>
      <c r="X42">
        <v>0.97528756482212597</v>
      </c>
      <c r="Y42">
        <v>0.98358808765207895</v>
      </c>
      <c r="Z42">
        <v>664.60371017455998</v>
      </c>
      <c r="AA42">
        <v>32</v>
      </c>
      <c r="AB42">
        <v>0.87858821554473698</v>
      </c>
      <c r="AC42">
        <v>0.93537073029064099</v>
      </c>
      <c r="AD42">
        <v>0.96575235037412199</v>
      </c>
      <c r="AE42">
        <v>0.98856293787738403</v>
      </c>
    </row>
    <row r="43" spans="1:31">
      <c r="A43">
        <v>4604.3047904967998</v>
      </c>
      <c r="B43">
        <v>31</v>
      </c>
      <c r="C43">
        <v>0.90342131979694995</v>
      </c>
      <c r="D43">
        <v>0.96138487680543705</v>
      </c>
      <c r="E43">
        <v>0.99080600674226105</v>
      </c>
      <c r="F43">
        <v>0.989415597950698</v>
      </c>
      <c r="H43" s="13">
        <v>25.701999664306999</v>
      </c>
      <c r="I43" s="13">
        <v>34</v>
      </c>
      <c r="J43" s="13">
        <v>0.92564113051659003</v>
      </c>
      <c r="K43" s="13">
        <v>0.96152916893892804</v>
      </c>
      <c r="L43" s="13">
        <v>0.99084487505068397</v>
      </c>
      <c r="M43" s="13">
        <v>0.98914205852649595</v>
      </c>
      <c r="O43">
        <v>8701.3602256774993</v>
      </c>
      <c r="P43">
        <v>34</v>
      </c>
      <c r="Q43">
        <v>0.87268607419925004</v>
      </c>
      <c r="T43">
        <v>25.944709777831999</v>
      </c>
      <c r="U43">
        <v>34</v>
      </c>
      <c r="V43">
        <v>0.87460085675680999</v>
      </c>
      <c r="W43">
        <v>0.92832046370367405</v>
      </c>
      <c r="X43">
        <v>0.95009396109502697</v>
      </c>
      <c r="Y43">
        <v>0.98996875167739995</v>
      </c>
      <c r="Z43">
        <v>667.78111457825003</v>
      </c>
      <c r="AA43">
        <v>33</v>
      </c>
      <c r="AB43">
        <v>0.92994689745144499</v>
      </c>
      <c r="AC43">
        <v>0.963702056962778</v>
      </c>
      <c r="AD43">
        <v>0.99351210223592001</v>
      </c>
      <c r="AE43">
        <v>0.99264387436700696</v>
      </c>
    </row>
    <row r="44" spans="1:31">
      <c r="A44">
        <v>4072.5200176239</v>
      </c>
      <c r="B44">
        <v>32</v>
      </c>
      <c r="C44">
        <v>0.92437841593661996</v>
      </c>
      <c r="D44">
        <v>0.95795205245919701</v>
      </c>
      <c r="E44">
        <v>0.99593961702066702</v>
      </c>
      <c r="F44">
        <v>0.98719158926830697</v>
      </c>
      <c r="H44" s="13">
        <v>25.146245956421001</v>
      </c>
      <c r="I44" s="13">
        <v>35</v>
      </c>
      <c r="J44" s="13">
        <v>0.93207773692504003</v>
      </c>
      <c r="K44" s="13">
        <v>0.95459472479826502</v>
      </c>
      <c r="L44" s="13">
        <v>0.99284490274479098</v>
      </c>
      <c r="M44" s="13">
        <v>0.99081880337736405</v>
      </c>
      <c r="O44">
        <v>8278.7563800812004</v>
      </c>
      <c r="P44">
        <v>35</v>
      </c>
      <c r="Q44">
        <v>0.86987969063306003</v>
      </c>
      <c r="T44">
        <v>24.899482727051002</v>
      </c>
      <c r="U44">
        <v>35</v>
      </c>
      <c r="V44">
        <v>0.82800802139037</v>
      </c>
      <c r="W44">
        <v>0.93433806072592296</v>
      </c>
      <c r="X44">
        <v>0.96872296245025002</v>
      </c>
      <c r="Y44">
        <v>0.98700744697726395</v>
      </c>
      <c r="Z44">
        <v>663.17057609558003</v>
      </c>
      <c r="AA44">
        <v>34</v>
      </c>
      <c r="AB44">
        <v>0.936023002965226</v>
      </c>
      <c r="AC44">
        <v>0.96695442309477397</v>
      </c>
      <c r="AD44">
        <v>0.98950368083590601</v>
      </c>
      <c r="AE44">
        <v>0.99217345480490005</v>
      </c>
    </row>
    <row r="45" spans="1:31">
      <c r="A45">
        <v>4824.4318962097004</v>
      </c>
      <c r="B45">
        <v>33</v>
      </c>
      <c r="C45">
        <v>0.91671922902029002</v>
      </c>
      <c r="D45">
        <v>0.95655035452308701</v>
      </c>
      <c r="E45">
        <v>0.99048275643463901</v>
      </c>
      <c r="F45">
        <v>0.98899156967163304</v>
      </c>
      <c r="H45" s="13">
        <v>25.741338729858001</v>
      </c>
      <c r="I45" s="13">
        <v>36</v>
      </c>
      <c r="J45" s="13">
        <v>0.92204320544644003</v>
      </c>
      <c r="K45" s="13">
        <v>0.96070337131349803</v>
      </c>
      <c r="L45" s="13">
        <v>0.99547951123179401</v>
      </c>
      <c r="M45" s="13">
        <v>0.98914950203712004</v>
      </c>
      <c r="O45">
        <v>10641.392946243001</v>
      </c>
      <c r="P45">
        <v>36</v>
      </c>
      <c r="Q45">
        <v>0.86402236002077004</v>
      </c>
      <c r="T45">
        <v>25.360584259033001</v>
      </c>
      <c r="U45">
        <v>36</v>
      </c>
      <c r="V45">
        <v>0.86864724886335998</v>
      </c>
      <c r="W45">
        <v>0.91608885090734804</v>
      </c>
      <c r="X45">
        <v>0.97781094733641505</v>
      </c>
      <c r="Y45">
        <v>0.97487346008529996</v>
      </c>
      <c r="Z45">
        <v>657.20319747924998</v>
      </c>
      <c r="AA45">
        <v>35</v>
      </c>
      <c r="AB45">
        <v>0.93259511077847002</v>
      </c>
      <c r="AC45">
        <v>0.96512208436956104</v>
      </c>
      <c r="AD45">
        <v>0.99322942176380702</v>
      </c>
      <c r="AE45">
        <v>0.99283179928190901</v>
      </c>
    </row>
    <row r="46" spans="1:31">
      <c r="A46">
        <v>4183.5825443268004</v>
      </c>
      <c r="B46">
        <v>34</v>
      </c>
      <c r="C46">
        <v>0.91759788290521005</v>
      </c>
      <c r="D46">
        <v>0.94473074216648001</v>
      </c>
      <c r="E46">
        <v>0.99218597169995804</v>
      </c>
      <c r="F46">
        <v>0.98958457475835304</v>
      </c>
      <c r="H46" s="13">
        <v>26.534080505371001</v>
      </c>
      <c r="I46" s="13">
        <v>37</v>
      </c>
      <c r="J46" s="13">
        <v>0.91407459704917005</v>
      </c>
      <c r="K46" s="13">
        <v>0.95394261512269996</v>
      </c>
      <c r="L46" s="13">
        <v>0.99155783058689395</v>
      </c>
      <c r="M46" s="13">
        <v>0.98915655029488703</v>
      </c>
      <c r="O46">
        <v>7159.7144603729002</v>
      </c>
      <c r="P46">
        <v>37</v>
      </c>
      <c r="Q46">
        <v>0.88388704318936995</v>
      </c>
      <c r="T46">
        <v>24.965524673461999</v>
      </c>
      <c r="U46">
        <v>37</v>
      </c>
      <c r="V46">
        <v>0.83607564307783999</v>
      </c>
      <c r="W46">
        <v>0.91404880726970605</v>
      </c>
      <c r="X46">
        <v>0.980067774096408</v>
      </c>
      <c r="Y46">
        <v>0.97622361439049299</v>
      </c>
      <c r="Z46">
        <v>862.14351654052996</v>
      </c>
      <c r="AA46">
        <v>36</v>
      </c>
      <c r="AB46">
        <v>0.92174435028248503</v>
      </c>
      <c r="AC46">
        <v>0.95927884491711302</v>
      </c>
      <c r="AD46">
        <v>0.98505649099238402</v>
      </c>
      <c r="AE46">
        <v>0.99006524560708298</v>
      </c>
    </row>
    <row r="47" spans="1:31">
      <c r="A47">
        <v>4177.7174472809002</v>
      </c>
      <c r="B47">
        <v>35</v>
      </c>
      <c r="C47">
        <v>0.92252190224607999</v>
      </c>
      <c r="D47">
        <v>0.94406655559917996</v>
      </c>
      <c r="E47">
        <v>0.99051415083836203</v>
      </c>
      <c r="F47">
        <v>0.98989317429424295</v>
      </c>
      <c r="H47" s="13">
        <v>26.034355163573998</v>
      </c>
      <c r="I47" s="13">
        <v>38</v>
      </c>
      <c r="J47" s="13">
        <v>0.91384385532739998</v>
      </c>
      <c r="K47" s="13">
        <v>0.96089763110252902</v>
      </c>
      <c r="L47" s="13">
        <v>0.99213605047301101</v>
      </c>
      <c r="M47" s="13">
        <v>0.98833122202983803</v>
      </c>
      <c r="O47">
        <v>6922.3074913025002</v>
      </c>
      <c r="P47">
        <v>38</v>
      </c>
      <c r="Q47">
        <v>0.84523489532000995</v>
      </c>
      <c r="T47">
        <v>24.828195571898998</v>
      </c>
      <c r="U47">
        <v>38</v>
      </c>
      <c r="V47">
        <v>0.85668442615744</v>
      </c>
      <c r="W47">
        <v>0.91989024587076895</v>
      </c>
      <c r="X47">
        <v>0.96525039517795996</v>
      </c>
      <c r="Y47">
        <v>0.98354898772066202</v>
      </c>
      <c r="Z47">
        <v>761.11292839049997</v>
      </c>
      <c r="AA47">
        <v>37</v>
      </c>
      <c r="AB47">
        <v>0.932667154114875</v>
      </c>
      <c r="AC47">
        <v>0.96516066114034904</v>
      </c>
      <c r="AD47">
        <v>0.99210135158491397</v>
      </c>
      <c r="AE47">
        <v>0.99209527689042298</v>
      </c>
    </row>
    <row r="48" spans="1:31">
      <c r="A48">
        <v>4056.2396049499998</v>
      </c>
      <c r="B48">
        <v>36</v>
      </c>
      <c r="C48">
        <v>0.91695478409727005</v>
      </c>
      <c r="D48">
        <v>0.96160121299780199</v>
      </c>
      <c r="E48">
        <v>0.98906872116255296</v>
      </c>
      <c r="F48">
        <v>0.98958692989265795</v>
      </c>
      <c r="H48" s="13">
        <v>26.203393936156999</v>
      </c>
      <c r="I48" s="13">
        <v>39</v>
      </c>
      <c r="J48" s="13">
        <v>0.92976652216899003</v>
      </c>
      <c r="K48" s="13">
        <v>0.95876996749945298</v>
      </c>
      <c r="L48" s="13">
        <v>0.989372401504652</v>
      </c>
      <c r="M48" s="13">
        <v>0.98980484679079805</v>
      </c>
      <c r="O48">
        <v>6188.4126663207999</v>
      </c>
      <c r="P48">
        <v>39</v>
      </c>
      <c r="Q48">
        <v>0.87687668872615998</v>
      </c>
      <c r="T48">
        <v>24.650096893311002</v>
      </c>
      <c r="U48">
        <v>39</v>
      </c>
      <c r="V48">
        <v>0.83512854344089005</v>
      </c>
      <c r="W48">
        <v>0.925093392459857</v>
      </c>
      <c r="X48">
        <v>0.97039431976670398</v>
      </c>
      <c r="Y48">
        <v>0.98255065135561703</v>
      </c>
      <c r="Z48">
        <v>665.22431373595998</v>
      </c>
      <c r="AA48">
        <v>38</v>
      </c>
      <c r="AB48">
        <v>0.93016868823154697</v>
      </c>
      <c r="AC48">
        <v>0.963821135326553</v>
      </c>
      <c r="AD48">
        <v>0.99360582937660402</v>
      </c>
      <c r="AE48">
        <v>0.98977726455741799</v>
      </c>
    </row>
    <row r="49" spans="1:31">
      <c r="A49">
        <v>3776.8588066101001</v>
      </c>
      <c r="B49">
        <v>37</v>
      </c>
      <c r="C49">
        <v>0.91927738178518004</v>
      </c>
      <c r="D49">
        <v>0.95794114025366295</v>
      </c>
      <c r="E49">
        <v>0.99012350707136498</v>
      </c>
      <c r="F49">
        <v>0.99203567478952703</v>
      </c>
      <c r="H49" s="13">
        <v>25.991201400756999</v>
      </c>
      <c r="I49" s="13">
        <v>40</v>
      </c>
      <c r="J49" s="13">
        <v>0.92000335575587999</v>
      </c>
      <c r="K49" s="13">
        <v>0.95463391327654301</v>
      </c>
      <c r="L49" s="13">
        <v>0.98486791484996095</v>
      </c>
      <c r="M49" s="13">
        <v>0.98940147736326101</v>
      </c>
      <c r="O49">
        <v>5168.5841083527002</v>
      </c>
      <c r="P49">
        <v>40</v>
      </c>
      <c r="Q49">
        <v>0.88122248363577005</v>
      </c>
      <c r="T49">
        <v>24.890661239623999</v>
      </c>
      <c r="U49">
        <v>40</v>
      </c>
      <c r="V49">
        <v>0.86405639051808003</v>
      </c>
      <c r="W49">
        <v>0.89636022514071201</v>
      </c>
      <c r="X49">
        <v>0.95997428066227297</v>
      </c>
      <c r="Y49">
        <v>0.97958887124676097</v>
      </c>
      <c r="Z49">
        <v>665.10796546936001</v>
      </c>
      <c r="AA49">
        <v>39</v>
      </c>
      <c r="AB49">
        <v>0.93979533497356504</v>
      </c>
      <c r="AC49">
        <v>0.96896339322970104</v>
      </c>
      <c r="AD49">
        <v>0.99196512116732805</v>
      </c>
      <c r="AE49">
        <v>0.990914377412345</v>
      </c>
    </row>
    <row r="50" spans="1:31">
      <c r="A50">
        <v>3777.0855426787998</v>
      </c>
      <c r="B50">
        <v>38</v>
      </c>
      <c r="C50">
        <v>0.92445361757471001</v>
      </c>
      <c r="D50">
        <v>0.96124082390176802</v>
      </c>
      <c r="E50">
        <v>0.98778718505854302</v>
      </c>
      <c r="F50">
        <v>0.98901928777295101</v>
      </c>
      <c r="H50" s="13">
        <v>25.075674057006999</v>
      </c>
      <c r="I50" s="13">
        <v>41</v>
      </c>
      <c r="J50" s="13">
        <v>0.89787140805180998</v>
      </c>
      <c r="K50" s="13">
        <v>0.96219297769997603</v>
      </c>
      <c r="L50" s="13">
        <v>0.99082729796126701</v>
      </c>
      <c r="M50" s="13">
        <v>0.99067161754065103</v>
      </c>
      <c r="O50">
        <v>13466.912508011001</v>
      </c>
      <c r="P50">
        <v>41</v>
      </c>
      <c r="Q50">
        <v>0.85932381529585999</v>
      </c>
      <c r="T50">
        <v>24.999618530273001</v>
      </c>
      <c r="U50">
        <v>41</v>
      </c>
      <c r="V50">
        <v>0.87398428045164001</v>
      </c>
      <c r="W50">
        <v>0.92468153403476905</v>
      </c>
      <c r="X50">
        <v>0.96128831835172202</v>
      </c>
      <c r="Y50">
        <v>0.98760101055347504</v>
      </c>
      <c r="Z50">
        <v>670.34983634949003</v>
      </c>
      <c r="AA50">
        <v>40</v>
      </c>
      <c r="AB50">
        <v>0.93054479899513798</v>
      </c>
      <c r="AC50">
        <v>0.96402300478030101</v>
      </c>
      <c r="AD50">
        <v>0.98032238380264702</v>
      </c>
      <c r="AE50">
        <v>0.99135727934863804</v>
      </c>
    </row>
    <row r="51" spans="1:31">
      <c r="A51">
        <v>4027.2660255432002</v>
      </c>
      <c r="B51">
        <v>39</v>
      </c>
      <c r="C51">
        <v>0.91426347213824</v>
      </c>
      <c r="D51">
        <v>0.96463440104809395</v>
      </c>
      <c r="E51">
        <v>0.99303372894872599</v>
      </c>
      <c r="F51">
        <v>0.99085235381904901</v>
      </c>
      <c r="H51" s="13">
        <v>25.917291641235</v>
      </c>
      <c r="I51" s="13">
        <v>42</v>
      </c>
      <c r="J51" s="13">
        <v>0.91241728818765</v>
      </c>
      <c r="K51" s="13">
        <v>0.95802589478719602</v>
      </c>
      <c r="L51" s="13">
        <v>0.99627373499403904</v>
      </c>
      <c r="M51" s="13">
        <v>0.99054812188506702</v>
      </c>
      <c r="O51">
        <v>6187.9177093505996</v>
      </c>
      <c r="P51">
        <v>42</v>
      </c>
      <c r="Q51">
        <v>0.86692456241015003</v>
      </c>
      <c r="T51">
        <v>25.866270065308001</v>
      </c>
      <c r="U51">
        <v>42</v>
      </c>
      <c r="V51">
        <v>0.86533150423331995</v>
      </c>
      <c r="W51">
        <v>0.92925535905363199</v>
      </c>
      <c r="X51">
        <v>0.97087530836695402</v>
      </c>
      <c r="Y51">
        <v>0.98448628545364103</v>
      </c>
      <c r="Z51">
        <v>662.83559799193995</v>
      </c>
      <c r="AA51">
        <v>41</v>
      </c>
      <c r="AB51">
        <v>0.91828727523078402</v>
      </c>
      <c r="AC51">
        <v>0.957403291037633</v>
      </c>
      <c r="AD51">
        <v>0.96347876067015104</v>
      </c>
      <c r="AE51">
        <v>0.99311176316467498</v>
      </c>
    </row>
    <row r="52" spans="1:31">
      <c r="A52">
        <v>3740.4422760010002</v>
      </c>
      <c r="B52">
        <v>40</v>
      </c>
      <c r="C52">
        <v>0.92230710466004995</v>
      </c>
      <c r="D52">
        <v>0.958078898696751</v>
      </c>
      <c r="E52">
        <v>0.98950503474684404</v>
      </c>
      <c r="F52">
        <v>0.99082563905274801</v>
      </c>
      <c r="H52" s="13">
        <v>25.249242782593001</v>
      </c>
      <c r="I52" s="13">
        <v>43</v>
      </c>
      <c r="J52" s="13">
        <v>0.91822117879229004</v>
      </c>
      <c r="K52" s="13">
        <v>0.956492456336552</v>
      </c>
      <c r="L52" s="13">
        <v>0.99410626015417003</v>
      </c>
      <c r="M52" s="13">
        <v>0.98951289582573998</v>
      </c>
      <c r="O52">
        <v>7230.1425933838</v>
      </c>
      <c r="P52">
        <v>43</v>
      </c>
      <c r="Q52">
        <v>0.85443144391585002</v>
      </c>
      <c r="T52">
        <v>24.837017059326001</v>
      </c>
      <c r="U52">
        <v>43</v>
      </c>
      <c r="V52">
        <v>0.86888420866593996</v>
      </c>
      <c r="W52">
        <v>0.92738106020417399</v>
      </c>
      <c r="X52">
        <v>0.97640535919843596</v>
      </c>
      <c r="Y52">
        <v>0.97894568750325694</v>
      </c>
      <c r="Z52">
        <v>663.90562057495004</v>
      </c>
      <c r="AA52">
        <v>42</v>
      </c>
      <c r="AB52">
        <v>0.92812201519125503</v>
      </c>
      <c r="AC52">
        <v>0.96272124676631698</v>
      </c>
      <c r="AD52">
        <v>0.97759537535331598</v>
      </c>
      <c r="AE52">
        <v>0.99276968031070001</v>
      </c>
    </row>
    <row r="53" spans="1:31">
      <c r="A53">
        <v>4252.5100708008003</v>
      </c>
      <c r="B53">
        <v>41</v>
      </c>
      <c r="C53">
        <v>0.90684272217091999</v>
      </c>
      <c r="D53">
        <v>0.95442135756413704</v>
      </c>
      <c r="E53">
        <v>0.99056930264751597</v>
      </c>
      <c r="F53">
        <v>0.98944797190984701</v>
      </c>
      <c r="H53" s="13">
        <v>25.925159454346002</v>
      </c>
      <c r="I53" s="13">
        <v>44</v>
      </c>
      <c r="J53" s="13">
        <v>0.91994438461414996</v>
      </c>
      <c r="K53" s="13">
        <v>0.95622424239614601</v>
      </c>
      <c r="L53" s="13">
        <v>0.99047317218396702</v>
      </c>
      <c r="M53" s="13">
        <v>0.99105192551424104</v>
      </c>
      <c r="O53">
        <v>11771.863460541001</v>
      </c>
      <c r="P53">
        <v>44</v>
      </c>
      <c r="Q53">
        <v>0.84167714504232005</v>
      </c>
      <c r="T53">
        <v>25.026559829711999</v>
      </c>
      <c r="U53">
        <v>44</v>
      </c>
      <c r="V53">
        <v>0.8719796459368</v>
      </c>
      <c r="W53">
        <v>0.93161231515467102</v>
      </c>
      <c r="X53">
        <v>0.95795604800240997</v>
      </c>
      <c r="Y53">
        <v>0.98731866509091704</v>
      </c>
      <c r="Z53">
        <v>669.49200630188</v>
      </c>
      <c r="AA53">
        <v>43</v>
      </c>
      <c r="AB53">
        <v>0.93387497349850002</v>
      </c>
      <c r="AC53">
        <v>0.96580697955779604</v>
      </c>
      <c r="AD53">
        <v>0.98375235299747898</v>
      </c>
      <c r="AE53">
        <v>0.99274699849654002</v>
      </c>
    </row>
    <row r="54" spans="1:31">
      <c r="A54">
        <v>4504.5721530913997</v>
      </c>
      <c r="B54">
        <v>42</v>
      </c>
      <c r="C54">
        <v>0.92079835494071005</v>
      </c>
      <c r="D54">
        <v>0.96081818578237799</v>
      </c>
      <c r="E54">
        <v>0.99435549939597501</v>
      </c>
      <c r="F54">
        <v>0.98798507974201299</v>
      </c>
      <c r="H54" s="13">
        <v>26.939630508423001</v>
      </c>
      <c r="I54" s="13">
        <v>45</v>
      </c>
      <c r="J54" s="13">
        <v>0.91926000151251996</v>
      </c>
      <c r="K54" s="13">
        <v>0.95283687443973497</v>
      </c>
      <c r="L54" s="13">
        <v>0.99634871714336104</v>
      </c>
      <c r="M54" s="13">
        <v>0.98977811204042698</v>
      </c>
      <c r="O54">
        <v>7021.4502811432003</v>
      </c>
      <c r="P54">
        <v>45</v>
      </c>
      <c r="Q54">
        <v>0.86068413913312003</v>
      </c>
      <c r="T54">
        <v>24.634122848511002</v>
      </c>
      <c r="U54">
        <v>45</v>
      </c>
      <c r="V54">
        <v>0.85404573233720005</v>
      </c>
      <c r="W54">
        <v>0.92873595125030095</v>
      </c>
      <c r="X54">
        <v>0.97560992543427205</v>
      </c>
      <c r="Y54">
        <v>0.98004293885745497</v>
      </c>
      <c r="Z54">
        <v>667.14429855346998</v>
      </c>
      <c r="AA54">
        <v>44</v>
      </c>
      <c r="AB54">
        <v>0.93481036904609804</v>
      </c>
      <c r="AC54">
        <v>0.966306966306966</v>
      </c>
      <c r="AD54">
        <v>0.99081566557421397</v>
      </c>
      <c r="AE54">
        <v>0.99344329246809204</v>
      </c>
    </row>
    <row r="55" spans="1:31">
      <c r="A55">
        <v>4151.6582965851003</v>
      </c>
      <c r="B55">
        <v>43</v>
      </c>
      <c r="C55">
        <v>0.92447504901651001</v>
      </c>
      <c r="D55">
        <v>0.96241299977501504</v>
      </c>
      <c r="E55">
        <v>0.99054334672901301</v>
      </c>
      <c r="F55">
        <v>0.990060150737617</v>
      </c>
      <c r="H55" s="13">
        <v>26.010274887085</v>
      </c>
      <c r="I55" s="13">
        <v>46</v>
      </c>
      <c r="J55" s="13">
        <v>0.92253486493131998</v>
      </c>
      <c r="K55" s="13">
        <v>0.95378976198931298</v>
      </c>
      <c r="L55" s="13">
        <v>0.99516192228411704</v>
      </c>
      <c r="M55" s="13">
        <v>0.98845221193890698</v>
      </c>
      <c r="O55">
        <v>7433.5911273955999</v>
      </c>
      <c r="P55">
        <v>46</v>
      </c>
      <c r="Q55">
        <v>0.86707560707955</v>
      </c>
      <c r="T55">
        <v>25.205373764038001</v>
      </c>
      <c r="U55">
        <v>46</v>
      </c>
      <c r="V55">
        <v>0.86376510428691999</v>
      </c>
      <c r="W55">
        <v>0.92903960178952105</v>
      </c>
      <c r="X55">
        <v>0.95627454934839096</v>
      </c>
      <c r="Y55">
        <v>0.98871511325651196</v>
      </c>
      <c r="Z55">
        <v>672.52850532532</v>
      </c>
      <c r="AA55">
        <v>45</v>
      </c>
      <c r="AB55">
        <v>0.91230168980002402</v>
      </c>
      <c r="AC55">
        <v>0.95413991909971696</v>
      </c>
      <c r="AD55">
        <v>0.97527939659056195</v>
      </c>
      <c r="AE55">
        <v>0.98957141822125705</v>
      </c>
    </row>
    <row r="56" spans="1:31">
      <c r="A56">
        <v>4260.9708309174002</v>
      </c>
      <c r="B56">
        <v>44</v>
      </c>
      <c r="C56">
        <v>0.91895852893357</v>
      </c>
      <c r="D56">
        <v>0.96243280097666095</v>
      </c>
      <c r="E56">
        <v>0.99063792888059299</v>
      </c>
      <c r="F56">
        <v>0.98986295815319503</v>
      </c>
      <c r="H56" s="13">
        <v>25.100946426391999</v>
      </c>
      <c r="I56" s="13">
        <v>47</v>
      </c>
      <c r="J56" s="13">
        <v>0.91194099761036995</v>
      </c>
      <c r="K56" s="13">
        <v>0.94926554516070505</v>
      </c>
      <c r="L56" s="13">
        <v>0.99397940263163698</v>
      </c>
      <c r="M56" s="13">
        <v>0.99064386632605095</v>
      </c>
      <c r="O56">
        <v>7740.1483058928998</v>
      </c>
      <c r="P56">
        <v>47</v>
      </c>
      <c r="Q56">
        <v>0.84247998768472998</v>
      </c>
      <c r="T56">
        <v>24.834156036376999</v>
      </c>
      <c r="U56">
        <v>47</v>
      </c>
      <c r="V56">
        <v>0.8666970890997</v>
      </c>
      <c r="W56">
        <v>0.93202465864672701</v>
      </c>
      <c r="X56">
        <v>0.96875079934858399</v>
      </c>
      <c r="Y56">
        <v>0.98613970039504195</v>
      </c>
      <c r="Z56">
        <v>676.40256881714004</v>
      </c>
      <c r="AA56">
        <v>46</v>
      </c>
      <c r="AB56">
        <v>0.93402029727788805</v>
      </c>
      <c r="AC56">
        <v>0.96588468962038398</v>
      </c>
      <c r="AD56">
        <v>0.98072230877028199</v>
      </c>
      <c r="AE56">
        <v>0.99225880204713801</v>
      </c>
    </row>
    <row r="57" spans="1:31">
      <c r="A57">
        <v>4136.8007659912</v>
      </c>
      <c r="B57">
        <v>45</v>
      </c>
      <c r="C57">
        <v>0.92921763869132001</v>
      </c>
      <c r="D57">
        <v>0.95565589334120704</v>
      </c>
      <c r="E57">
        <v>0.99345173639828399</v>
      </c>
      <c r="F57">
        <v>0.98921392086056603</v>
      </c>
      <c r="H57" s="13">
        <v>25.890350341796999</v>
      </c>
      <c r="I57" s="13">
        <v>48</v>
      </c>
      <c r="J57" s="13">
        <v>0.91486309077269001</v>
      </c>
      <c r="K57" s="13">
        <v>0.96543963520023501</v>
      </c>
      <c r="L57" s="13">
        <v>0.99125536156587901</v>
      </c>
      <c r="M57" s="13">
        <v>0.99100585928972396</v>
      </c>
      <c r="O57">
        <v>5527.8694629668998</v>
      </c>
      <c r="P57">
        <v>48</v>
      </c>
      <c r="Q57">
        <v>0.86638262399851995</v>
      </c>
      <c r="T57">
        <v>24.967193603516002</v>
      </c>
      <c r="U57">
        <v>48</v>
      </c>
      <c r="V57">
        <v>0.84570275125155003</v>
      </c>
      <c r="W57">
        <v>0.922811021720498</v>
      </c>
      <c r="X57">
        <v>0.95641035707975897</v>
      </c>
      <c r="Y57">
        <v>0.98747219270429498</v>
      </c>
      <c r="Z57">
        <v>662.99557685852005</v>
      </c>
      <c r="AA57">
        <v>47</v>
      </c>
      <c r="AB57">
        <v>0.94048181698831501</v>
      </c>
      <c r="AC57">
        <v>0.96932814186114902</v>
      </c>
      <c r="AD57">
        <v>0.99471652526486798</v>
      </c>
      <c r="AE57">
        <v>0.99081745236815899</v>
      </c>
    </row>
    <row r="58" spans="1:31">
      <c r="A58">
        <v>4252.6736259460004</v>
      </c>
      <c r="B58">
        <v>46</v>
      </c>
      <c r="C58">
        <v>0.92604231152261995</v>
      </c>
      <c r="D58">
        <v>0.95114579889261897</v>
      </c>
      <c r="E58">
        <v>0.98731595077196699</v>
      </c>
      <c r="F58">
        <v>0.99028820099477399</v>
      </c>
      <c r="H58" s="13">
        <v>26.96681022644</v>
      </c>
      <c r="I58" s="13">
        <v>49</v>
      </c>
      <c r="J58" s="13">
        <v>0.91301932037510003</v>
      </c>
      <c r="K58" s="13">
        <v>0.95808336980869702</v>
      </c>
      <c r="L58" s="13">
        <v>0.98951389873776696</v>
      </c>
      <c r="M58" s="13">
        <v>0.99082563905274801</v>
      </c>
      <c r="O58">
        <v>12753.866195679</v>
      </c>
      <c r="P58">
        <v>49</v>
      </c>
      <c r="Q58">
        <v>0.87455694438553999</v>
      </c>
      <c r="T58">
        <v>24.87325668335</v>
      </c>
      <c r="U58">
        <v>49</v>
      </c>
      <c r="V58">
        <v>0.84170339642209002</v>
      </c>
      <c r="W58">
        <v>0.93275518857714601</v>
      </c>
      <c r="X58">
        <v>0.96402376411911395</v>
      </c>
      <c r="Y58">
        <v>0.98460266860768397</v>
      </c>
      <c r="Z58">
        <v>664.57915306091002</v>
      </c>
      <c r="AA58">
        <v>48</v>
      </c>
      <c r="AB58">
        <v>0.93056787620214299</v>
      </c>
      <c r="AC58">
        <v>0.96403538841926295</v>
      </c>
      <c r="AD58">
        <v>0.98731643186877205</v>
      </c>
      <c r="AE58">
        <v>0.991074688805753</v>
      </c>
    </row>
    <row r="59" spans="1:31">
      <c r="A59">
        <v>4431.7920207977004</v>
      </c>
      <c r="B59">
        <v>47</v>
      </c>
      <c r="C59">
        <v>0.92754920750388004</v>
      </c>
      <c r="D59">
        <v>0.96076735771340105</v>
      </c>
      <c r="E59">
        <v>0.98376661203756199</v>
      </c>
      <c r="F59">
        <v>0.99102659298630502</v>
      </c>
      <c r="H59" s="13">
        <v>26.646137237548999</v>
      </c>
      <c r="I59" s="13">
        <v>50</v>
      </c>
      <c r="J59" s="13">
        <v>0.93071769700186002</v>
      </c>
      <c r="K59" s="13">
        <v>0.95565981250153698</v>
      </c>
      <c r="L59" s="13">
        <v>0.99345173639828399</v>
      </c>
      <c r="M59" s="13">
        <v>0.98921499463648899</v>
      </c>
      <c r="O59">
        <v>5410.1107120513998</v>
      </c>
      <c r="P59">
        <v>50</v>
      </c>
      <c r="Q59">
        <v>0.87070458059321998</v>
      </c>
      <c r="T59">
        <v>26.168584823608001</v>
      </c>
      <c r="U59">
        <v>50</v>
      </c>
      <c r="V59">
        <v>0.85713294637282</v>
      </c>
      <c r="W59">
        <v>0.92437473966350903</v>
      </c>
      <c r="X59">
        <v>0.96763503727127198</v>
      </c>
      <c r="Y59">
        <v>0.98187966685029504</v>
      </c>
      <c r="Z59">
        <v>931.66017532348997</v>
      </c>
      <c r="AA59">
        <v>49</v>
      </c>
      <c r="AB59">
        <v>0.93761455065080301</v>
      </c>
      <c r="AC59">
        <v>0.96780296198320603</v>
      </c>
      <c r="AD59">
        <v>0.996105706954448</v>
      </c>
      <c r="AE59">
        <v>0.99184686205011297</v>
      </c>
    </row>
    <row r="60" spans="1:31">
      <c r="A60">
        <v>4107.2092056273996</v>
      </c>
      <c r="B60">
        <v>48</v>
      </c>
      <c r="C60">
        <v>0.91241119598312004</v>
      </c>
      <c r="D60">
        <v>0.95729268844789805</v>
      </c>
      <c r="E60">
        <v>0.99169699233100805</v>
      </c>
      <c r="F60">
        <v>0.99010966996165695</v>
      </c>
      <c r="H60" s="13">
        <v>25.144815444946001</v>
      </c>
      <c r="I60" s="13">
        <v>51</v>
      </c>
      <c r="J60" s="13">
        <v>0.92923136010925</v>
      </c>
      <c r="K60" s="13">
        <v>0.95420313738360496</v>
      </c>
      <c r="L60" s="13">
        <v>0.99296603641965397</v>
      </c>
      <c r="M60" s="13">
        <v>0.98666349052316304</v>
      </c>
      <c r="O60">
        <v>5060.7323646545001</v>
      </c>
      <c r="P60">
        <v>51</v>
      </c>
      <c r="Q60">
        <v>0.87616929080703998</v>
      </c>
      <c r="T60">
        <v>24.987697601318001</v>
      </c>
      <c r="U60">
        <v>51</v>
      </c>
      <c r="V60">
        <v>0.88181040526373</v>
      </c>
      <c r="W60">
        <v>0.92002375855046703</v>
      </c>
      <c r="X60">
        <v>0.98773001835942398</v>
      </c>
      <c r="Y60">
        <v>0.97488050161722895</v>
      </c>
      <c r="Z60">
        <v>657.96041488646995</v>
      </c>
      <c r="AA60">
        <v>50</v>
      </c>
      <c r="AB60">
        <v>0.93114333787356696</v>
      </c>
      <c r="AC60">
        <v>0.96434409565772905</v>
      </c>
      <c r="AD60">
        <v>0.99090234731376203</v>
      </c>
      <c r="AE60">
        <v>0.99191768863289997</v>
      </c>
    </row>
    <row r="61" spans="1:31">
      <c r="A61">
        <v>4640.6745910645004</v>
      </c>
      <c r="B61">
        <v>49</v>
      </c>
      <c r="C61">
        <v>0.92449690148246999</v>
      </c>
      <c r="D61">
        <v>0.94893250631133697</v>
      </c>
      <c r="E61">
        <v>0.99341903753423899</v>
      </c>
      <c r="F61">
        <v>0.98772780253171599</v>
      </c>
      <c r="H61" s="13">
        <v>25.855302810668999</v>
      </c>
      <c r="I61" s="13">
        <v>52</v>
      </c>
      <c r="J61" s="13">
        <v>0.90343049168012002</v>
      </c>
      <c r="K61" s="13">
        <v>0.964874664872159</v>
      </c>
      <c r="L61" s="13">
        <v>0.98855068211823305</v>
      </c>
      <c r="M61" s="13">
        <v>0.99095409521220301</v>
      </c>
      <c r="O61">
        <v>4453.6426067352004</v>
      </c>
      <c r="P61">
        <v>52</v>
      </c>
      <c r="Q61">
        <v>0.85178135498996999</v>
      </c>
      <c r="T61">
        <v>24.872064590453999</v>
      </c>
      <c r="U61">
        <v>52</v>
      </c>
      <c r="V61">
        <v>0.87062487306208003</v>
      </c>
      <c r="W61">
        <v>0.92832086447493301</v>
      </c>
      <c r="X61">
        <v>0.97683442359911099</v>
      </c>
      <c r="Y61">
        <v>0.981988021032837</v>
      </c>
      <c r="Z61">
        <v>670.59445381165006</v>
      </c>
      <c r="AA61">
        <v>51</v>
      </c>
      <c r="AB61">
        <v>0.92364230592029395</v>
      </c>
      <c r="AC61">
        <v>0.96030566917523896</v>
      </c>
      <c r="AD61">
        <v>0.97295842148766598</v>
      </c>
      <c r="AE61">
        <v>0.99231923028673297</v>
      </c>
    </row>
    <row r="62" spans="1:31">
      <c r="A62">
        <v>5481.2262058258002</v>
      </c>
      <c r="B62">
        <v>50</v>
      </c>
      <c r="C62">
        <v>0.91929748023585001</v>
      </c>
      <c r="D62">
        <v>0.95802589478719602</v>
      </c>
      <c r="E62">
        <v>0.99627373499403904</v>
      </c>
      <c r="F62">
        <v>0.99054812188506702</v>
      </c>
      <c r="H62" s="13">
        <v>25.156736373901001</v>
      </c>
      <c r="I62" s="13">
        <v>53</v>
      </c>
      <c r="J62" s="13">
        <v>0.91900061831588997</v>
      </c>
      <c r="K62" s="13">
        <v>0.96076735771340105</v>
      </c>
      <c r="L62" s="13">
        <v>0.98376661203756199</v>
      </c>
      <c r="M62" s="13">
        <v>0.99102659298630502</v>
      </c>
      <c r="O62">
        <v>4876.4309883118003</v>
      </c>
      <c r="P62">
        <v>53</v>
      </c>
      <c r="Q62">
        <v>0.83522477346705004</v>
      </c>
      <c r="T62">
        <v>24.665117263793999</v>
      </c>
      <c r="U62">
        <v>53</v>
      </c>
      <c r="V62">
        <v>0.86459508199687995</v>
      </c>
      <c r="W62">
        <v>0.922789568746059</v>
      </c>
      <c r="X62">
        <v>0.94093989578197301</v>
      </c>
      <c r="Y62">
        <v>0.98923121360985</v>
      </c>
      <c r="Z62">
        <v>666.14556312561001</v>
      </c>
      <c r="AA62">
        <v>52</v>
      </c>
      <c r="AB62">
        <v>0.92365156090765399</v>
      </c>
      <c r="AC62">
        <v>0.96031067130664605</v>
      </c>
      <c r="AD62">
        <v>0.98999889767409199</v>
      </c>
      <c r="AE62">
        <v>0.99244509041544604</v>
      </c>
    </row>
    <row r="63" spans="1:31">
      <c r="A63">
        <v>4799.2918491363998</v>
      </c>
      <c r="B63">
        <v>51</v>
      </c>
      <c r="C63">
        <v>0.91324058384613005</v>
      </c>
      <c r="D63">
        <v>0.95776799245814304</v>
      </c>
      <c r="E63">
        <v>0.99329224524145399</v>
      </c>
      <c r="F63">
        <v>0.98942820202874104</v>
      </c>
      <c r="H63" s="13">
        <v>25.921583175658998</v>
      </c>
      <c r="I63" s="13">
        <v>54</v>
      </c>
      <c r="J63" s="13">
        <v>0.92437841593661996</v>
      </c>
      <c r="K63" s="13">
        <v>0.96220129680205702</v>
      </c>
      <c r="L63" s="13">
        <v>0.98979384504774803</v>
      </c>
      <c r="M63" s="13">
        <v>0.99060952798892898</v>
      </c>
      <c r="O63">
        <v>7527.6837348937997</v>
      </c>
      <c r="P63">
        <v>54</v>
      </c>
      <c r="Q63">
        <v>0.84549353574623998</v>
      </c>
      <c r="T63">
        <v>24.999141693115</v>
      </c>
      <c r="U63">
        <v>54</v>
      </c>
      <c r="V63">
        <v>0.86965744080435003</v>
      </c>
      <c r="W63">
        <v>0.923617595452353</v>
      </c>
      <c r="X63">
        <v>0.953285181733457</v>
      </c>
      <c r="Y63">
        <v>0.98901956920909795</v>
      </c>
      <c r="Z63">
        <v>666.21303558349996</v>
      </c>
      <c r="AA63">
        <v>53</v>
      </c>
      <c r="AB63">
        <v>0.899485002976113</v>
      </c>
      <c r="AC63">
        <v>0.94708302678547096</v>
      </c>
      <c r="AD63">
        <v>0.985948920638823</v>
      </c>
      <c r="AE63">
        <v>0.98921744258441902</v>
      </c>
    </row>
    <row r="64" spans="1:31">
      <c r="A64">
        <v>4265.7313346863002</v>
      </c>
      <c r="B64">
        <v>52</v>
      </c>
      <c r="C64">
        <v>0.90484427647382004</v>
      </c>
      <c r="D64">
        <v>0.964874664872159</v>
      </c>
      <c r="E64">
        <v>0.98855068211823305</v>
      </c>
      <c r="F64">
        <v>0.99095409521220301</v>
      </c>
      <c r="H64" s="13">
        <v>25.122165679931999</v>
      </c>
      <c r="I64" s="13">
        <v>55</v>
      </c>
      <c r="J64" s="13">
        <v>0.92230764422776002</v>
      </c>
      <c r="K64" s="13">
        <v>0.94731462889600404</v>
      </c>
      <c r="L64" s="13">
        <v>0.990355248352354</v>
      </c>
      <c r="M64" s="13">
        <v>0.98872530146295301</v>
      </c>
      <c r="O64">
        <v>5531.51512146</v>
      </c>
      <c r="P64">
        <v>55</v>
      </c>
      <c r="Q64">
        <v>0.83610880166776003</v>
      </c>
      <c r="T64">
        <v>24.729251861571999</v>
      </c>
      <c r="U64">
        <v>55</v>
      </c>
      <c r="V64">
        <v>0.86062676140477001</v>
      </c>
      <c r="W64">
        <v>0.940256120527307</v>
      </c>
      <c r="X64">
        <v>0.96949055123614503</v>
      </c>
      <c r="Y64">
        <v>0.98702584936982796</v>
      </c>
      <c r="Z64">
        <v>671.70119285582996</v>
      </c>
      <c r="AA64">
        <v>54</v>
      </c>
      <c r="AB64">
        <v>0.90980320164488104</v>
      </c>
      <c r="AC64">
        <v>0.95277167915655703</v>
      </c>
      <c r="AD64">
        <v>0.98116808552761803</v>
      </c>
      <c r="AE64">
        <v>0.98926055593564299</v>
      </c>
    </row>
    <row r="65" spans="1:31">
      <c r="A65">
        <v>3979.8517227173002</v>
      </c>
      <c r="B65">
        <v>53</v>
      </c>
      <c r="C65">
        <v>0.92271708793585006</v>
      </c>
      <c r="D65">
        <v>0.96089763110252902</v>
      </c>
      <c r="E65">
        <v>0.99213605047301101</v>
      </c>
      <c r="F65">
        <v>0.98833122202983803</v>
      </c>
      <c r="H65" s="13">
        <v>25.961637496948001</v>
      </c>
      <c r="I65" s="13">
        <v>56</v>
      </c>
      <c r="J65" s="13">
        <v>0.90483685850138995</v>
      </c>
      <c r="K65" s="13">
        <v>0.96012434344517095</v>
      </c>
      <c r="L65" s="13">
        <v>0.98700561140590304</v>
      </c>
      <c r="M65" s="13">
        <v>0.99125404845465603</v>
      </c>
      <c r="O65">
        <v>4878.3125877379998</v>
      </c>
      <c r="P65">
        <v>56</v>
      </c>
      <c r="Q65">
        <v>0.87489552737779996</v>
      </c>
      <c r="T65">
        <v>24.998426437378001</v>
      </c>
      <c r="U65">
        <v>56</v>
      </c>
      <c r="V65">
        <v>0.88724845572608002</v>
      </c>
      <c r="W65">
        <v>0.94334470490051103</v>
      </c>
      <c r="X65">
        <v>0.97307889808493897</v>
      </c>
      <c r="Y65">
        <v>0.98699669923768096</v>
      </c>
      <c r="Z65">
        <v>656.58140182495004</v>
      </c>
      <c r="AA65">
        <v>55</v>
      </c>
      <c r="AB65">
        <v>0.90318476565706296</v>
      </c>
      <c r="AC65">
        <v>0.94912988161214495</v>
      </c>
      <c r="AD65">
        <v>0.980070809859939</v>
      </c>
      <c r="AE65">
        <v>0.99202509913867698</v>
      </c>
    </row>
    <row r="66" spans="1:31">
      <c r="A66">
        <v>4736.6001605988004</v>
      </c>
      <c r="B66">
        <v>54</v>
      </c>
      <c r="C66">
        <v>0.93319494110036005</v>
      </c>
      <c r="D66">
        <v>0.962387663995945</v>
      </c>
      <c r="E66">
        <v>0.98582200424940403</v>
      </c>
      <c r="F66">
        <v>0.99147481757279199</v>
      </c>
      <c r="H66" s="13">
        <v>25.135278701781999</v>
      </c>
      <c r="I66" s="13">
        <v>57</v>
      </c>
      <c r="J66" s="13">
        <v>0.91759788290521005</v>
      </c>
      <c r="K66" s="13">
        <v>0.95728867556747899</v>
      </c>
      <c r="L66" s="13">
        <v>0.99169699233100805</v>
      </c>
      <c r="M66" s="13">
        <v>0.99010859865207801</v>
      </c>
      <c r="O66">
        <v>4729.8386096954</v>
      </c>
      <c r="P66">
        <v>57</v>
      </c>
      <c r="Q66">
        <v>0.85956731715441004</v>
      </c>
      <c r="T66">
        <v>24.840593338013001</v>
      </c>
      <c r="U66">
        <v>57</v>
      </c>
      <c r="V66">
        <v>0.85166367802350995</v>
      </c>
      <c r="W66">
        <v>0.935286629893476</v>
      </c>
      <c r="X66">
        <v>0.96065730197906196</v>
      </c>
      <c r="Y66">
        <v>0.98914307912535804</v>
      </c>
      <c r="Z66">
        <v>669.61455345154002</v>
      </c>
      <c r="AA66">
        <v>56</v>
      </c>
      <c r="AB66">
        <v>0.93292346100593204</v>
      </c>
      <c r="AC66">
        <v>0.96529788150061602</v>
      </c>
      <c r="AD66">
        <v>0.98282885538298703</v>
      </c>
      <c r="AE66">
        <v>0.992275126847044</v>
      </c>
    </row>
    <row r="67" spans="1:31">
      <c r="A67">
        <v>4491.4057254790996</v>
      </c>
      <c r="B67">
        <v>55</v>
      </c>
      <c r="C67">
        <v>0.91808379766987003</v>
      </c>
      <c r="D67">
        <v>0.94732795774297496</v>
      </c>
      <c r="E67">
        <v>0.990364703991225</v>
      </c>
      <c r="F67">
        <v>0.98872742276088998</v>
      </c>
      <c r="H67" s="13">
        <v>25.739908218383999</v>
      </c>
      <c r="I67" s="13">
        <v>58</v>
      </c>
      <c r="J67" s="13">
        <v>0.92461851775331005</v>
      </c>
      <c r="K67" s="13">
        <v>0.96425509485827099</v>
      </c>
      <c r="L67" s="13">
        <v>0.99090167362582304</v>
      </c>
      <c r="M67" s="13">
        <v>0.98960037663740297</v>
      </c>
      <c r="O67">
        <v>4962.3074531555003</v>
      </c>
      <c r="P67">
        <v>58</v>
      </c>
      <c r="Q67">
        <v>0.85168014100156997</v>
      </c>
      <c r="T67">
        <v>25.581836700438998</v>
      </c>
      <c r="U67">
        <v>58</v>
      </c>
      <c r="V67">
        <v>0.85189259100332004</v>
      </c>
      <c r="W67">
        <v>0.920217395364473</v>
      </c>
      <c r="X67">
        <v>0.97046333719382005</v>
      </c>
      <c r="Y67">
        <v>0.98089294297503704</v>
      </c>
      <c r="Z67">
        <v>670.88723182677995</v>
      </c>
      <c r="AA67">
        <v>57</v>
      </c>
      <c r="AB67">
        <v>0.93137308421928899</v>
      </c>
      <c r="AC67">
        <v>0.96446729203102</v>
      </c>
      <c r="AD67">
        <v>0.97849292775774399</v>
      </c>
      <c r="AE67">
        <v>0.99223726662024603</v>
      </c>
    </row>
    <row r="68" spans="1:31">
      <c r="A68">
        <v>6133.0955028533999</v>
      </c>
      <c r="B68">
        <v>56</v>
      </c>
      <c r="C68">
        <v>0.92589638256291995</v>
      </c>
      <c r="D68">
        <v>0.959805364736669</v>
      </c>
      <c r="E68">
        <v>0.99310374005753899</v>
      </c>
      <c r="F68">
        <v>0.99031057743154505</v>
      </c>
      <c r="H68" s="13">
        <v>25.083303451538001</v>
      </c>
      <c r="I68" s="13">
        <v>59</v>
      </c>
      <c r="J68" s="13">
        <v>0.92270983364256998</v>
      </c>
      <c r="K68" s="13">
        <v>0.95726249032883903</v>
      </c>
      <c r="L68" s="13">
        <v>0.99118364907270495</v>
      </c>
      <c r="M68" s="13">
        <v>0.98965756509409297</v>
      </c>
      <c r="O68">
        <v>4482.2161197661999</v>
      </c>
      <c r="P68">
        <v>59</v>
      </c>
      <c r="Q68">
        <v>0.85650684708925995</v>
      </c>
      <c r="T68">
        <v>25.018453598021999</v>
      </c>
      <c r="U68">
        <v>59</v>
      </c>
      <c r="V68">
        <v>0.85448772478188995</v>
      </c>
      <c r="W68">
        <v>0.91640189697727703</v>
      </c>
      <c r="X68">
        <v>0.98110167428137596</v>
      </c>
      <c r="Y68">
        <v>0.97540305456721799</v>
      </c>
      <c r="Z68">
        <v>663.19251060485999</v>
      </c>
      <c r="AA68">
        <v>58</v>
      </c>
      <c r="AB68">
        <v>0.94010587170021498</v>
      </c>
      <c r="AC68">
        <v>0.96912842274566402</v>
      </c>
      <c r="AD68">
        <v>0.98485909840491503</v>
      </c>
      <c r="AE68">
        <v>0.99284280276019399</v>
      </c>
    </row>
    <row r="69" spans="1:31">
      <c r="A69">
        <v>4331.8841457366998</v>
      </c>
      <c r="B69">
        <v>57</v>
      </c>
      <c r="C69">
        <v>0.91943349647018002</v>
      </c>
      <c r="D69">
        <v>0.95969975808160901</v>
      </c>
      <c r="E69">
        <v>0.992396931564826</v>
      </c>
      <c r="F69">
        <v>0.98906206855906698</v>
      </c>
      <c r="H69" s="13">
        <v>26.740789413451999</v>
      </c>
      <c r="I69" s="13">
        <v>60</v>
      </c>
      <c r="J69" s="13">
        <v>0.91673328688253997</v>
      </c>
      <c r="K69" s="13">
        <v>0.95553890529429297</v>
      </c>
      <c r="L69" s="13">
        <v>0.99102036670221905</v>
      </c>
      <c r="M69" s="13">
        <v>0.99137487357006504</v>
      </c>
      <c r="O69">
        <v>5371.0930347443</v>
      </c>
      <c r="P69">
        <v>60</v>
      </c>
      <c r="Q69">
        <v>0.88367650971002998</v>
      </c>
      <c r="T69">
        <v>25.015830993651999</v>
      </c>
      <c r="U69">
        <v>60</v>
      </c>
      <c r="V69">
        <v>0.85714925697902</v>
      </c>
      <c r="W69">
        <v>0.93083855090297096</v>
      </c>
      <c r="X69">
        <v>0.94944786052545505</v>
      </c>
      <c r="Y69">
        <v>0.990999860552359</v>
      </c>
      <c r="Z69">
        <v>658.01692008971997</v>
      </c>
      <c r="AA69">
        <v>59</v>
      </c>
      <c r="AB69">
        <v>0.92904424479815895</v>
      </c>
      <c r="AC69">
        <v>0.96321714476317499</v>
      </c>
      <c r="AD69">
        <v>0.97910556563310502</v>
      </c>
      <c r="AE69">
        <v>0.99316893795629002</v>
      </c>
    </row>
    <row r="70" spans="1:31">
      <c r="A70">
        <v>4526.1201858520999</v>
      </c>
      <c r="B70">
        <v>58</v>
      </c>
      <c r="C70">
        <v>0.92329223327915</v>
      </c>
      <c r="D70">
        <v>0.94075545312589803</v>
      </c>
      <c r="E70">
        <v>0.98106784023914295</v>
      </c>
      <c r="F70">
        <v>0.98793753170904997</v>
      </c>
      <c r="H70" s="13">
        <v>25.270223617553999</v>
      </c>
      <c r="I70" s="13">
        <v>61</v>
      </c>
      <c r="J70" s="13">
        <v>0.92537408671792998</v>
      </c>
      <c r="K70" s="13">
        <v>0.95779085170113398</v>
      </c>
      <c r="L70" s="13">
        <v>0.99329224524145399</v>
      </c>
      <c r="M70" s="13">
        <v>0.98943467191734003</v>
      </c>
      <c r="O70">
        <v>3782.5617790222</v>
      </c>
      <c r="P70">
        <v>61</v>
      </c>
      <c r="Q70">
        <v>0.88175784314987005</v>
      </c>
      <c r="T70">
        <v>24.779081344603998</v>
      </c>
      <c r="U70">
        <v>61</v>
      </c>
      <c r="V70">
        <v>0.88487134132096001</v>
      </c>
      <c r="W70">
        <v>0.93400865628780205</v>
      </c>
      <c r="X70">
        <v>0.97697309465262405</v>
      </c>
      <c r="Y70">
        <v>0.98235042410682305</v>
      </c>
      <c r="Z70">
        <v>672.32155799865996</v>
      </c>
      <c r="AA70">
        <v>60</v>
      </c>
      <c r="AB70">
        <v>0.92841400516521799</v>
      </c>
      <c r="AC70">
        <v>0.96287830588087397</v>
      </c>
      <c r="AD70">
        <v>0.98337050169263096</v>
      </c>
      <c r="AE70">
        <v>0.99201336049303002</v>
      </c>
    </row>
    <row r="71" spans="1:31">
      <c r="A71">
        <v>5034.9349975586001</v>
      </c>
      <c r="B71">
        <v>59</v>
      </c>
      <c r="C71">
        <v>0.91921558128639003</v>
      </c>
      <c r="D71">
        <v>0.956678573437587</v>
      </c>
      <c r="E71">
        <v>0.99537629767278502</v>
      </c>
      <c r="F71">
        <v>0.98718045727056603</v>
      </c>
      <c r="H71" s="13">
        <v>27.424812316895</v>
      </c>
      <c r="I71" s="13">
        <v>62</v>
      </c>
      <c r="J71" s="13">
        <v>0.93213317472613</v>
      </c>
      <c r="K71" s="13">
        <v>0.95655800747693498</v>
      </c>
      <c r="L71" s="13">
        <v>0.99049068086724901</v>
      </c>
      <c r="M71" s="13">
        <v>0.98899265381879997</v>
      </c>
      <c r="O71">
        <v>3766.8366432190001</v>
      </c>
      <c r="P71">
        <v>62</v>
      </c>
      <c r="Q71">
        <v>0.88492964139809005</v>
      </c>
      <c r="T71">
        <v>24.883508682251001</v>
      </c>
      <c r="U71">
        <v>62</v>
      </c>
      <c r="V71">
        <v>0.8522246898718</v>
      </c>
      <c r="W71">
        <v>0.92970703742156802</v>
      </c>
      <c r="X71">
        <v>0.96656686158380301</v>
      </c>
      <c r="Y71">
        <v>0.98725100447435599</v>
      </c>
      <c r="Z71">
        <v>667.50431060791004</v>
      </c>
      <c r="AA71">
        <v>61</v>
      </c>
      <c r="AB71">
        <v>0.94205077661311698</v>
      </c>
      <c r="AC71">
        <v>0.97016080934405602</v>
      </c>
      <c r="AD71">
        <v>0.98883888116957597</v>
      </c>
      <c r="AE71">
        <v>0.99282106026074202</v>
      </c>
    </row>
    <row r="72" spans="1:31">
      <c r="A72">
        <v>4991.4352893829</v>
      </c>
      <c r="B72">
        <v>60</v>
      </c>
      <c r="C72">
        <v>0.92459103174910995</v>
      </c>
      <c r="D72">
        <v>0.96410749714423105</v>
      </c>
      <c r="E72">
        <v>0.98878370760124001</v>
      </c>
      <c r="F72">
        <v>0.98790032426720997</v>
      </c>
      <c r="H72" s="13">
        <v>25.186538696288999</v>
      </c>
      <c r="I72" s="13">
        <v>63</v>
      </c>
      <c r="J72" s="13">
        <v>0.92473817774285005</v>
      </c>
      <c r="K72" s="13">
        <v>0.96082140868503496</v>
      </c>
      <c r="L72" s="13">
        <v>0.99435549939597501</v>
      </c>
      <c r="M72" s="13">
        <v>0.98798618527387305</v>
      </c>
      <c r="O72">
        <v>5503.3097267150997</v>
      </c>
      <c r="P72">
        <v>63</v>
      </c>
      <c r="Q72">
        <v>0.87699295447229997</v>
      </c>
      <c r="T72">
        <v>24.888753890991001</v>
      </c>
      <c r="U72">
        <v>63</v>
      </c>
      <c r="V72">
        <v>0.86785898665092998</v>
      </c>
      <c r="W72">
        <v>0.92361014744845404</v>
      </c>
      <c r="X72">
        <v>0.97289359358746796</v>
      </c>
      <c r="Y72">
        <v>0.97816501366073205</v>
      </c>
      <c r="Z72">
        <v>710.00504493713004</v>
      </c>
      <c r="AA72">
        <v>62</v>
      </c>
      <c r="AB72">
        <v>0.93015058104243897</v>
      </c>
      <c r="AC72">
        <v>0.96381141469292098</v>
      </c>
      <c r="AD72">
        <v>0.99393569966083595</v>
      </c>
      <c r="AE72">
        <v>0.99046831788349898</v>
      </c>
    </row>
    <row r="73" spans="1:31">
      <c r="A73">
        <v>5045.0394153594998</v>
      </c>
      <c r="B73">
        <v>61</v>
      </c>
      <c r="C73">
        <v>0.91822898945219</v>
      </c>
      <c r="D73">
        <v>0.95553422591355597</v>
      </c>
      <c r="E73">
        <v>0.99102036670221905</v>
      </c>
      <c r="F73">
        <v>0.99137382108361904</v>
      </c>
      <c r="H73" s="13">
        <v>25.93731880188</v>
      </c>
      <c r="I73" s="13">
        <v>64</v>
      </c>
      <c r="J73" s="13">
        <v>0.93097739614400998</v>
      </c>
      <c r="K73" s="13">
        <v>0.96074780085578304</v>
      </c>
      <c r="L73" s="13">
        <v>0.99179501179182605</v>
      </c>
      <c r="M73" s="13">
        <v>0.98952225634200697</v>
      </c>
      <c r="O73">
        <v>4303.9317131041998</v>
      </c>
      <c r="P73">
        <v>64</v>
      </c>
      <c r="Q73">
        <v>0.81223748529918005</v>
      </c>
      <c r="T73">
        <v>24.799346923828001</v>
      </c>
      <c r="U73">
        <v>64</v>
      </c>
      <c r="V73">
        <v>0.87061589427564001</v>
      </c>
      <c r="W73">
        <v>0.93310621682946204</v>
      </c>
      <c r="X73">
        <v>0.97872960768093697</v>
      </c>
      <c r="Y73">
        <v>0.98051368669639305</v>
      </c>
      <c r="Z73">
        <v>910.76159477234</v>
      </c>
      <c r="AA73">
        <v>63</v>
      </c>
      <c r="AB73">
        <v>0.94861146150711195</v>
      </c>
      <c r="AC73">
        <v>0.97362812468877602</v>
      </c>
      <c r="AD73">
        <v>0.99698137836790401</v>
      </c>
      <c r="AE73">
        <v>0.99168043093149205</v>
      </c>
    </row>
    <row r="74" spans="1:31">
      <c r="A74">
        <v>4212.0578289032001</v>
      </c>
      <c r="B74">
        <v>62</v>
      </c>
      <c r="C74">
        <v>0.93099583217918003</v>
      </c>
      <c r="D74">
        <v>0.95876628858225998</v>
      </c>
      <c r="E74">
        <v>0.989372401504652</v>
      </c>
      <c r="F74">
        <v>0.98980376254606595</v>
      </c>
      <c r="H74" s="13">
        <v>25.102138519286999</v>
      </c>
      <c r="I74" s="13">
        <v>65</v>
      </c>
      <c r="J74" s="13">
        <v>0.90992210399878004</v>
      </c>
      <c r="K74" s="13">
        <v>0.96242936542216495</v>
      </c>
      <c r="L74" s="13">
        <v>0.99063792888059299</v>
      </c>
      <c r="M74" s="13">
        <v>0.98986186225677897</v>
      </c>
      <c r="O74">
        <v>3887.3913288116</v>
      </c>
      <c r="P74">
        <v>65</v>
      </c>
      <c r="Q74">
        <v>0.85397451618063003</v>
      </c>
      <c r="T74">
        <v>24.956941604613998</v>
      </c>
      <c r="U74">
        <v>65</v>
      </c>
      <c r="V74">
        <v>0.86748268501981995</v>
      </c>
      <c r="W74">
        <v>0.93323823836572495</v>
      </c>
      <c r="X74">
        <v>0.96255363867238797</v>
      </c>
      <c r="Y74">
        <v>0.98774596365955802</v>
      </c>
      <c r="Z74">
        <v>667.86837577819995</v>
      </c>
      <c r="AA74">
        <v>64</v>
      </c>
      <c r="AB74">
        <v>0.90821419420958205</v>
      </c>
      <c r="AC74">
        <v>0.95189963156707502</v>
      </c>
      <c r="AD74">
        <v>0.98986886491075199</v>
      </c>
      <c r="AE74">
        <v>0.99160731974349603</v>
      </c>
    </row>
    <row r="75" spans="1:31">
      <c r="A75">
        <v>4139.6911144257001</v>
      </c>
      <c r="B75">
        <v>63</v>
      </c>
      <c r="C75">
        <v>0.89525088990655</v>
      </c>
      <c r="D75">
        <v>0.95004540544262694</v>
      </c>
      <c r="E75">
        <v>0.99227733275795404</v>
      </c>
      <c r="F75">
        <v>0.98853357088371896</v>
      </c>
      <c r="H75" s="13">
        <v>25.645017623901001</v>
      </c>
      <c r="I75" s="13">
        <v>66</v>
      </c>
      <c r="J75" s="13">
        <v>0.92459700066493999</v>
      </c>
      <c r="K75" s="13">
        <v>0.95498266776948504</v>
      </c>
      <c r="L75" s="13">
        <v>0.98832389177959601</v>
      </c>
      <c r="M75" s="13">
        <v>0.99102903547839605</v>
      </c>
      <c r="O75">
        <v>3828.9966583251999</v>
      </c>
      <c r="P75">
        <v>66</v>
      </c>
      <c r="Q75">
        <v>0.85709660759572004</v>
      </c>
      <c r="T75">
        <v>26.13377571106</v>
      </c>
      <c r="U75">
        <v>66</v>
      </c>
      <c r="V75">
        <v>0.85991412153864</v>
      </c>
      <c r="W75">
        <v>0.93041246984029702</v>
      </c>
      <c r="X75">
        <v>0.94976878225320005</v>
      </c>
      <c r="Y75">
        <v>0.99142693290235095</v>
      </c>
      <c r="Z75">
        <v>668.27678680420001</v>
      </c>
      <c r="AA75">
        <v>65</v>
      </c>
      <c r="AB75">
        <v>0.92171545937871502</v>
      </c>
      <c r="AC75">
        <v>0.959263198805408</v>
      </c>
      <c r="AD75">
        <v>0.99329619588240203</v>
      </c>
      <c r="AE75">
        <v>0.99231464169230899</v>
      </c>
    </row>
    <row r="76" spans="1:31">
      <c r="A76">
        <v>3781.6641330718999</v>
      </c>
      <c r="B76">
        <v>64</v>
      </c>
      <c r="C76">
        <v>0.92473817774285005</v>
      </c>
      <c r="D76">
        <v>0.957581968948781</v>
      </c>
      <c r="E76">
        <v>0.99006042560644503</v>
      </c>
      <c r="F76">
        <v>0.99049536273017702</v>
      </c>
      <c r="H76" s="13">
        <v>25.129556655883999</v>
      </c>
      <c r="I76" s="13">
        <v>67</v>
      </c>
      <c r="J76" s="13">
        <v>0.92448235787077004</v>
      </c>
      <c r="K76" s="13">
        <v>0.96185837639716598</v>
      </c>
      <c r="L76" s="13">
        <v>0.99020987578779895</v>
      </c>
      <c r="M76" s="13">
        <v>0.98878411161977497</v>
      </c>
      <c r="O76">
        <v>14586.652994156</v>
      </c>
      <c r="P76">
        <v>67</v>
      </c>
      <c r="Q76">
        <v>0.86671230111717001</v>
      </c>
      <c r="T76">
        <v>24.896383285521999</v>
      </c>
      <c r="U76">
        <v>67</v>
      </c>
      <c r="V76">
        <v>0.88458964098035997</v>
      </c>
      <c r="W76">
        <v>0.92451155975252297</v>
      </c>
      <c r="X76">
        <v>0.96733445767533699</v>
      </c>
      <c r="Y76">
        <v>0.98420166370624595</v>
      </c>
      <c r="Z76">
        <v>664.63446617125999</v>
      </c>
      <c r="AA76">
        <v>66</v>
      </c>
      <c r="AB76">
        <v>0.92358479689481499</v>
      </c>
      <c r="AC76">
        <v>0.96027458564418899</v>
      </c>
      <c r="AD76">
        <v>0.98519295886659697</v>
      </c>
      <c r="AE76">
        <v>0.99121957852681797</v>
      </c>
    </row>
    <row r="77" spans="1:31">
      <c r="A77">
        <v>3906.9442749023001</v>
      </c>
      <c r="B77">
        <v>65</v>
      </c>
      <c r="C77">
        <v>0.93016448833127996</v>
      </c>
      <c r="D77">
        <v>0.95958351547907605</v>
      </c>
      <c r="E77">
        <v>0.99551727498294595</v>
      </c>
      <c r="F77">
        <v>0.98842953533477196</v>
      </c>
      <c r="H77" s="13">
        <v>25.793790817261002</v>
      </c>
      <c r="I77" s="13">
        <v>68</v>
      </c>
      <c r="J77" s="13">
        <v>0.89525966894171005</v>
      </c>
      <c r="K77" s="13">
        <v>0.96360519419101798</v>
      </c>
      <c r="L77" s="13">
        <v>0.99473834095008196</v>
      </c>
      <c r="M77" s="13">
        <v>0.98856279145128001</v>
      </c>
      <c r="O77">
        <v>9144.6192264556994</v>
      </c>
      <c r="P77">
        <v>68</v>
      </c>
      <c r="Q77">
        <v>0.87104166333976996</v>
      </c>
      <c r="T77">
        <v>24.626493453978998</v>
      </c>
      <c r="U77">
        <v>68</v>
      </c>
      <c r="V77">
        <v>0.81218550251597998</v>
      </c>
      <c r="W77">
        <v>0.93132062281054995</v>
      </c>
      <c r="X77">
        <v>0.98229513977942995</v>
      </c>
      <c r="Y77">
        <v>0.98282435311233496</v>
      </c>
      <c r="Z77">
        <v>673.00820350646995</v>
      </c>
      <c r="AA77">
        <v>67</v>
      </c>
      <c r="AB77">
        <v>0.93456393238618596</v>
      </c>
      <c r="AC77">
        <v>0.96617528812650699</v>
      </c>
      <c r="AD77">
        <v>0.99222871613252395</v>
      </c>
      <c r="AE77">
        <v>0.992842584758164</v>
      </c>
    </row>
    <row r="78" spans="1:31">
      <c r="A78">
        <v>4008.6417198180998</v>
      </c>
      <c r="B78">
        <v>66</v>
      </c>
      <c r="C78">
        <v>0.91802119054576004</v>
      </c>
      <c r="D78">
        <v>0.96381888067524502</v>
      </c>
      <c r="E78">
        <v>0.99541014393228</v>
      </c>
      <c r="F78">
        <v>0.98894984931612695</v>
      </c>
      <c r="H78" s="13">
        <v>25.809288024901999</v>
      </c>
      <c r="I78" s="13">
        <v>69</v>
      </c>
      <c r="J78" s="13">
        <v>0.89990291011882995</v>
      </c>
      <c r="K78" s="13">
        <v>0.94076377614891504</v>
      </c>
      <c r="L78" s="13">
        <v>0.98106784023914295</v>
      </c>
      <c r="M78" s="13">
        <v>0.98793965894091496</v>
      </c>
      <c r="O78">
        <v>4859.6947193145998</v>
      </c>
      <c r="P78">
        <v>69</v>
      </c>
      <c r="Q78">
        <v>0.87136501924965004</v>
      </c>
      <c r="T78">
        <v>24.895668029785</v>
      </c>
      <c r="U78">
        <v>69</v>
      </c>
      <c r="V78">
        <v>0.82436820303453995</v>
      </c>
      <c r="W78">
        <v>0.93083341902509398</v>
      </c>
      <c r="X78">
        <v>0.96733950763872401</v>
      </c>
      <c r="Y78">
        <v>0.98478171767619405</v>
      </c>
      <c r="Z78">
        <v>671.62466049193995</v>
      </c>
      <c r="AA78">
        <v>68</v>
      </c>
      <c r="AB78">
        <v>0.94203407236966097</v>
      </c>
      <c r="AC78">
        <v>0.97015195126849096</v>
      </c>
      <c r="AD78">
        <v>0.987180971712314</v>
      </c>
      <c r="AE78">
        <v>0.99219750644016202</v>
      </c>
    </row>
    <row r="79" spans="1:31">
      <c r="A79">
        <v>3572.9892253876001</v>
      </c>
      <c r="B79">
        <v>67</v>
      </c>
      <c r="C79">
        <v>0.91612851648204996</v>
      </c>
      <c r="D79">
        <v>0.956492456336552</v>
      </c>
      <c r="E79">
        <v>0.99410626015417003</v>
      </c>
      <c r="F79">
        <v>0.98951289582573998</v>
      </c>
      <c r="H79" s="13">
        <v>25.927305221558001</v>
      </c>
      <c r="I79" s="13">
        <v>70</v>
      </c>
      <c r="J79" s="13">
        <v>0.88815294923407995</v>
      </c>
      <c r="K79" s="13">
        <v>0.95736736612448303</v>
      </c>
      <c r="L79" s="13">
        <v>0.99042122744079697</v>
      </c>
      <c r="M79" s="13">
        <v>0.99087895187769004</v>
      </c>
      <c r="O79">
        <v>10495.931386947999</v>
      </c>
      <c r="P79">
        <v>70</v>
      </c>
      <c r="Q79">
        <v>0.89256496047991996</v>
      </c>
      <c r="T79">
        <v>24.869680404663001</v>
      </c>
      <c r="U79">
        <v>70</v>
      </c>
      <c r="V79">
        <v>0.87270241414536998</v>
      </c>
      <c r="W79">
        <v>0.93835850134369903</v>
      </c>
      <c r="X79">
        <v>0.97616692722457898</v>
      </c>
      <c r="Y79">
        <v>0.98582003544178698</v>
      </c>
      <c r="Z79">
        <v>672.44291305542004</v>
      </c>
      <c r="AA79">
        <v>69</v>
      </c>
      <c r="AB79">
        <v>0.92634264614994499</v>
      </c>
      <c r="AC79">
        <v>0.96176310896855799</v>
      </c>
      <c r="AD79">
        <v>0.97837548328786295</v>
      </c>
      <c r="AE79">
        <v>0.99277566458073596</v>
      </c>
    </row>
    <row r="80" spans="1:31">
      <c r="A80">
        <v>3575.6638050079</v>
      </c>
      <c r="B80">
        <v>68</v>
      </c>
      <c r="C80">
        <v>0.92207963232437995</v>
      </c>
      <c r="D80">
        <v>0.95378549153427905</v>
      </c>
      <c r="E80">
        <v>0.99515340454166001</v>
      </c>
      <c r="F80">
        <v>0.98845221193890698</v>
      </c>
      <c r="H80" s="13">
        <v>25.246620178223001</v>
      </c>
      <c r="I80" s="13">
        <v>71</v>
      </c>
      <c r="J80" s="13">
        <v>0.89404978444160998</v>
      </c>
      <c r="K80" s="13">
        <v>0.96333190692323301</v>
      </c>
      <c r="L80" s="13">
        <v>0.98446472481700997</v>
      </c>
      <c r="M80" s="13">
        <v>0.99088426080232095</v>
      </c>
      <c r="O80">
        <v>4806.8706989288003</v>
      </c>
      <c r="P80">
        <v>71</v>
      </c>
      <c r="Q80">
        <v>0.86540681336081005</v>
      </c>
      <c r="T80">
        <v>24.892091751098999</v>
      </c>
      <c r="U80">
        <v>71</v>
      </c>
      <c r="V80">
        <v>0.88210612975907998</v>
      </c>
      <c r="W80">
        <v>0.92707108530974602</v>
      </c>
      <c r="X80">
        <v>0.95905029921847096</v>
      </c>
      <c r="Y80">
        <v>0.986062785164871</v>
      </c>
      <c r="Z80">
        <v>661.94677352905001</v>
      </c>
      <c r="AA80">
        <v>70</v>
      </c>
      <c r="AB80">
        <v>0.92609263279340504</v>
      </c>
      <c r="AC80">
        <v>0.961628342298673</v>
      </c>
      <c r="AD80">
        <v>0.97455948368132606</v>
      </c>
      <c r="AE80">
        <v>0.99290434511393899</v>
      </c>
    </row>
    <row r="81" spans="1:31">
      <c r="A81">
        <v>3730.8163642883001</v>
      </c>
      <c r="B81">
        <v>69</v>
      </c>
      <c r="C81">
        <v>0.92651352743974003</v>
      </c>
      <c r="D81">
        <v>0.95519503636271097</v>
      </c>
      <c r="E81">
        <v>0.99455646869439895</v>
      </c>
      <c r="F81">
        <v>0.99130536853666895</v>
      </c>
      <c r="H81" s="13">
        <v>25.882482528687</v>
      </c>
      <c r="I81" s="13">
        <v>72</v>
      </c>
      <c r="J81" s="13">
        <v>0.92411016718188999</v>
      </c>
      <c r="K81" s="13">
        <v>0.96138487680543705</v>
      </c>
      <c r="L81" s="13">
        <v>0.99080600674226105</v>
      </c>
      <c r="M81" s="13">
        <v>0.989415597950698</v>
      </c>
      <c r="O81">
        <v>4550.0063896178999</v>
      </c>
      <c r="P81">
        <v>72</v>
      </c>
      <c r="Q81">
        <v>0.88728629820507998</v>
      </c>
      <c r="T81">
        <v>25.090456008911001</v>
      </c>
      <c r="U81">
        <v>72</v>
      </c>
      <c r="V81">
        <v>0.87483285577840997</v>
      </c>
      <c r="W81">
        <v>0.92858889014253998</v>
      </c>
      <c r="X81">
        <v>0.94987160128110104</v>
      </c>
      <c r="Y81">
        <v>0.98943683219299505</v>
      </c>
      <c r="Z81">
        <v>656.63456916809002</v>
      </c>
      <c r="AA81">
        <v>71</v>
      </c>
      <c r="AB81">
        <v>0.92435720627963602</v>
      </c>
      <c r="AC81">
        <v>0.96069191651450003</v>
      </c>
      <c r="AD81">
        <v>0.99403727969932398</v>
      </c>
      <c r="AE81">
        <v>0.992189498079738</v>
      </c>
    </row>
    <row r="82" spans="1:31">
      <c r="A82">
        <v>3562.3705387115001</v>
      </c>
      <c r="B82">
        <v>70</v>
      </c>
      <c r="C82">
        <v>0.92974839977184998</v>
      </c>
      <c r="D82">
        <v>0.94926048206008895</v>
      </c>
      <c r="E82">
        <v>0.99397940263163698</v>
      </c>
      <c r="F82">
        <v>0.99064282362754796</v>
      </c>
      <c r="H82" s="13">
        <v>25.219917297363001</v>
      </c>
      <c r="I82" s="13">
        <v>73</v>
      </c>
      <c r="J82" s="13">
        <v>0.92446068591138997</v>
      </c>
      <c r="K82" s="13">
        <v>0.95518926698774798</v>
      </c>
      <c r="L82" s="13">
        <v>0.994535287638735</v>
      </c>
      <c r="M82" s="13">
        <v>0.99130641658771301</v>
      </c>
      <c r="O82">
        <v>4411.5209579468001</v>
      </c>
      <c r="P82">
        <v>73</v>
      </c>
      <c r="Q82">
        <v>0.87379613610149998</v>
      </c>
      <c r="T82">
        <v>24.726390838623001</v>
      </c>
      <c r="U82">
        <v>73</v>
      </c>
      <c r="V82">
        <v>0.84516969096057004</v>
      </c>
      <c r="W82">
        <v>0.93605372931074204</v>
      </c>
      <c r="X82">
        <v>0.97812306851992903</v>
      </c>
      <c r="Y82">
        <v>0.98290035340662396</v>
      </c>
      <c r="Z82">
        <v>669.48175430297999</v>
      </c>
      <c r="AA82">
        <v>72</v>
      </c>
      <c r="AB82">
        <v>0.90532046563174895</v>
      </c>
      <c r="AC82">
        <v>0.95030781641404405</v>
      </c>
      <c r="AD82">
        <v>0.96604141669615895</v>
      </c>
      <c r="AE82">
        <v>0.99166960606993004</v>
      </c>
    </row>
    <row r="83" spans="1:31">
      <c r="A83">
        <v>3829.243183136</v>
      </c>
      <c r="B83">
        <v>71</v>
      </c>
      <c r="C83">
        <v>0.90992210399878004</v>
      </c>
      <c r="D83">
        <v>0.964264983553619</v>
      </c>
      <c r="E83">
        <v>0.99090852993808698</v>
      </c>
      <c r="F83">
        <v>0.98960259215154101</v>
      </c>
      <c r="H83" s="13">
        <v>25.784015655518001</v>
      </c>
      <c r="I83" s="13">
        <v>74</v>
      </c>
      <c r="J83" s="13">
        <v>0.91943349647018002</v>
      </c>
      <c r="K83" s="13">
        <v>0.95114091459439298</v>
      </c>
      <c r="L83" s="13">
        <v>0.98730628305151902</v>
      </c>
      <c r="M83" s="13">
        <v>0.99028820099477399</v>
      </c>
      <c r="O83">
        <v>4211.1642360687001</v>
      </c>
      <c r="P83">
        <v>74</v>
      </c>
      <c r="Q83">
        <v>0.86889314382502003</v>
      </c>
      <c r="T83">
        <v>24.93953704834</v>
      </c>
      <c r="U83">
        <v>74</v>
      </c>
      <c r="V83">
        <v>0.87618784317255005</v>
      </c>
      <c r="W83">
        <v>0.93028532588323998</v>
      </c>
      <c r="X83">
        <v>0.94762404162381697</v>
      </c>
      <c r="Y83">
        <v>0.99073511910711998</v>
      </c>
      <c r="Z83">
        <v>653.69105339049997</v>
      </c>
      <c r="AA83">
        <v>73</v>
      </c>
      <c r="AB83">
        <v>0.92665956546082695</v>
      </c>
      <c r="AC83">
        <v>0.96193389021395104</v>
      </c>
      <c r="AD83">
        <v>0.97535611102327102</v>
      </c>
      <c r="AE83">
        <v>0.99195983435851298</v>
      </c>
    </row>
    <row r="84" spans="1:31">
      <c r="A84">
        <v>3701.9643783568999</v>
      </c>
      <c r="B84">
        <v>72</v>
      </c>
      <c r="C84">
        <v>0.91423286604360998</v>
      </c>
      <c r="D84">
        <v>0.95622867527073097</v>
      </c>
      <c r="E84">
        <v>0.99047317218396702</v>
      </c>
      <c r="F84">
        <v>0.99105298433266298</v>
      </c>
      <c r="H84" s="18">
        <f>AVERAGE(H10:H83)</f>
        <v>26.06365487382218</v>
      </c>
      <c r="I84" s="18"/>
      <c r="J84" s="18">
        <f>SUBTOTAL(101,Tabella5[iou])</f>
        <v>0.91881935455392127</v>
      </c>
      <c r="K84" s="18">
        <f>SUBTOTAL(101,Tabella5[dice])</f>
        <v>0.95766707695307218</v>
      </c>
      <c r="L84" s="18">
        <f>SUBTOTAL(101,Tabella5[sensitivity])</f>
        <v>0.99109991575046652</v>
      </c>
      <c r="M84" s="18">
        <f>SUBTOTAL(101,Tabella5[specificity])</f>
        <v>0.98972205723510986</v>
      </c>
      <c r="P84" t="s">
        <v>10</v>
      </c>
      <c r="Q84" t="s">
        <v>11</v>
      </c>
      <c r="U84" t="s">
        <v>10</v>
      </c>
      <c r="V84" t="s">
        <v>11</v>
      </c>
      <c r="Z84">
        <v>664.55459594726995</v>
      </c>
      <c r="AA84">
        <v>74</v>
      </c>
      <c r="AB84">
        <v>0.93529169947255097</v>
      </c>
      <c r="AC84">
        <v>0.96656405825277603</v>
      </c>
      <c r="AD84">
        <v>0.986427201446197</v>
      </c>
      <c r="AE84">
        <v>0.99184653066592099</v>
      </c>
    </row>
    <row r="85" spans="1:31">
      <c r="A85">
        <v>3652.2123813629</v>
      </c>
      <c r="B85">
        <v>73</v>
      </c>
      <c r="C85">
        <v>0.91189990393700004</v>
      </c>
      <c r="D85">
        <v>0.95465315920726501</v>
      </c>
      <c r="E85">
        <v>0.98488394460117901</v>
      </c>
      <c r="F85">
        <v>0.98940472479129804</v>
      </c>
      <c r="O85" s="8">
        <f>AVERAGE(O9:O84)</f>
        <v>8474.5152346292689</v>
      </c>
      <c r="Q85" s="8">
        <f>AVERAGE(Q9:Q84)</f>
        <v>0.86317965229771665</v>
      </c>
      <c r="T85" s="8">
        <f>AVERAGE(T9:T84)</f>
        <v>31.842689514160192</v>
      </c>
      <c r="V85" s="8">
        <f>AVERAGE(V9:V84)</f>
        <v>0.8631809222594643</v>
      </c>
      <c r="W85" s="8">
        <f>AVERAGE(W9:W84)</f>
        <v>0.92647938510839523</v>
      </c>
      <c r="X85" s="8">
        <f>AVERAGE(X9:X84)</f>
        <v>0.96858303757965192</v>
      </c>
      <c r="Y85" s="8">
        <f>AVERAGE(Y9:Y84)</f>
        <v>0.98366210934011145</v>
      </c>
      <c r="Z85" s="1">
        <f>AVERAGE(Z10:Z84)</f>
        <v>693.06741396586051</v>
      </c>
      <c r="AA85" s="1" t="s">
        <v>10</v>
      </c>
      <c r="AB85" s="1">
        <f>AVERAGE(AB10:AB84)</f>
        <v>0.92680906819252451</v>
      </c>
      <c r="AC85" s="1">
        <f>SUBTOTAL(101,Tabella2[dice])</f>
        <v>0.96196468088224762</v>
      </c>
      <c r="AD85" s="1">
        <f>SUBTOTAL(101,Tabella2[sensitivity])</f>
        <v>0.98471079920986782</v>
      </c>
      <c r="AE85" s="1">
        <f>SUBTOTAL(101,Tabella2[specificity])</f>
        <v>0.9918607523323969</v>
      </c>
    </row>
    <row r="86" spans="1:31">
      <c r="A86">
        <v>4866.4493560790997</v>
      </c>
      <c r="B86">
        <v>74</v>
      </c>
      <c r="C86">
        <v>0.91380674996665001</v>
      </c>
      <c r="D86">
        <v>0.96083302662250003</v>
      </c>
      <c r="E86">
        <v>0.99191007678302801</v>
      </c>
      <c r="F86">
        <v>0.99003085944531</v>
      </c>
      <c r="G86">
        <f>STDEVA(H10:H83)</f>
        <v>2.3076081874826304</v>
      </c>
      <c r="I86">
        <f>STDEVA(Tabella2[iou])</f>
        <v>1.3334964244148316E-2</v>
      </c>
      <c r="J86">
        <f>STDEVA(Tabella5[dice])</f>
        <v>5.1850911098067576E-3</v>
      </c>
      <c r="K86">
        <f>STDEVA(Tabella5[sensitivity])</f>
        <v>3.0870815999606113E-3</v>
      </c>
      <c r="L86">
        <f>STDEVA(Tabella5[specificity])</f>
        <v>1.2405311649343741E-3</v>
      </c>
    </row>
    <row r="87" spans="1:31">
      <c r="A87">
        <f>AVERAGE(Tabella1[time])</f>
        <v>5034.4664096832239</v>
      </c>
      <c r="C87">
        <f>SUBTOTAL(101,Tabella1[iou])</f>
        <v>0.91881685173019756</v>
      </c>
      <c r="D87">
        <f>SUBTOTAL(101,Tabella1[dice])</f>
        <v>0.95766571493736308</v>
      </c>
      <c r="E87">
        <f>SUBTOTAL(101,Tabella1[sensitivity])</f>
        <v>0.99109829544381212</v>
      </c>
      <c r="F87">
        <f>SUBTOTAL(101,Tabella1[specificity])</f>
        <v>0.98972188136007733</v>
      </c>
      <c r="N87">
        <f>STDEVA(O12:O83)</f>
        <v>3063.9279695434343</v>
      </c>
      <c r="P87">
        <f>STDEVA(Q9:Q83)</f>
        <v>1.6818012618478123E-2</v>
      </c>
      <c r="T87">
        <f>STDEVA(T10:T83)</f>
        <v>2.3652937045751798</v>
      </c>
      <c r="V87">
        <f>STDEVA(V9:V83)</f>
        <v>1.6839488236388533E-2</v>
      </c>
      <c r="W87">
        <f>STDEVA(W9:W83)</f>
        <v>9.8193808494522923E-3</v>
      </c>
      <c r="X87">
        <f>STDEVA(X9:X83)</f>
        <v>1.0137171048226076E-2</v>
      </c>
      <c r="Y87">
        <f>STDEVA(Y9:Y83)</f>
        <v>4.5679498707959024E-3</v>
      </c>
      <c r="AB87">
        <f>STDEVA(AB9:AB83)</f>
        <v>0.10782858396206393</v>
      </c>
      <c r="AC87">
        <f>STDEVA(AC9:AC83)</f>
        <v>0.11130840832027662</v>
      </c>
      <c r="AD87">
        <f>STDEVA(AD9:AD83)</f>
        <v>0.11430691619119791</v>
      </c>
      <c r="AE87">
        <f>STDEVA(AE9:AE83)</f>
        <v>0.11453543240925561</v>
      </c>
    </row>
    <row r="89" spans="1:31">
      <c r="A89">
        <f>STDEVA(Tabella1[time])</f>
        <v>2531.1797108095175</v>
      </c>
      <c r="C89">
        <f>STDEVA(Tabella1[iou])</f>
        <v>9.4977660807686222E-3</v>
      </c>
      <c r="D89">
        <f>STDEVA(Tabella1[dice])</f>
        <v>5.1853394426167546E-3</v>
      </c>
      <c r="E89">
        <f>STDEVA(Tabella1[sensitivity])</f>
        <v>3.087196104502931E-3</v>
      </c>
      <c r="F89">
        <f>STDEVA(Tabella1[specificity])</f>
        <v>1.2406905601016532E-3</v>
      </c>
    </row>
    <row r="90" spans="1:31">
      <c r="H90" s="14" t="s">
        <v>14</v>
      </c>
    </row>
    <row r="91" spans="1:31">
      <c r="H91" s="15">
        <v>0.05</v>
      </c>
      <c r="I91" cm="1">
        <f t="array" ref="I91:I111">FREQUENCY(Tabella5[iou],H91:H110)</f>
        <v>0</v>
      </c>
      <c r="J91">
        <f>I91/75*0.05</f>
        <v>0</v>
      </c>
      <c r="K91" cm="1">
        <f t="array" ref="K91:K111">FREQUENCY(Tabella2[iou],H91:H110)</f>
        <v>0</v>
      </c>
      <c r="L91">
        <f>K91/75*0.05</f>
        <v>0</v>
      </c>
    </row>
    <row r="92" spans="1:31">
      <c r="H92" s="15">
        <v>0.1</v>
      </c>
      <c r="I92">
        <v>0</v>
      </c>
      <c r="J92">
        <f t="shared" ref="J92:J110" si="0">I92/75*0.05</f>
        <v>0</v>
      </c>
      <c r="K92">
        <v>0</v>
      </c>
      <c r="L92">
        <f t="shared" ref="L92:L110" si="1">K92/75*0.05</f>
        <v>0</v>
      </c>
    </row>
    <row r="93" spans="1:31">
      <c r="H93" s="15">
        <v>0.15</v>
      </c>
      <c r="I93">
        <v>0</v>
      </c>
      <c r="J93">
        <f t="shared" si="0"/>
        <v>0</v>
      </c>
      <c r="K93">
        <v>0</v>
      </c>
      <c r="L93">
        <f t="shared" si="1"/>
        <v>0</v>
      </c>
      <c r="N93">
        <f>TTEST(Tabella5[iou],Tabella2[iou],2,1)</f>
        <v>1.068973630918427E-4</v>
      </c>
    </row>
    <row r="94" spans="1:31">
      <c r="H94" s="15">
        <v>0.2</v>
      </c>
      <c r="I94">
        <v>0</v>
      </c>
      <c r="J94">
        <f t="shared" si="0"/>
        <v>0</v>
      </c>
      <c r="K94">
        <v>0</v>
      </c>
      <c r="L94">
        <f t="shared" si="1"/>
        <v>0</v>
      </c>
    </row>
    <row r="95" spans="1:31">
      <c r="H95" s="15">
        <v>0.25</v>
      </c>
      <c r="I95">
        <v>0</v>
      </c>
      <c r="J95">
        <f t="shared" si="0"/>
        <v>0</v>
      </c>
      <c r="K95">
        <v>0</v>
      </c>
      <c r="L95">
        <f t="shared" si="1"/>
        <v>0</v>
      </c>
    </row>
    <row r="96" spans="1:31">
      <c r="H96" s="15">
        <v>0.3</v>
      </c>
      <c r="I96">
        <v>0</v>
      </c>
      <c r="J96">
        <f t="shared" si="0"/>
        <v>0</v>
      </c>
      <c r="K96">
        <v>0</v>
      </c>
      <c r="L96">
        <f t="shared" si="1"/>
        <v>0</v>
      </c>
    </row>
    <row r="97" spans="8:23">
      <c r="H97" s="15">
        <v>0.35</v>
      </c>
      <c r="I97">
        <v>0</v>
      </c>
      <c r="J97">
        <f t="shared" si="0"/>
        <v>0</v>
      </c>
      <c r="K97">
        <v>0</v>
      </c>
      <c r="L97">
        <f t="shared" si="1"/>
        <v>0</v>
      </c>
    </row>
    <row r="98" spans="8:23">
      <c r="H98" s="15">
        <v>0.4</v>
      </c>
      <c r="I98">
        <v>0</v>
      </c>
      <c r="J98">
        <f t="shared" si="0"/>
        <v>0</v>
      </c>
      <c r="K98">
        <v>0</v>
      </c>
      <c r="L98">
        <f t="shared" si="1"/>
        <v>0</v>
      </c>
    </row>
    <row r="99" spans="8:23">
      <c r="H99" s="15">
        <v>0.45</v>
      </c>
      <c r="I99">
        <v>0</v>
      </c>
      <c r="J99">
        <f t="shared" si="0"/>
        <v>0</v>
      </c>
      <c r="K99">
        <v>0</v>
      </c>
      <c r="L99">
        <f t="shared" si="1"/>
        <v>0</v>
      </c>
    </row>
    <row r="100" spans="8:23">
      <c r="H100" s="15">
        <v>0.5</v>
      </c>
      <c r="I100">
        <v>0</v>
      </c>
      <c r="J100">
        <f t="shared" si="0"/>
        <v>0</v>
      </c>
      <c r="K100">
        <v>0</v>
      </c>
      <c r="L100">
        <f t="shared" si="1"/>
        <v>0</v>
      </c>
      <c r="W100">
        <f>TTEST(Tabella5[iou],Tabella2[iou],1,2)</f>
        <v>2.0675853713623081E-5</v>
      </c>
    </row>
    <row r="101" spans="8:23">
      <c r="H101" s="15">
        <v>0.55000000000000004</v>
      </c>
      <c r="I101">
        <v>0</v>
      </c>
      <c r="J101">
        <f t="shared" si="0"/>
        <v>0</v>
      </c>
      <c r="K101">
        <v>0</v>
      </c>
      <c r="L101">
        <f t="shared" si="1"/>
        <v>0</v>
      </c>
    </row>
    <row r="102" spans="8:23">
      <c r="H102" s="15">
        <v>0.6</v>
      </c>
      <c r="I102">
        <v>0</v>
      </c>
      <c r="J102">
        <f t="shared" si="0"/>
        <v>0</v>
      </c>
      <c r="K102">
        <v>0</v>
      </c>
      <c r="L102">
        <f t="shared" si="1"/>
        <v>0</v>
      </c>
      <c r="W102" t="e" cm="1">
        <f t="array" ref="W102">test</f>
        <v>#NAME?</v>
      </c>
    </row>
    <row r="103" spans="8:23">
      <c r="H103" s="15">
        <v>0.65</v>
      </c>
      <c r="I103">
        <v>0</v>
      </c>
      <c r="J103">
        <f t="shared" si="0"/>
        <v>0</v>
      </c>
      <c r="K103">
        <v>0</v>
      </c>
      <c r="L103">
        <f t="shared" si="1"/>
        <v>0</v>
      </c>
    </row>
    <row r="104" spans="8:23">
      <c r="H104" s="15">
        <v>0.7</v>
      </c>
      <c r="I104">
        <v>0</v>
      </c>
      <c r="J104">
        <f t="shared" si="0"/>
        <v>0</v>
      </c>
      <c r="K104">
        <v>0</v>
      </c>
      <c r="L104">
        <f t="shared" si="1"/>
        <v>0</v>
      </c>
    </row>
    <row r="105" spans="8:23">
      <c r="H105" s="15">
        <v>0.75</v>
      </c>
      <c r="I105">
        <v>0</v>
      </c>
      <c r="J105">
        <f t="shared" si="0"/>
        <v>0</v>
      </c>
      <c r="K105">
        <v>0</v>
      </c>
      <c r="L105">
        <f t="shared" si="1"/>
        <v>0</v>
      </c>
    </row>
    <row r="106" spans="8:23">
      <c r="H106" s="15">
        <v>0.8</v>
      </c>
      <c r="I106">
        <v>0</v>
      </c>
      <c r="J106">
        <f t="shared" si="0"/>
        <v>0</v>
      </c>
      <c r="K106">
        <v>0</v>
      </c>
      <c r="L106">
        <f t="shared" si="1"/>
        <v>0</v>
      </c>
    </row>
    <row r="107" spans="8:23">
      <c r="H107" s="15">
        <v>0.85</v>
      </c>
      <c r="I107">
        <v>0</v>
      </c>
      <c r="J107">
        <f t="shared" si="0"/>
        <v>0</v>
      </c>
      <c r="K107">
        <v>0</v>
      </c>
      <c r="L107">
        <f t="shared" si="1"/>
        <v>0</v>
      </c>
    </row>
    <row r="108" spans="8:23">
      <c r="H108" s="15">
        <v>0.9</v>
      </c>
      <c r="I108">
        <v>5</v>
      </c>
      <c r="J108">
        <f t="shared" si="0"/>
        <v>3.3333333333333335E-3</v>
      </c>
      <c r="K108">
        <v>3</v>
      </c>
      <c r="L108">
        <f t="shared" si="1"/>
        <v>2E-3</v>
      </c>
    </row>
    <row r="109" spans="8:23">
      <c r="H109" s="15">
        <v>0.95</v>
      </c>
      <c r="I109">
        <v>70</v>
      </c>
      <c r="J109">
        <f t="shared" si="0"/>
        <v>4.6666666666666669E-2</v>
      </c>
      <c r="K109">
        <v>72</v>
      </c>
      <c r="L109">
        <f t="shared" si="1"/>
        <v>4.8000000000000001E-2</v>
      </c>
    </row>
    <row r="110" spans="8:23">
      <c r="H110" s="15">
        <v>1</v>
      </c>
      <c r="I110">
        <v>0</v>
      </c>
      <c r="J110">
        <f t="shared" si="0"/>
        <v>0</v>
      </c>
      <c r="K110">
        <v>0</v>
      </c>
      <c r="L110">
        <f t="shared" si="1"/>
        <v>0</v>
      </c>
    </row>
    <row r="111" spans="8:23">
      <c r="I111">
        <v>0</v>
      </c>
      <c r="K111">
        <v>0</v>
      </c>
    </row>
    <row r="114" spans="2:20">
      <c r="T114">
        <f>TTEST(Tabella5[iou],P116:P190,1,2)</f>
        <v>8.7761708749850537E-2</v>
      </c>
    </row>
    <row r="116" spans="2:20">
      <c r="P116" s="20">
        <v>0.90230683211889395</v>
      </c>
    </row>
    <row r="117" spans="2:20">
      <c r="P117" s="1">
        <v>0.89498202026806095</v>
      </c>
    </row>
    <row r="118" spans="2:20">
      <c r="P118" s="20">
        <v>0.91958339908473996</v>
      </c>
    </row>
    <row r="119" spans="2:20">
      <c r="P119" s="1">
        <v>0.91851245331573095</v>
      </c>
    </row>
    <row r="120" spans="2:20">
      <c r="P120" s="20">
        <v>0.93013053559671299</v>
      </c>
    </row>
    <row r="121" spans="2:20">
      <c r="P121" s="1">
        <v>0.91698704132173203</v>
      </c>
    </row>
    <row r="122" spans="2:20">
      <c r="P122" s="20">
        <v>0.91678191777850004</v>
      </c>
    </row>
    <row r="123" spans="2:20">
      <c r="B123" t="s">
        <v>15</v>
      </c>
      <c r="P123" s="1">
        <v>0.91119348160021296</v>
      </c>
    </row>
    <row r="124" spans="2:20">
      <c r="B124" t="s">
        <v>16</v>
      </c>
      <c r="P124" s="20">
        <v>0.90761085159608401</v>
      </c>
    </row>
    <row r="125" spans="2:20">
      <c r="B125" t="s">
        <v>17</v>
      </c>
      <c r="P125" s="1">
        <v>0.85117850135359996</v>
      </c>
    </row>
    <row r="126" spans="2:20">
      <c r="B126" t="s">
        <v>18</v>
      </c>
      <c r="P126" s="20">
        <v>0.90943705179675804</v>
      </c>
    </row>
    <row r="127" spans="2:20">
      <c r="B127" t="s">
        <v>19</v>
      </c>
      <c r="P127" s="1">
        <v>0.93001362010387201</v>
      </c>
    </row>
    <row r="128" spans="2:20">
      <c r="B128" t="s">
        <v>20</v>
      </c>
      <c r="P128" s="20">
        <v>0.92785568571098598</v>
      </c>
    </row>
    <row r="129" spans="2:16">
      <c r="B129" t="s">
        <v>21</v>
      </c>
      <c r="P129" s="1">
        <v>0.93343960760269695</v>
      </c>
    </row>
    <row r="130" spans="2:16">
      <c r="B130" t="s">
        <v>22</v>
      </c>
      <c r="P130" s="20">
        <v>0.91503800217155196</v>
      </c>
    </row>
    <row r="131" spans="2:16">
      <c r="B131" t="s">
        <v>23</v>
      </c>
      <c r="P131" s="1">
        <v>0.55939881568814798</v>
      </c>
    </row>
    <row r="132" spans="2:16">
      <c r="B132" t="s">
        <v>24</v>
      </c>
      <c r="P132" s="20">
        <v>0.90477336301019595</v>
      </c>
    </row>
    <row r="133" spans="2:16">
      <c r="B133" t="s">
        <v>25</v>
      </c>
      <c r="P133" s="1">
        <v>0.92018535155326497</v>
      </c>
    </row>
    <row r="134" spans="2:16">
      <c r="B134" t="s">
        <v>26</v>
      </c>
      <c r="P134" s="20">
        <v>0.91924402512877301</v>
      </c>
    </row>
    <row r="135" spans="2:16">
      <c r="B135" t="s">
        <v>27</v>
      </c>
      <c r="P135" s="1">
        <v>0.93494596150156595</v>
      </c>
    </row>
    <row r="136" spans="2:16">
      <c r="B136" t="s">
        <v>28</v>
      </c>
      <c r="P136" s="20">
        <v>0.929117164686587</v>
      </c>
    </row>
    <row r="137" spans="2:16">
      <c r="B137" t="s">
        <v>29</v>
      </c>
      <c r="P137" s="1">
        <v>0.90427433443277505</v>
      </c>
    </row>
    <row r="138" spans="2:16">
      <c r="B138" t="s">
        <v>30</v>
      </c>
      <c r="P138" s="20">
        <v>0.92513342144446398</v>
      </c>
    </row>
    <row r="139" spans="2:16">
      <c r="B139" t="s">
        <v>31</v>
      </c>
      <c r="P139" s="1">
        <v>0.91703272770226796</v>
      </c>
    </row>
    <row r="140" spans="2:16">
      <c r="B140" t="s">
        <v>32</v>
      </c>
      <c r="P140" s="20">
        <v>0.91176846597893502</v>
      </c>
    </row>
    <row r="141" spans="2:16">
      <c r="B141" t="s">
        <v>33</v>
      </c>
      <c r="P141" s="1">
        <v>0.92442654976016403</v>
      </c>
    </row>
    <row r="142" spans="2:16">
      <c r="B142" t="s">
        <v>34</v>
      </c>
      <c r="P142" s="20">
        <v>0.919391523392599</v>
      </c>
    </row>
    <row r="143" spans="2:16">
      <c r="B143" t="s">
        <v>35</v>
      </c>
      <c r="P143" s="1">
        <v>0.93445256136848298</v>
      </c>
    </row>
    <row r="144" spans="2:16">
      <c r="B144" t="s">
        <v>36</v>
      </c>
      <c r="P144" s="20">
        <v>0.93008410173269795</v>
      </c>
    </row>
    <row r="145" spans="2:16">
      <c r="B145" t="s">
        <v>37</v>
      </c>
      <c r="P145" s="1">
        <v>0.93697984384016897</v>
      </c>
    </row>
    <row r="146" spans="2:16">
      <c r="B146" t="s">
        <v>38</v>
      </c>
      <c r="P146" s="20">
        <v>0.92360966329615302</v>
      </c>
    </row>
    <row r="147" spans="2:16">
      <c r="B147" t="s">
        <v>39</v>
      </c>
      <c r="P147" s="1">
        <v>0.93861902075477299</v>
      </c>
    </row>
    <row r="148" spans="2:16">
      <c r="B148" t="s">
        <v>40</v>
      </c>
      <c r="P148" s="20">
        <v>0.905843561091775</v>
      </c>
    </row>
    <row r="149" spans="2:16">
      <c r="B149" t="s">
        <v>41</v>
      </c>
      <c r="P149" s="1">
        <v>0.91827327169573403</v>
      </c>
    </row>
    <row r="150" spans="2:16">
      <c r="B150" t="s">
        <v>42</v>
      </c>
      <c r="P150" s="20">
        <v>0.91440176857114397</v>
      </c>
    </row>
    <row r="151" spans="2:16">
      <c r="B151" t="s">
        <v>43</v>
      </c>
      <c r="P151" s="1">
        <v>0.93048669432358599</v>
      </c>
    </row>
    <row r="152" spans="2:16">
      <c r="B152" t="s">
        <v>44</v>
      </c>
      <c r="P152" s="20">
        <v>0.91182885826134097</v>
      </c>
    </row>
    <row r="153" spans="2:16">
      <c r="B153" t="s">
        <v>45</v>
      </c>
      <c r="P153" s="1">
        <v>0.91961000599649001</v>
      </c>
    </row>
    <row r="154" spans="2:16">
      <c r="B154" t="s">
        <v>46</v>
      </c>
      <c r="P154" s="20">
        <v>0.93628583599024096</v>
      </c>
    </row>
    <row r="155" spans="2:16">
      <c r="B155" t="s">
        <v>47</v>
      </c>
      <c r="P155" s="1">
        <v>0.91741761836783198</v>
      </c>
    </row>
    <row r="156" spans="2:16">
      <c r="B156" t="s">
        <v>48</v>
      </c>
      <c r="P156" s="20">
        <v>0.90063055962166405</v>
      </c>
    </row>
    <row r="157" spans="2:16">
      <c r="B157" t="s">
        <v>49</v>
      </c>
      <c r="P157" s="1">
        <v>0.913333073960238</v>
      </c>
    </row>
    <row r="158" spans="2:16">
      <c r="B158" t="s">
        <v>50</v>
      </c>
      <c r="P158" s="20">
        <v>0.92274216039173695</v>
      </c>
    </row>
    <row r="159" spans="2:16">
      <c r="B159" t="s">
        <v>51</v>
      </c>
      <c r="P159" s="1">
        <v>0.90456481848238102</v>
      </c>
    </row>
    <row r="160" spans="2:16">
      <c r="B160" t="s">
        <v>52</v>
      </c>
      <c r="P160" s="20">
        <v>0.92481396358025603</v>
      </c>
    </row>
    <row r="161" spans="2:16">
      <c r="B161" t="s">
        <v>53</v>
      </c>
      <c r="P161" s="1">
        <v>0.89819217797515505</v>
      </c>
    </row>
    <row r="162" spans="2:16">
      <c r="B162" t="s">
        <v>54</v>
      </c>
      <c r="P162" s="20">
        <v>0.81027894240141096</v>
      </c>
    </row>
    <row r="163" spans="2:16">
      <c r="B163" t="s">
        <v>55</v>
      </c>
      <c r="P163" s="1">
        <v>0.92077286266556801</v>
      </c>
    </row>
    <row r="164" spans="2:16">
      <c r="B164" t="s">
        <v>56</v>
      </c>
      <c r="P164" s="20">
        <v>0.93192793617650804</v>
      </c>
    </row>
    <row r="165" spans="2:16">
      <c r="B165" t="s">
        <v>57</v>
      </c>
      <c r="P165" s="1">
        <v>0.93339555877517999</v>
      </c>
    </row>
    <row r="166" spans="2:16">
      <c r="B166" t="s">
        <v>58</v>
      </c>
      <c r="P166" s="20">
        <v>0.84590365457013295</v>
      </c>
    </row>
    <row r="167" spans="2:16">
      <c r="B167" t="s">
        <v>59</v>
      </c>
      <c r="P167" s="1">
        <v>0.93056898016905198</v>
      </c>
    </row>
    <row r="168" spans="2:16">
      <c r="B168" t="s">
        <v>60</v>
      </c>
      <c r="P168" s="20">
        <v>0.88549472747434299</v>
      </c>
    </row>
    <row r="169" spans="2:16">
      <c r="B169" t="s">
        <v>61</v>
      </c>
      <c r="P169" s="1">
        <v>0.91746676964351004</v>
      </c>
    </row>
    <row r="170" spans="2:16">
      <c r="B170" t="s">
        <v>62</v>
      </c>
      <c r="P170" s="20">
        <v>0.92813070183990898</v>
      </c>
    </row>
    <row r="171" spans="2:16">
      <c r="P171" s="1">
        <v>0.89808299457295504</v>
      </c>
    </row>
    <row r="172" spans="2:16">
      <c r="P172" s="20">
        <v>0.91319208765635596</v>
      </c>
    </row>
    <row r="173" spans="2:16">
      <c r="P173" s="1">
        <v>0.92502838973427204</v>
      </c>
    </row>
    <row r="174" spans="2:16">
      <c r="P174" s="20">
        <v>0.92345082393267997</v>
      </c>
    </row>
    <row r="175" spans="2:16">
      <c r="P175" s="1">
        <v>0.93259534187849702</v>
      </c>
    </row>
    <row r="176" spans="2:16">
      <c r="P176" s="20">
        <v>0.915407538716003</v>
      </c>
    </row>
    <row r="177" spans="16:16">
      <c r="P177" s="1">
        <v>0.93000489856852897</v>
      </c>
    </row>
    <row r="178" spans="16:16">
      <c r="P178" s="20">
        <v>0.91409812146635006</v>
      </c>
    </row>
    <row r="179" spans="16:16">
      <c r="P179" s="1">
        <v>0.92166930443217499</v>
      </c>
    </row>
    <row r="180" spans="16:16">
      <c r="P180" s="20">
        <v>0.91909071026299904</v>
      </c>
    </row>
    <row r="181" spans="16:16">
      <c r="P181" s="1">
        <v>0.92901567831382503</v>
      </c>
    </row>
    <row r="182" spans="16:16">
      <c r="P182" s="20">
        <v>0.92433956843235399</v>
      </c>
    </row>
    <row r="183" spans="16:16">
      <c r="P183" s="1">
        <v>0.92549559924323399</v>
      </c>
    </row>
    <row r="184" spans="16:16">
      <c r="P184" s="20">
        <v>0.914651493598862</v>
      </c>
    </row>
    <row r="185" spans="16:16">
      <c r="P185" s="1">
        <v>0.92659809684795102</v>
      </c>
    </row>
    <row r="186" spans="16:16">
      <c r="P186" s="20">
        <v>0.92257884580594496</v>
      </c>
    </row>
    <row r="187" spans="16:16">
      <c r="P187" s="1">
        <v>0.92040364068064895</v>
      </c>
    </row>
    <row r="188" spans="16:16">
      <c r="P188" s="20">
        <v>0.90900620822756495</v>
      </c>
    </row>
    <row r="189" spans="16:16">
      <c r="P189" s="1">
        <v>0.91756389810784</v>
      </c>
    </row>
    <row r="190" spans="16:16">
      <c r="P190" s="20">
        <v>0.93646296514907001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E3E1DE-F575-4C10-A0AC-499587AA178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TimeDfBBoxAutoSam</vt:lpstr>
      <vt:lpstr>TimeDfBBoxAutoSam (2)</vt:lpstr>
      <vt:lpstr>TimeDfBBoxAutoSam (3)</vt:lpstr>
      <vt:lpstr>TimeDfBBoxStudent</vt:lpstr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Marco De Zen</cp:lastModifiedBy>
  <dcterms:created xsi:type="dcterms:W3CDTF">2025-06-25T16:05:37Z</dcterms:created>
  <dcterms:modified xsi:type="dcterms:W3CDTF">2025-07-11T07:45:59Z</dcterms:modified>
  <cp:category/>
</cp:coreProperties>
</file>