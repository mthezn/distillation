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ser\OneDrive - Politecnico di Milano\Documenti\POLIMI\Tesi\distillation\RISULTATI AUTOSAM\"/>
    </mc:Choice>
  </mc:AlternateContent>
  <xr:revisionPtr revIDLastSave="0" documentId="13_ncr:1_{C0EC78E0-C169-4FB5-8F9C-D47867A05F99}" xr6:coauthVersionLast="47" xr6:coauthVersionMax="47" xr10:uidLastSave="{00000000-0000-0000-0000-000000000000}"/>
  <bookViews>
    <workbookView minimized="1" xWindow="9915" yWindow="-14055" windowWidth="17280" windowHeight="8880" firstSheet="1" activeTab="4" xr2:uid="{00000000-000D-0000-FFFF-FFFF00000000}"/>
  </bookViews>
  <sheets>
    <sheet name="TimeDfBBoxAutoSam" sheetId="2" r:id="rId1"/>
    <sheet name="TimeDfBBoxAutoSam (2)" sheetId="3" r:id="rId2"/>
    <sheet name="TimeDfBBoxAutoSam (3)" sheetId="4" r:id="rId3"/>
    <sheet name="TimeDfBBoxAutoSam (4)" sheetId="5" r:id="rId4"/>
    <sheet name="Worksheet" sheetId="1" r:id="rId5"/>
  </sheets>
  <definedNames>
    <definedName name="DatiEsterni_1" localSheetId="0" hidden="1">TimeDfBBoxAutoSam!$A$1:$F$77</definedName>
    <definedName name="DatiEsterni_1" localSheetId="1" hidden="1">'TimeDfBBoxAutoSam (2)'!$A$1:$F$77</definedName>
    <definedName name="DatiEsterni_1" localSheetId="2" hidden="1">'TimeDfBBoxAutoSam (3)'!$A$1:$F$77</definedName>
    <definedName name="DatiEsterni_1" localSheetId="3" hidden="1">'TimeDfBBoxAutoSam (4)'!$A$1:$F$77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88" i="1" l="1"/>
  <c r="Q88" i="1"/>
  <c r="P88" i="1"/>
  <c r="R86" i="1"/>
  <c r="Q86" i="1"/>
  <c r="P86" i="1"/>
  <c r="Z88" i="1"/>
  <c r="E88" i="1"/>
  <c r="F88" i="1"/>
  <c r="D88" i="1"/>
  <c r="F86" i="1"/>
  <c r="E86" i="1"/>
  <c r="D86" i="1"/>
  <c r="X89" i="1" l="1"/>
  <c r="W89" i="1"/>
  <c r="V89" i="1"/>
  <c r="X87" i="1"/>
  <c r="W87" i="1"/>
  <c r="V87" i="1"/>
  <c r="L88" i="1"/>
  <c r="K88" i="1"/>
  <c r="J88" i="1"/>
  <c r="L86" i="1"/>
  <c r="K86" i="1"/>
  <c r="J86" i="1"/>
  <c r="C88" i="1"/>
  <c r="C86" i="1"/>
  <c r="A88" i="1"/>
  <c r="A86" i="1"/>
  <c r="G86" i="1"/>
  <c r="I86" i="1"/>
  <c r="AG88" i="1"/>
  <c r="AE88" i="1"/>
  <c r="AB88" i="1"/>
  <c r="U89" i="1"/>
  <c r="S89" i="1"/>
  <c r="O88" i="1"/>
  <c r="M88" i="1"/>
  <c r="U87" i="1"/>
  <c r="S87" i="1"/>
  <c r="O86" i="1"/>
  <c r="M8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DD90C1F-272C-4402-84DD-B578DAC24A07}" keepAlive="1" name="Query - TimeDfBBoxAutoSam" description="Connessione alla query 'TimeDfBBoxAutoSam' nella cartella di lavoro." type="5" refreshedVersion="8" background="1" saveData="1">
    <dbPr connection="Provider=Microsoft.Mashup.OleDb.1;Data Source=$Workbook$;Location=TimeDfBBoxAutoSam;Extended Properties=&quot;&quot;" command="SELECT * FROM [TimeDfBBoxAutoSam]"/>
  </connection>
  <connection id="2" xr16:uid="{A4A549DB-6810-4CCD-9805-95CDB15C89DE}" keepAlive="1" name="Query - TimeDfBBoxAutoSam (2)" description="Connessione alla query 'TimeDfBBoxAutoSam (2)' nella cartella di lavoro." type="5" refreshedVersion="8" background="1" saveData="1">
    <dbPr connection="Provider=Microsoft.Mashup.OleDb.1;Data Source=$Workbook$;Location=&quot;TimeDfBBoxAutoSam (2)&quot;;Extended Properties=&quot;&quot;" command="SELECT * FROM [TimeDfBBoxAutoSam (2)]"/>
  </connection>
  <connection id="3" xr16:uid="{D56ABE94-EC09-42BB-A487-D50110CBB5A6}" keepAlive="1" name="Query - TimeDfBBoxAutoSam (3)" description="Connessione alla query 'TimeDfBBoxAutoSam (3)' nella cartella di lavoro." type="5" refreshedVersion="8" background="1" saveData="1">
    <dbPr connection="Provider=Microsoft.Mashup.OleDb.1;Data Source=$Workbook$;Location=&quot;TimeDfBBoxAutoSam (3)&quot;;Extended Properties=&quot;&quot;" command="SELECT * FROM [TimeDfBBoxAutoSam (3)]"/>
  </connection>
  <connection id="4" xr16:uid="{A1DF8136-E186-4B33-9D17-99889805F5E1}" keepAlive="1" name="Query - TimeDfBBoxAutoSam (4)" description="Connessione alla query 'TimeDfBBoxAutoSam (4)' nella cartella di lavoro." type="5" refreshedVersion="8" background="1" saveData="1">
    <dbPr connection="Provider=Microsoft.Mashup.OleDb.1;Data Source=$Workbook$;Location=&quot;TimeDfBBoxAutoSam (4)&quot;;Extended Properties=&quot;&quot;" command="SELECT * FROM [TimeDfBBoxAutoSam (4)]"/>
  </connection>
</connections>
</file>

<file path=xl/sharedStrings.xml><?xml version="1.0" encoding="utf-8"?>
<sst xmlns="http://schemas.openxmlformats.org/spreadsheetml/2006/main" count="1901" uniqueCount="1194">
  <si>
    <t>time</t>
  </si>
  <si>
    <t>index</t>
  </si>
  <si>
    <t>iou</t>
  </si>
  <si>
    <t xml:space="preserve">CPU </t>
  </si>
  <si>
    <t>GPU</t>
  </si>
  <si>
    <t>SAM VITb</t>
  </si>
  <si>
    <t>sam_vit_b_01ec64.pth</t>
  </si>
  <si>
    <t>CPU</t>
  </si>
  <si>
    <t>MEDIA</t>
  </si>
  <si>
    <t>IOU</t>
  </si>
  <si>
    <t>TEMPO</t>
  </si>
  <si>
    <t>Column1</t>
  </si>
  <si>
    <t>Column2</t>
  </si>
  <si>
    <t>Column3</t>
  </si>
  <si>
    <t>Column4</t>
  </si>
  <si>
    <t>Column5</t>
  </si>
  <si>
    <t>Column6</t>
  </si>
  <si>
    <t>dice</t>
  </si>
  <si>
    <t>sensitivity</t>
  </si>
  <si>
    <t>specificity</t>
  </si>
  <si>
    <t>481.5363883972168</t>
  </si>
  <si>
    <t>0.0</t>
  </si>
  <si>
    <t>0.9100879634784546</t>
  </si>
  <si>
    <t>0.9529278032003264</t>
  </si>
  <si>
    <t>0.9963126618924273</t>
  </si>
  <si>
    <t>0.9901834589125078</t>
  </si>
  <si>
    <t>43.72572898864746</t>
  </si>
  <si>
    <t>1.0</t>
  </si>
  <si>
    <t>0.9203694395576778</t>
  </si>
  <si>
    <t>0.9585337285618003</t>
  </si>
  <si>
    <t>0.9959139828808801</t>
  </si>
  <si>
    <t>0.9866077123514541</t>
  </si>
  <si>
    <t>26.09395980834961</t>
  </si>
  <si>
    <t>2.0</t>
  </si>
  <si>
    <t>0.9092416824857628</t>
  </si>
  <si>
    <t>0.9524636831749487</t>
  </si>
  <si>
    <t>0.9986977547242971</t>
  </si>
  <si>
    <t>0.9852525910500072</t>
  </si>
  <si>
    <t>24.54233169555664</t>
  </si>
  <si>
    <t>3.0</t>
  </si>
  <si>
    <t>0.9118653923711089</t>
  </si>
  <si>
    <t>0.953901248497633</t>
  </si>
  <si>
    <t>0.9899300499933817</t>
  </si>
  <si>
    <t>0.991152854225175</t>
  </si>
  <si>
    <t>24.925947189331055</t>
  </si>
  <si>
    <t>4.0</t>
  </si>
  <si>
    <t>0.8978313335501429</t>
  </si>
  <si>
    <t>0.9461655708577974</t>
  </si>
  <si>
    <t>0.991972162599166</t>
  </si>
  <si>
    <t>0.9882384635863299</t>
  </si>
  <si>
    <t>24.58333969116211</t>
  </si>
  <si>
    <t>5.0</t>
  </si>
  <si>
    <t>0.9185501134477699</t>
  </si>
  <si>
    <t>0.9575461250757433</t>
  </si>
  <si>
    <t>0.9950494189581198</t>
  </si>
  <si>
    <t>0.9897272234470849</t>
  </si>
  <si>
    <t>25.41661262512207</t>
  </si>
  <si>
    <t>6.0</t>
  </si>
  <si>
    <t>0.9202254646967744</t>
  </si>
  <si>
    <t>0.9584556413973904</t>
  </si>
  <si>
    <t>0.9954209054231331</t>
  </si>
  <si>
    <t>0.9893203705520863</t>
  </si>
  <si>
    <t>24.56045150756836</t>
  </si>
  <si>
    <t>7.0</t>
  </si>
  <si>
    <t>0.9306802000803243</t>
  </si>
  <si>
    <t>0.9640956591791888</t>
  </si>
  <si>
    <t>0.9964816812872356</t>
  </si>
  <si>
    <t>0.9901778479679018</t>
  </si>
  <si>
    <t>26.11231803894043</t>
  </si>
  <si>
    <t>8.0</t>
  </si>
  <si>
    <t>0.9080553222664975</t>
  </si>
  <si>
    <t>0.9518123627441339</t>
  </si>
  <si>
    <t>0.9975756267054043</t>
  </si>
  <si>
    <t>0.9893904471772293</t>
  </si>
  <si>
    <t>24.587392807006836</t>
  </si>
  <si>
    <t>9.0</t>
  </si>
  <si>
    <t>0.9221127459291775</t>
  </si>
  <si>
    <t>0.9594783114384007</t>
  </si>
  <si>
    <t>0.9956469264045782</t>
  </si>
  <si>
    <t>0.9869480875469152</t>
  </si>
  <si>
    <t>25.012969970703125</t>
  </si>
  <si>
    <t>10.0</t>
  </si>
  <si>
    <t>0.9161049278326189</t>
  </si>
  <si>
    <t>0.9562158256843073</t>
  </si>
  <si>
    <t>0.9930595226929734</t>
  </si>
  <si>
    <t>0.9894211596135695</t>
  </si>
  <si>
    <t>24.57404136657715</t>
  </si>
  <si>
    <t>11.0</t>
  </si>
  <si>
    <t>0.894992878493049</t>
  </si>
  <si>
    <t>0.9445870627279319</t>
  </si>
  <si>
    <t>0.9966825279806983</t>
  </si>
  <si>
    <t>0.9893936708200823</t>
  </si>
  <si>
    <t>25.573253631591797</t>
  </si>
  <si>
    <t>12.0</t>
  </si>
  <si>
    <t>0.9149865522056446</t>
  </si>
  <si>
    <t>0.9556062429282135</t>
  </si>
  <si>
    <t>0.9971289570542949</t>
  </si>
  <si>
    <t>0.9869139782008906</t>
  </si>
  <si>
    <t>24.582624435424805</t>
  </si>
  <si>
    <t>13.0</t>
  </si>
  <si>
    <t>0.9154641601576865</t>
  </si>
  <si>
    <t>0.9558666554035893</t>
  </si>
  <si>
    <t>0.9976275968196974</t>
  </si>
  <si>
    <t>0.9878784336139111</t>
  </si>
  <si>
    <t>25.165796279907227</t>
  </si>
  <si>
    <t>14.0</t>
  </si>
  <si>
    <t>0.905425939104845</t>
  </si>
  <si>
    <t>0.9503659213647605</t>
  </si>
  <si>
    <t>0.9970770143183937</t>
  </si>
  <si>
    <t>0.9899827281187903</t>
  </si>
  <si>
    <t>25.429487228393555</t>
  </si>
  <si>
    <t>15.0</t>
  </si>
  <si>
    <t>0.9216887450839701</t>
  </si>
  <si>
    <t>0.959248731035989</t>
  </si>
  <si>
    <t>0.9935496110794916</t>
  </si>
  <si>
    <t>0.9882779502594539</t>
  </si>
  <si>
    <t>25.101661682128906</t>
  </si>
  <si>
    <t>16.0</t>
  </si>
  <si>
    <t>0.9141922449584816</t>
  </si>
  <si>
    <t>0.9551728645503004</t>
  </si>
  <si>
    <t>0.994264922289193</t>
  </si>
  <si>
    <t>0.990846484270489</t>
  </si>
  <si>
    <t>24.69491958618164</t>
  </si>
  <si>
    <t>17.0</t>
  </si>
  <si>
    <t>0.9271377877485943</t>
  </si>
  <si>
    <t>0.9621914879597021</t>
  </si>
  <si>
    <t>0.9891242172447013</t>
  </si>
  <si>
    <t>0.9902993517612525</t>
  </si>
  <si>
    <t>25.084733963012695</t>
  </si>
  <si>
    <t>18.0</t>
  </si>
  <si>
    <t>0.9160163223667431</t>
  </si>
  <si>
    <t>0.9561675562713805</t>
  </si>
  <si>
    <t>0.9927925313210467</t>
  </si>
  <si>
    <t>0.9865809606523098</t>
  </si>
  <si>
    <t>24.646282196044922</t>
  </si>
  <si>
    <t>19.0</t>
  </si>
  <si>
    <t>0.8839018154349324</t>
  </si>
  <si>
    <t>0.9383735481255618</t>
  </si>
  <si>
    <t>0.9824148652513678</t>
  </si>
  <si>
    <t>0.987151519534902</t>
  </si>
  <si>
    <t>25.10380744934082</t>
  </si>
  <si>
    <t>20.0</t>
  </si>
  <si>
    <t>0.9083805660094313</t>
  </si>
  <si>
    <t>0.9519910045079992</t>
  </si>
  <si>
    <t>0.9973503673679839</t>
  </si>
  <si>
    <t>0.9849527028365096</t>
  </si>
  <si>
    <t>24.65081214904785</t>
  </si>
  <si>
    <t>21.0</t>
  </si>
  <si>
    <t>0.8996243097501336</t>
  </si>
  <si>
    <t>0.9471602412462972</t>
  </si>
  <si>
    <t>0.996439653471562</t>
  </si>
  <si>
    <t>0.9871941263726296</t>
  </si>
  <si>
    <t>27.148962020874023</t>
  </si>
  <si>
    <t>22.0</t>
  </si>
  <si>
    <t>0.9044897330793065</t>
  </si>
  <si>
    <t>0.9498499439184341</t>
  </si>
  <si>
    <t>0.991425226498476</t>
  </si>
  <si>
    <t>0.9904452154256351</t>
  </si>
  <si>
    <t>24.603843688964844</t>
  </si>
  <si>
    <t>23.0</t>
  </si>
  <si>
    <t>0.9193700301088551</t>
  </si>
  <si>
    <t>0.957991440615246</t>
  </si>
  <si>
    <t>0.9965856026243995</t>
  </si>
  <si>
    <t>0.9891979394714352</t>
  </si>
  <si>
    <t>25.075674057006836</t>
  </si>
  <si>
    <t>24.0</t>
  </si>
  <si>
    <t>0.918578955122314</t>
  </si>
  <si>
    <t>0.9575617961094047</t>
  </si>
  <si>
    <t>0.9929173207149411</t>
  </si>
  <si>
    <t>0.9883583050163357</t>
  </si>
  <si>
    <t>24.555444717407227</t>
  </si>
  <si>
    <t>25.0</t>
  </si>
  <si>
    <t>0.9060414425288864</t>
  </si>
  <si>
    <t>0.9507048716913249</t>
  </si>
  <si>
    <t>0.9947948178666436</t>
  </si>
  <si>
    <t>0.9892000520938664</t>
  </si>
  <si>
    <t>25.27618408203125</t>
  </si>
  <si>
    <t>26.0</t>
  </si>
  <si>
    <t>0.9301295858197097</t>
  </si>
  <si>
    <t>0.9638001434237293</t>
  </si>
  <si>
    <t>0.9946157796169879</t>
  </si>
  <si>
    <t>0.9899787371527868</t>
  </si>
  <si>
    <t>24.576902389526367</t>
  </si>
  <si>
    <t>27.0</t>
  </si>
  <si>
    <t>0.9224647084267233</t>
  </si>
  <si>
    <t>0.9596688088819436</t>
  </si>
  <si>
    <t>0.9925198849213065</t>
  </si>
  <si>
    <t>0.9903535698777725</t>
  </si>
  <si>
    <t>25.145530700683594</t>
  </si>
  <si>
    <t>28.0</t>
  </si>
  <si>
    <t>0.9190733677047966</t>
  </si>
  <si>
    <t>0.9578303603931562</t>
  </si>
  <si>
    <t>0.9942788043683634</t>
  </si>
  <si>
    <t>0.9881834979334491</t>
  </si>
  <si>
    <t>24.69778060913086</t>
  </si>
  <si>
    <t>29.0</t>
  </si>
  <si>
    <t>0.9204459835901264</t>
  </si>
  <si>
    <t>0.9585752387259789</t>
  </si>
  <si>
    <t>0.9946666268282116</t>
  </si>
  <si>
    <t>0.9881983421923206</t>
  </si>
  <si>
    <t>25.025367736816406</t>
  </si>
  <si>
    <t>30.0</t>
  </si>
  <si>
    <t>0.8963578374714302</t>
  </si>
  <si>
    <t>0.9453467270360933</t>
  </si>
  <si>
    <t>0.9920171583007127</t>
  </si>
  <si>
    <t>0.988253266186959</t>
  </si>
  <si>
    <t>24.643659591674805</t>
  </si>
  <si>
    <t>31.0</t>
  </si>
  <si>
    <t>0.9144648521059231</t>
  </si>
  <si>
    <t>0.9553216410319637</t>
  </si>
  <si>
    <t>0.9945129875338927</t>
  </si>
  <si>
    <t>0.9881894280661271</t>
  </si>
  <si>
    <t>26.11851692199707</t>
  </si>
  <si>
    <t>32.0</t>
  </si>
  <si>
    <t>0.9114743895908414</t>
  </si>
  <si>
    <t>0.9536872631455408</t>
  </si>
  <si>
    <t>0.9923262977932197</t>
  </si>
  <si>
    <t>0.9877838526380434</t>
  </si>
  <si>
    <t>24.686574935913086</t>
  </si>
  <si>
    <t>33.0</t>
  </si>
  <si>
    <t>0.912282704661004</t>
  </si>
  <si>
    <t>0.9541295358028425</t>
  </si>
  <si>
    <t>0.9950605190190772</t>
  </si>
  <si>
    <t>0.9882234802040257</t>
  </si>
  <si>
    <t>25.202035903930664</t>
  </si>
  <si>
    <t>34.0</t>
  </si>
  <si>
    <t>0.9247066403465483</t>
  </si>
  <si>
    <t>0.9608806048282272</t>
  </si>
  <si>
    <t>0.9895188499339885</t>
  </si>
  <si>
    <t>0.989524640553541</t>
  </si>
  <si>
    <t>24.757862091064453</t>
  </si>
  <si>
    <t>35.0</t>
  </si>
  <si>
    <t>0.910217886745344</t>
  </si>
  <si>
    <t>0.9529990197046956</t>
  </si>
  <si>
    <t>0.9931340328647793</t>
  </si>
  <si>
    <t>0.9875279328548923</t>
  </si>
  <si>
    <t>25.094270706176758</t>
  </si>
  <si>
    <t>36.0</t>
  </si>
  <si>
    <t>0.9071222783734001</t>
  </si>
  <si>
    <t>0.9512995455614854</t>
  </si>
  <si>
    <t>0.9947516983607689</t>
  </si>
  <si>
    <t>0.9880018740706036</t>
  </si>
  <si>
    <t>24.60765838623047</t>
  </si>
  <si>
    <t>37.0</t>
  </si>
  <si>
    <t>0.9150078375341592</t>
  </si>
  <si>
    <t>0.9556178513737676</t>
  </si>
  <si>
    <t>0.9956603446063744</t>
  </si>
  <si>
    <t>0.9872510716893885</t>
  </si>
  <si>
    <t>25.104761123657227</t>
  </si>
  <si>
    <t>38.0</t>
  </si>
  <si>
    <t>0.9229645300981786</t>
  </si>
  <si>
    <t>0.9599392143245158</t>
  </si>
  <si>
    <t>0.9930714128200203</t>
  </si>
  <si>
    <t>0.9882400751542678</t>
  </si>
  <si>
    <t>24.614810943603516</t>
  </si>
  <si>
    <t>39.0</t>
  </si>
  <si>
    <t>0.8981641733247983</t>
  </si>
  <si>
    <t>0.9463503588855396</t>
  </si>
  <si>
    <t>0.9945917090374468</t>
  </si>
  <si>
    <t>0.9868694123023802</t>
  </si>
  <si>
    <t>25.022506713867188</t>
  </si>
  <si>
    <t>40.0</t>
  </si>
  <si>
    <t>0.9134013456470357</t>
  </si>
  <si>
    <t>0.9547409880577459</t>
  </si>
  <si>
    <t>0.9917192073395699</t>
  </si>
  <si>
    <t>0.9887136617789419</t>
  </si>
  <si>
    <t>24.718523025512695</t>
  </si>
  <si>
    <t>41.0</t>
  </si>
  <si>
    <t>0.9126121218723898</t>
  </si>
  <si>
    <t>0.9543096704615361</t>
  </si>
  <si>
    <t>0.995728730822873</t>
  </si>
  <si>
    <t>0.9875398966157262</t>
  </si>
  <si>
    <t>25.156021118164062</t>
  </si>
  <si>
    <t>42.0</t>
  </si>
  <si>
    <t>0.9215763454777138</t>
  </si>
  <si>
    <t>0.9591878539164731</t>
  </si>
  <si>
    <t>0.9927699759957453</t>
  </si>
  <si>
    <t>0.9881805606564082</t>
  </si>
  <si>
    <t>24.677515029907227</t>
  </si>
  <si>
    <t>43.0</t>
  </si>
  <si>
    <t>0.9172247307257373</t>
  </si>
  <si>
    <t>0.9568254738488954</t>
  </si>
  <si>
    <t>0.99328637559819</t>
  </si>
  <si>
    <t>0.9897711361345222</t>
  </si>
  <si>
    <t>25.159120559692383</t>
  </si>
  <si>
    <t>44.0</t>
  </si>
  <si>
    <t>0.9184519963819615</t>
  </si>
  <si>
    <t>0.9574928099468576</t>
  </si>
  <si>
    <t>0.996159937213572</t>
  </si>
  <si>
    <t>0.9866713766876042</t>
  </si>
  <si>
    <t>24.669170379638672</t>
  </si>
  <si>
    <t>45.0</t>
  </si>
  <si>
    <t>0.9109860768343118</t>
  </si>
  <si>
    <t>0.9534198996817673</t>
  </si>
  <si>
    <t>0.9923296418970373</t>
  </si>
  <si>
    <t>0.9896422356678747</t>
  </si>
  <si>
    <t>25.10809898376465</t>
  </si>
  <si>
    <t>46.0</t>
  </si>
  <si>
    <t>0.9053473304354958</t>
  </si>
  <si>
    <t>0.9503226167468007</t>
  </si>
  <si>
    <t>0.992430167848891</t>
  </si>
  <si>
    <t>0.9885858461932373</t>
  </si>
  <si>
    <t>24.712324142456055</t>
  </si>
  <si>
    <t>47.0</t>
  </si>
  <si>
    <t>0.8886488316291481</t>
  </si>
  <si>
    <t>0.9410418885151877</t>
  </si>
  <si>
    <t>0.9937317686877909</t>
  </si>
  <si>
    <t>0.9889221263342783</t>
  </si>
  <si>
    <t>25.193214416503906</t>
  </si>
  <si>
    <t>48.0</t>
  </si>
  <si>
    <t>0.8901955048510556</t>
  </si>
  <si>
    <t>0.9419083926148704</t>
  </si>
  <si>
    <t>0.9921751037885539</t>
  </si>
  <si>
    <t>0.9889803274643986</t>
  </si>
  <si>
    <t>24.758338928222656</t>
  </si>
  <si>
    <t>49.0</t>
  </si>
  <si>
    <t>0.9273803462321792</t>
  </si>
  <si>
    <t>0.962322094904732</t>
  </si>
  <si>
    <t>0.9924870413383011</t>
  </si>
  <si>
    <t>0.9885701675495668</t>
  </si>
  <si>
    <t>25.965213775634766</t>
  </si>
  <si>
    <t>50.0</t>
  </si>
  <si>
    <t>0.9296086771001087</t>
  </si>
  <si>
    <t>0.9635204154421205</t>
  </si>
  <si>
    <t>0.9925999955908613</t>
  </si>
  <si>
    <t>0.9898947391492556</t>
  </si>
  <si>
    <t>24.689674377441406</t>
  </si>
  <si>
    <t>51.0</t>
  </si>
  <si>
    <t>0.9174761140168195</t>
  </si>
  <si>
    <t>0.9569622352112093</t>
  </si>
  <si>
    <t>0.9974765805938678</t>
  </si>
  <si>
    <t>0.9891838003558948</t>
  </si>
  <si>
    <t>25.16460418701172</t>
  </si>
  <si>
    <t>52.0</t>
  </si>
  <si>
    <t>0.9283968827051778</t>
  </si>
  <si>
    <t>0.9628690971568175</t>
  </si>
  <si>
    <t>0.9905924081555952</t>
  </si>
  <si>
    <t>0.98701109431075</t>
  </si>
  <si>
    <t>24.77264404296875</t>
  </si>
  <si>
    <t>53.0</t>
  </si>
  <si>
    <t>0.9093690706141775</t>
  </si>
  <si>
    <t>0.9525335720680393</t>
  </si>
  <si>
    <t>0.9986577937132184</t>
  </si>
  <si>
    <t>0.9888953170529757</t>
  </si>
  <si>
    <t>25.008678436279297</t>
  </si>
  <si>
    <t>54.0</t>
  </si>
  <si>
    <t>0.9043509167754846</t>
  </si>
  <si>
    <t>0.9497733939780008</t>
  </si>
  <si>
    <t>0.9969336127152859</t>
  </si>
  <si>
    <t>0.9870926378958176</t>
  </si>
  <si>
    <t>24.719953536987305</t>
  </si>
  <si>
    <t>55.0</t>
  </si>
  <si>
    <t>0.9108439169474085</t>
  </si>
  <si>
    <t>0.9533420379017564</t>
  </si>
  <si>
    <t>0.9969451987163663</t>
  </si>
  <si>
    <t>0.9866651286694292</t>
  </si>
  <si>
    <t>25.164365768432617</t>
  </si>
  <si>
    <t>56.0</t>
  </si>
  <si>
    <t>0.9223463202780777</t>
  </si>
  <si>
    <t>0.9596047398417319</t>
  </si>
  <si>
    <t>0.9919049960160713</t>
  </si>
  <si>
    <t>0.99043952194386</t>
  </si>
  <si>
    <t>27.246713638305664</t>
  </si>
  <si>
    <t>57.0</t>
  </si>
  <si>
    <t>0.913977636420231</t>
  </si>
  <si>
    <t>0.9550557112356551</t>
  </si>
  <si>
    <t>0.9907856030455096</t>
  </si>
  <si>
    <t>0.9895894516160841</t>
  </si>
  <si>
    <t>28.298139572143555</t>
  </si>
  <si>
    <t>58.0</t>
  </si>
  <si>
    <t>0.9034448054241119</t>
  </si>
  <si>
    <t>0.9492734465949622</t>
  </si>
  <si>
    <t>0.9893461720660885</t>
  </si>
  <si>
    <t>0.9895941231924616</t>
  </si>
  <si>
    <t>24.961233139038086</t>
  </si>
  <si>
    <t>59.0</t>
  </si>
  <si>
    <t>0.9212422090157993</t>
  </si>
  <si>
    <t>0.9590068391092937</t>
  </si>
  <si>
    <t>0.9873084421384576</t>
  </si>
  <si>
    <t>0.9899622647252914</t>
  </si>
  <si>
    <t>25.150775909423828</t>
  </si>
  <si>
    <t>60.0</t>
  </si>
  <si>
    <t>0.9217444898850147</t>
  </si>
  <si>
    <t>0.959278920518894</t>
  </si>
  <si>
    <t>0.9967785384006554</t>
  </si>
  <si>
    <t>0.9870376389377166</t>
  </si>
  <si>
    <t>24.718284606933594</t>
  </si>
  <si>
    <t>61.0</t>
  </si>
  <si>
    <t>0.9147133578085287</t>
  </si>
  <si>
    <t>0.9554572271386431</t>
  </si>
  <si>
    <t>0.9927751992293545</t>
  </si>
  <si>
    <t>0.989570691341694</t>
  </si>
  <si>
    <t>25.08997917175293</t>
  </si>
  <si>
    <t>62.0</t>
  </si>
  <si>
    <t>0.9184989147130299</t>
  </si>
  <si>
    <t>0.9575183052427418</t>
  </si>
  <si>
    <t>0.9953814413654054</t>
  </si>
  <si>
    <t>0.9883653735441781</t>
  </si>
  <si>
    <t>24.744272232055664</t>
  </si>
  <si>
    <t>63.0</t>
  </si>
  <si>
    <t>0.9212560734917086</t>
  </si>
  <si>
    <t>0.9590143512909336</t>
  </si>
  <si>
    <t>0.9938669401902875</t>
  </si>
  <si>
    <t>0.9877184028853265</t>
  </si>
  <si>
    <t>25.111913681030273</t>
  </si>
  <si>
    <t>64.0</t>
  </si>
  <si>
    <t>0.9192182990436479</t>
  </si>
  <si>
    <t>0.9579090606854854</t>
  </si>
  <si>
    <t>0.9896241033915363</t>
  </si>
  <si>
    <t>0.9896153487938902</t>
  </si>
  <si>
    <t>24.64437484741211</t>
  </si>
  <si>
    <t>65.0</t>
  </si>
  <si>
    <t>0.9108699476975736</t>
  </si>
  <si>
    <t>0.9533562959583827</t>
  </si>
  <si>
    <t>0.991814484878567</t>
  </si>
  <si>
    <t>0.9890708217178462</t>
  </si>
  <si>
    <t>25.155305862426758</t>
  </si>
  <si>
    <t>66.0</t>
  </si>
  <si>
    <t>0.9076155375941908</t>
  </si>
  <si>
    <t>0.9515707119253595</t>
  </si>
  <si>
    <t>0.9970136989046889</t>
  </si>
  <si>
    <t>0.9896404567094617</t>
  </si>
  <si>
    <t>24.77407455444336</t>
  </si>
  <si>
    <t>67.0</t>
  </si>
  <si>
    <t>0.9221648754543595</t>
  </si>
  <si>
    <t>0.9595065306105742</t>
  </si>
  <si>
    <t>0.9947128114603843</t>
  </si>
  <si>
    <t>0.9900402258838091</t>
  </si>
  <si>
    <t>25.84528923034668</t>
  </si>
  <si>
    <t>68.0</t>
  </si>
  <si>
    <t>0.9064038429683617</t>
  </si>
  <si>
    <t>0.9509043388803159</t>
  </si>
  <si>
    <t>0.9940487436236539</t>
  </si>
  <si>
    <t>0.9853923012916073</t>
  </si>
  <si>
    <t>24.70874786376953</t>
  </si>
  <si>
    <t>69.0</t>
  </si>
  <si>
    <t>0.9246952220740314</t>
  </si>
  <si>
    <t>0.960874440242637</t>
  </si>
  <si>
    <t>0.9891174214454186</t>
  </si>
  <si>
    <t>0.9893101540336623</t>
  </si>
  <si>
    <t>25.201082229614258</t>
  </si>
  <si>
    <t>70.0</t>
  </si>
  <si>
    <t>0.9223742953280893</t>
  </si>
  <si>
    <t>0.9596198800303547</t>
  </si>
  <si>
    <t>0.9959787857199398</t>
  </si>
  <si>
    <t>0.9890690770141589</t>
  </si>
  <si>
    <t>24.656295776367188</t>
  </si>
  <si>
    <t>71.0</t>
  </si>
  <si>
    <t>0.9238850994902887</t>
  </si>
  <si>
    <t>0.9604368782055244</t>
  </si>
  <si>
    <t>0.9917844494783524</t>
  </si>
  <si>
    <t>0.9900195406432382</t>
  </si>
  <si>
    <t>25.217771530151367</t>
  </si>
  <si>
    <t>72.0</t>
  </si>
  <si>
    <t>0.9174544918322874</t>
  </si>
  <si>
    <t>0.9569504733909834</t>
  </si>
  <si>
    <t>0.9926783434973763</t>
  </si>
  <si>
    <t>0.990114986748739</t>
  </si>
  <si>
    <t>24.701356887817383</t>
  </si>
  <si>
    <t>73.0</t>
  </si>
  <si>
    <t>0.9194434738413646</t>
  </si>
  <si>
    <t>0.9580313110250555</t>
  </si>
  <si>
    <t>0.9922797923908646</t>
  </si>
  <si>
    <t>0.9872009748262206</t>
  </si>
  <si>
    <t>24.683237075805664</t>
  </si>
  <si>
    <t>74.0</t>
  </si>
  <si>
    <t>0.927754553598089</t>
  </si>
  <si>
    <t>0.9625235244460623</t>
  </si>
  <si>
    <t>0.9923348397502435</t>
  </si>
  <si>
    <t>0.9905581295609173</t>
  </si>
  <si>
    <t>686.5973472595215</t>
  </si>
  <si>
    <t>48.83146286010742</t>
  </si>
  <si>
    <t>25.661706924438477</t>
  </si>
  <si>
    <t>24.85179901123047</t>
  </si>
  <si>
    <t>25.220155715942383</t>
  </si>
  <si>
    <t>24.985551834106445</t>
  </si>
  <si>
    <t>25.618314743041992</t>
  </si>
  <si>
    <t>25.364160537719727</t>
  </si>
  <si>
    <t>24.96051788330078</t>
  </si>
  <si>
    <t>25.892019271850586</t>
  </si>
  <si>
    <t>25.310277938842773</t>
  </si>
  <si>
    <t>25.24876594543457</t>
  </si>
  <si>
    <t>25.707483291625977</t>
  </si>
  <si>
    <t>25.34937858581543</t>
  </si>
  <si>
    <t>25.803089141845703</t>
  </si>
  <si>
    <t>25.2835750579834</t>
  </si>
  <si>
    <t>24.94955062866211</t>
  </si>
  <si>
    <t>25.126218795776367</t>
  </si>
  <si>
    <t>25.205373764038086</t>
  </si>
  <si>
    <t>25.879859924316406</t>
  </si>
  <si>
    <t>25.36606788635254</t>
  </si>
  <si>
    <t>25.24089813232422</t>
  </si>
  <si>
    <t>24.893522262573242</t>
  </si>
  <si>
    <t>25.726795196533203</t>
  </si>
  <si>
    <t>25.224685668945312</t>
  </si>
  <si>
    <t>25.821208953857422</t>
  </si>
  <si>
    <t>25.391101837158203</t>
  </si>
  <si>
    <t>25.293827056884766</t>
  </si>
  <si>
    <t>26.592493057250977</t>
  </si>
  <si>
    <t>25.401592254638672</t>
  </si>
  <si>
    <t>24.93739128112793</t>
  </si>
  <si>
    <t>25.31266212463379</t>
  </si>
  <si>
    <t>24.95598793029785</t>
  </si>
  <si>
    <t>25.115489959716797</t>
  </si>
  <si>
    <t>25.629520416259766</t>
  </si>
  <si>
    <t>26.385784149169922</t>
  </si>
  <si>
    <t>24.933576583862305</t>
  </si>
  <si>
    <t>25.510311126708984</t>
  </si>
  <si>
    <t>25.13742446899414</t>
  </si>
  <si>
    <t>25.400876998901367</t>
  </si>
  <si>
    <t>24.945497512817383</t>
  </si>
  <si>
    <t>26.222705841064453</t>
  </si>
  <si>
    <t>25.324106216430664</t>
  </si>
  <si>
    <t>25.441884994506836</t>
  </si>
  <si>
    <t>25.106191635131836</t>
  </si>
  <si>
    <t>25.450706481933594</t>
  </si>
  <si>
    <t>24.936199188232422</t>
  </si>
  <si>
    <t>26.247262954711914</t>
  </si>
  <si>
    <t>25.15387535095215</t>
  </si>
  <si>
    <t>25.346755981445312</t>
  </si>
  <si>
    <t>25.242328643798828</t>
  </si>
  <si>
    <t>25.279521942138672</t>
  </si>
  <si>
    <t>25.3293514251709</t>
  </si>
  <si>
    <t>25.443077087402344</t>
  </si>
  <si>
    <t>25.449514389038086</t>
  </si>
  <si>
    <t>25.197267532348633</t>
  </si>
  <si>
    <t>25.035381317138672</t>
  </si>
  <si>
    <t>25.146484375</t>
  </si>
  <si>
    <t>24.946928024291992</t>
  </si>
  <si>
    <t>25.243520736694336</t>
  </si>
  <si>
    <t>25.012731552124023</t>
  </si>
  <si>
    <t>24.90544319152832</t>
  </si>
  <si>
    <t>25.336027145385742</t>
  </si>
  <si>
    <t>25.283098220825195</t>
  </si>
  <si>
    <t>25.38609504699707</t>
  </si>
  <si>
    <t>25.084257125854492</t>
  </si>
  <si>
    <t>25.24709701538086</t>
  </si>
  <si>
    <t>26.323556900024414</t>
  </si>
  <si>
    <t>25.35247802734375</t>
  </si>
  <si>
    <t>25.18486976623535</t>
  </si>
  <si>
    <t>25.374412536621094</t>
  </si>
  <si>
    <t>25.562763214111328</t>
  </si>
  <si>
    <t>24.909496307373047</t>
  </si>
  <si>
    <t>25.130033493041992</t>
  </si>
  <si>
    <t>5009.697914123535</t>
  </si>
  <si>
    <t>14547.861099243164</t>
  </si>
  <si>
    <t>0.9063978373507546</t>
  </si>
  <si>
    <t>0.9509010339734121</t>
  </si>
  <si>
    <t>0.985391203546157</t>
  </si>
  <si>
    <t>10272.637844085693</t>
  </si>
  <si>
    <t>0.9034280013772037</t>
  </si>
  <si>
    <t>0.9492641704582875</t>
  </si>
  <si>
    <t>0.9893365043456404</t>
  </si>
  <si>
    <t>0.9895930651470313</t>
  </si>
  <si>
    <t>7496.268510818481</t>
  </si>
  <si>
    <t>4191.788911819458</t>
  </si>
  <si>
    <t>0.9102238415979561</t>
  </si>
  <si>
    <t>0.9530022835821462</t>
  </si>
  <si>
    <t>0.9931261136408632</t>
  </si>
  <si>
    <t>0.987530101344355</t>
  </si>
  <si>
    <t>4593.186378479004</t>
  </si>
  <si>
    <t>0.9154776264305258</t>
  </si>
  <si>
    <t>0.9558739959145433</t>
  </si>
  <si>
    <t>0.9878805985659358</t>
  </si>
  <si>
    <t>4342.413902282715</t>
  </si>
  <si>
    <t>4028.5861492156982</t>
  </si>
  <si>
    <t>0.9118739448508723</t>
  </si>
  <si>
    <t>0.9539059280626362</t>
  </si>
  <si>
    <t>0.9911539064546915</t>
  </si>
  <si>
    <t>3669.4467067718506</t>
  </si>
  <si>
    <t>0.9108503365401558</t>
  </si>
  <si>
    <t>0.9533455541990477</t>
  </si>
  <si>
    <t>0.9866662168750218</t>
  </si>
  <si>
    <t>3754.7435760498047</t>
  </si>
  <si>
    <t>3860.8779907226562</t>
  </si>
  <si>
    <t>0.9076072578658809</t>
  </si>
  <si>
    <t>0.9515661613504854</t>
  </si>
  <si>
    <t>0.98963940273212</t>
  </si>
  <si>
    <t>4069.9422359466553</t>
  </si>
  <si>
    <t>3822.833776473999</t>
  </si>
  <si>
    <t>4047.377347946167</t>
  </si>
  <si>
    <t>0.9092174584884674</t>
  </si>
  <si>
    <t>0.9524503921185565</t>
  </si>
  <si>
    <t>0.9852482045512119</t>
  </si>
  <si>
    <t>4943.866014480591</t>
  </si>
  <si>
    <t>0.9203689392368638</t>
  </si>
  <si>
    <t>0.9585334572247451</t>
  </si>
  <si>
    <t>0.9959071841835104</t>
  </si>
  <si>
    <t>0.9866088216273299</t>
  </si>
  <si>
    <t>5705.515146255493</t>
  </si>
  <si>
    <t>0.9185121618795566</t>
  </si>
  <si>
    <t>0.9575255034919299</t>
  </si>
  <si>
    <t>0.9883675460073386</t>
  </si>
  <si>
    <t>4921.145677566528</t>
  </si>
  <si>
    <t>0.9044984363723839</t>
  </si>
  <si>
    <t>0.9498547429581913</t>
  </si>
  <si>
    <t>0.9904462639041355</t>
  </si>
  <si>
    <t>5006.433486938477</t>
  </si>
  <si>
    <t>0.9224719631313211</t>
  </si>
  <si>
    <t>0.9596727347105748</t>
  </si>
  <si>
    <t>0.9903546446889282</t>
  </si>
  <si>
    <t>4812.191724777222</t>
  </si>
  <si>
    <t>5325.015306472778</t>
  </si>
  <si>
    <t>0.9108692348909557</t>
  </si>
  <si>
    <t>0.9533559055315837</t>
  </si>
  <si>
    <t>0.9918057768837569</t>
  </si>
  <si>
    <t>0.9890718926809312</t>
  </si>
  <si>
    <t>5203.572988510132</t>
  </si>
  <si>
    <t>0.8901944341517639</t>
  </si>
  <si>
    <t>0.9419077932596326</t>
  </si>
  <si>
    <t>0.9921642358771491</t>
  </si>
  <si>
    <t>0.9889813728749417</t>
  </si>
  <si>
    <t>4538.519620895386</t>
  </si>
  <si>
    <t>0.9071294189881688</t>
  </si>
  <si>
    <t>0.9513034720731728</t>
  </si>
  <si>
    <t>0.9880029461933745</t>
  </si>
  <si>
    <t>5069.885492324829</t>
  </si>
  <si>
    <t>0.9109791535060012</t>
  </si>
  <si>
    <t>0.9534161080037553</t>
  </si>
  <si>
    <t>0.9923388169665385</t>
  </si>
  <si>
    <t>0.9896401070685462</t>
  </si>
  <si>
    <t>4757.802486419678</t>
  </si>
  <si>
    <t>0.9144715974891015</t>
  </si>
  <si>
    <t>0.9553253218156529</t>
  </si>
  <si>
    <t>0.9881905104132618</t>
  </si>
  <si>
    <t>4300.233840942383</t>
  </si>
  <si>
    <t>4386.372327804565</t>
  </si>
  <si>
    <t>0.9284173216212052</t>
  </si>
  <si>
    <t>0.9628800895033364</t>
  </si>
  <si>
    <t>0.9870156486255078</t>
  </si>
  <si>
    <t>4743.4751987457275</t>
  </si>
  <si>
    <t>0.9273980536797418</t>
  </si>
  <si>
    <t>0.9623316282894193</t>
  </si>
  <si>
    <t>0.9885734943660363</t>
  </si>
  <si>
    <t>4389.752388000488</t>
  </si>
  <si>
    <t>0.9247129785119436</t>
  </si>
  <si>
    <t>0.9608840266945863</t>
  </si>
  <si>
    <t>0.9895257367611013</t>
  </si>
  <si>
    <t>4252.166748046875</t>
  </si>
  <si>
    <t>0.9202248562232087</t>
  </si>
  <si>
    <t>0.9584553113567663</t>
  </si>
  <si>
    <t>0.9954126548022739</t>
  </si>
  <si>
    <t>0.9893214488668529</t>
  </si>
  <si>
    <t>4055.811643600464</t>
  </si>
  <si>
    <t>4081.1116695404053</t>
  </si>
  <si>
    <t>0.9161193395892491</t>
  </si>
  <si>
    <t>0.9562236763244966</t>
  </si>
  <si>
    <t>0.9894233071654142</t>
  </si>
  <si>
    <t>4035.588026046753</t>
  </si>
  <si>
    <t>0.8981783696210535</t>
  </si>
  <si>
    <t>0.9463582390314174</t>
  </si>
  <si>
    <t>0.9868715529263936</t>
  </si>
  <si>
    <t>4137.905836105347</t>
  </si>
  <si>
    <t>3947.039842605591</t>
  </si>
  <si>
    <t>0.9174847186563546</t>
  </si>
  <si>
    <t>0.9569669158033934</t>
  </si>
  <si>
    <t>0.9974938642884303</t>
  </si>
  <si>
    <t>0.9891827283836803</t>
  </si>
  <si>
    <t>5030.402898788452</t>
  </si>
  <si>
    <t>0.9122833722762179</t>
  </si>
  <si>
    <t>0.9541299009365062</t>
  </si>
  <si>
    <t>0.9950688206677846</t>
  </si>
  <si>
    <t>0.9882224027548221</t>
  </si>
  <si>
    <t>4920.26424407959</t>
  </si>
  <si>
    <t>0.9114875817750246</t>
  </si>
  <si>
    <t>0.9536944843017071</t>
  </si>
  <si>
    <t>0.9877860226615556</t>
  </si>
  <si>
    <t>4389.897346496582</t>
  </si>
  <si>
    <t>4618.733882904053</t>
  </si>
  <si>
    <t>0.9081040028591851</t>
  </si>
  <si>
    <t>0.9518391046802931</t>
  </si>
  <si>
    <t>0.9893967850224042</t>
  </si>
  <si>
    <t>5175.176382064819</t>
  </si>
  <si>
    <t>0.9296150749134555</t>
  </si>
  <si>
    <t>0.9635238519839501</t>
  </si>
  <si>
    <t>0.9898958350456715</t>
  </si>
  <si>
    <t>6018.734931945801</t>
  </si>
  <si>
    <t>0.9147140459592048</t>
  </si>
  <si>
    <t>0.9554576025486511</t>
  </si>
  <si>
    <t>0.9927839565636221</t>
  </si>
  <si>
    <t>0.9895696211201794</t>
  </si>
  <si>
    <t>4741.736173629761</t>
  </si>
  <si>
    <t>0.9160221628549021</t>
  </si>
  <si>
    <t>0.9561707381192451</t>
  </si>
  <si>
    <t>0.9865820670122197</t>
  </si>
  <si>
    <t>4376.105308532715</t>
  </si>
  <si>
    <t>0.9221654878327026</t>
  </si>
  <si>
    <t>0.9595068620990287</t>
  </si>
  <si>
    <t>0.9947212981193564</t>
  </si>
  <si>
    <t>0.9900391514745193</t>
  </si>
  <si>
    <t>4329.753637313843</t>
  </si>
  <si>
    <t>0.8978390175018186</t>
  </si>
  <si>
    <t>0.946169837612118</t>
  </si>
  <si>
    <t>0.9882395242352986</t>
  </si>
  <si>
    <t>3961.653470993042</t>
  </si>
  <si>
    <t>0.8963587381593813</t>
  </si>
  <si>
    <t>0.9453472279505439</t>
  </si>
  <si>
    <t>0.9920267761822781</t>
  </si>
  <si>
    <t>0.9882522075411575</t>
  </si>
  <si>
    <t>4015.801191329956</t>
  </si>
  <si>
    <t>0.8839008516925938</t>
  </si>
  <si>
    <t>0.938373005032034</t>
  </si>
  <si>
    <t>0.9824056390526539</t>
  </si>
  <si>
    <t>0.9871525831508345</t>
  </si>
  <si>
    <t>3816.0481452941895</t>
  </si>
  <si>
    <t>4065.5174255371094</t>
  </si>
  <si>
    <t>0.9193694076230033</t>
  </si>
  <si>
    <t>0.9579911026732203</t>
  </si>
  <si>
    <t>0.9965772340033809</t>
  </si>
  <si>
    <t>0.9891990158026955</t>
  </si>
  <si>
    <t>3992.666244506836</t>
  </si>
  <si>
    <t>0.922113235035543</t>
  </si>
  <si>
    <t>0.95947857621249</t>
  </si>
  <si>
    <t>0.9956537068930446</t>
  </si>
  <si>
    <t>0.9869469777847816</t>
  </si>
  <si>
    <t>4188.307762145996</t>
  </si>
  <si>
    <t>0.9054199603792819</t>
  </si>
  <si>
    <t>0.95036262787869</t>
  </si>
  <si>
    <t>0.9971087859018893</t>
  </si>
  <si>
    <t>0.9899785359146132</t>
  </si>
  <si>
    <t>4321.597337722778</t>
  </si>
  <si>
    <t>0.9215630024484459</t>
  </si>
  <si>
    <t>0.9591806266817117</t>
  </si>
  <si>
    <t>0.9927556021905679</t>
  </si>
  <si>
    <t>4147.4738121032715</t>
  </si>
  <si>
    <t>0.9224038719238228</t>
  </si>
  <si>
    <t>0.9596358865015582</t>
  </si>
  <si>
    <t>0.9918965195721091</t>
  </si>
  <si>
    <t>0.9904491931029592</t>
  </si>
  <si>
    <t>3724.9934673309326</t>
  </si>
  <si>
    <t>0.8950208634248115</t>
  </si>
  <si>
    <t>0.9446026486560876</t>
  </si>
  <si>
    <t>0.9966936979201573</t>
  </si>
  <si>
    <t>0.9893957562170899</t>
  </si>
  <si>
    <t>3777.7583599090576</t>
  </si>
  <si>
    <t>3603.649139404297</t>
  </si>
  <si>
    <t>0.9192387594598606</t>
  </si>
  <si>
    <t>0.9579201700976129</t>
  </si>
  <si>
    <t>0.9896185977201202</t>
  </si>
  <si>
    <t>3801.990270614624</t>
  </si>
  <si>
    <t>0.9100871291905985</t>
  </si>
  <si>
    <t>0.9529273458601325</t>
  </si>
  <si>
    <t>0.996302503936208</t>
  </si>
  <si>
    <t>0.9901845113989545</t>
  </si>
  <si>
    <t>3437.730550765991</t>
  </si>
  <si>
    <t>0.9184460625012114</t>
  </si>
  <si>
    <t>0.9574895854030626</t>
  </si>
  <si>
    <t>0.9866702727764469</t>
  </si>
  <si>
    <t>3919.8250770568848</t>
  </si>
  <si>
    <t>0.9212628100131905</t>
  </si>
  <si>
    <t>0.9590180012976627</t>
  </si>
  <si>
    <t>0.9873162093097315</t>
  </si>
  <si>
    <t>0.9899644390424742</t>
  </si>
  <si>
    <t>4022.4850177764893</t>
  </si>
  <si>
    <t>0.9306734041154908</t>
  </si>
  <si>
    <t>0.9640920127988866</t>
  </si>
  <si>
    <t>0.9901767618071109</t>
  </si>
  <si>
    <t>3978.353977203369</t>
  </si>
  <si>
    <t>0.9139703417561894</t>
  </si>
  <si>
    <t>0.9550517286673978</t>
  </si>
  <si>
    <t>0.9895883798001278</t>
  </si>
  <si>
    <t>3891.608715057373</t>
  </si>
  <si>
    <t>0.9149802583609624</t>
  </si>
  <si>
    <t>0.9556028103852067</t>
  </si>
  <si>
    <t>0.9869128855136996</t>
  </si>
  <si>
    <t>3800.035238265991</t>
  </si>
  <si>
    <t>0.9204523460613266</t>
  </si>
  <si>
    <t>0.9585786889730337</t>
  </si>
  <si>
    <t>0.9881994354445491</t>
  </si>
  <si>
    <t>3834.388494491577</t>
  </si>
  <si>
    <t>0.9142091898203926</t>
  </si>
  <si>
    <t>0.9551821135141154</t>
  </si>
  <si>
    <t>0.9908485909484475</t>
  </si>
  <si>
    <t>3811.0227584838867</t>
  </si>
  <si>
    <t>0.9093612984282454</t>
  </si>
  <si>
    <t>0.9525293082842065</t>
  </si>
  <si>
    <t>0.9888942555212916</t>
  </si>
  <si>
    <t>3815.014600753784</t>
  </si>
  <si>
    <t>0.9174551680634405</t>
  </si>
  <si>
    <t>0.9569508412444778</t>
  </si>
  <si>
    <t>0.9926872074882995</t>
  </si>
  <si>
    <t>0.9901139180986578</t>
  </si>
  <si>
    <t>4555.841445922852</t>
  </si>
  <si>
    <t>0.9060335175984886</t>
  </si>
  <si>
    <t>0.950700508918697</t>
  </si>
  <si>
    <t>0.9891989932754442</t>
  </si>
  <si>
    <t>4073.920965194702</t>
  </si>
  <si>
    <t>0.8886399840700916</t>
  </si>
  <si>
    <t>0.9410369276997285</t>
  </si>
  <si>
    <t>0.9889210833182096</t>
  </si>
  <si>
    <t>4220.729112625122</t>
  </si>
  <si>
    <t>0.9229777528015602</t>
  </si>
  <si>
    <t>0.959946365949254</t>
  </si>
  <si>
    <t>0.9930856398984187</t>
  </si>
  <si>
    <t>4015.001058578491</t>
  </si>
  <si>
    <t>4135.549783706665</t>
  </si>
  <si>
    <t>0.9271443285877555</t>
  </si>
  <si>
    <t>0.9621950103417348</t>
  </si>
  <si>
    <t>0.99030044380766</t>
  </si>
  <si>
    <t>3999.051570892334</t>
  </si>
  <si>
    <t>0.9223810571072502</t>
  </si>
  <si>
    <t>0.9596235394612405</t>
  </si>
  <si>
    <t>0.9890701613235514</t>
  </si>
  <si>
    <t>3918.9136028289795</t>
  </si>
  <si>
    <t>3781.583786010742</t>
  </si>
  <si>
    <t>0.9277614792585791</t>
  </si>
  <si>
    <t>0.9625272516757603</t>
  </si>
  <si>
    <t>0.9905592125926262</t>
  </si>
  <si>
    <t>3940.260648727417</t>
  </si>
  <si>
    <t>0.9194317914705191</t>
  </si>
  <si>
    <t>0.958024969218752</t>
  </si>
  <si>
    <t>0.9871987593120829</t>
  </si>
  <si>
    <t>6389.612674713135</t>
  </si>
  <si>
    <t>0.9190984860657971</t>
  </si>
  <si>
    <t>0.9578440009610694</t>
  </si>
  <si>
    <t>0.9942712466462608</t>
  </si>
  <si>
    <t>0.9881889548938566</t>
  </si>
  <si>
    <t>4706.226348876953</t>
  </si>
  <si>
    <t>4881.426572799683</t>
  </si>
  <si>
    <t>0.8301513024489159</t>
  </si>
  <si>
    <t>0.9071941771569321</t>
  </si>
  <si>
    <t>0.883644091716615</t>
  </si>
  <si>
    <t>0.991636839281212</t>
  </si>
  <si>
    <t>16103.726387023926</t>
  </si>
  <si>
    <t>0.8213862163754172</t>
  </si>
  <si>
    <t>0.9019352501854183</t>
  </si>
  <si>
    <t>0.8752154919912297</t>
  </si>
  <si>
    <t>0.9915712499004393</t>
  </si>
  <si>
    <t>6207.0746421813965</t>
  </si>
  <si>
    <t>0.8549759120839433</t>
  </si>
  <si>
    <t>0.9218188834845129</t>
  </si>
  <si>
    <t>0.9204076815196411</t>
  </si>
  <si>
    <t>0.987813722303663</t>
  </si>
  <si>
    <t>5421.142101287842</t>
  </si>
  <si>
    <t>0.8287154985371606</t>
  </si>
  <si>
    <t>0.906336167873103</t>
  </si>
  <si>
    <t>0.8743579108572888</t>
  </si>
  <si>
    <t>0.9925206129956109</t>
  </si>
  <si>
    <t>5030.515670776367</t>
  </si>
  <si>
    <t>0.8319529026589874</t>
  </si>
  <si>
    <t>0.9082688768378812</t>
  </si>
  <si>
    <t>0.8846233691573114</t>
  </si>
  <si>
    <t>0.9914126415793202</t>
  </si>
  <si>
    <t>5419.847726821899</t>
  </si>
  <si>
    <t>0.81906255250042</t>
  </si>
  <si>
    <t>0.9005325862758982</t>
  </si>
  <si>
    <t>0.8663225588085971</t>
  </si>
  <si>
    <t>0.9926708627294184</t>
  </si>
  <si>
    <t>4205.1842212677</t>
  </si>
  <si>
    <t>0.7794973425817494</t>
  </si>
  <si>
    <t>0.8760871105891406</t>
  </si>
  <si>
    <t>0.8322545276177469</t>
  </si>
  <si>
    <t>0.9925503094951</t>
  </si>
  <si>
    <t>4156.593084335327</t>
  </si>
  <si>
    <t>0.83854694390136</t>
  </si>
  <si>
    <t>0.9121844255137485</t>
  </si>
  <si>
    <t>0.8869425429625883</t>
  </si>
  <si>
    <t>0.9916524484295534</t>
  </si>
  <si>
    <t>4059.3302249908447</t>
  </si>
  <si>
    <t>0.8576049833243105</t>
  </si>
  <si>
    <t>0.9233448349062544</t>
  </si>
  <si>
    <t>0.9188782744446513</t>
  </si>
  <si>
    <t>0.989023405439779</t>
  </si>
  <si>
    <t>4034.5370769500732</t>
  </si>
  <si>
    <t>0.8142384321909545</t>
  </si>
  <si>
    <t>0.8976090658686402</t>
  </si>
  <si>
    <t>0.8631563483010128</t>
  </si>
  <si>
    <t>0.9925476491649337</t>
  </si>
  <si>
    <t>3892.1403884887695</t>
  </si>
  <si>
    <t>0.8509604567442907</t>
  </si>
  <si>
    <t>0.9194798880156201</t>
  </si>
  <si>
    <t>0.9072420746471166</t>
  </si>
  <si>
    <t>0.9903592209140328</t>
  </si>
  <si>
    <t>4183.5036277771</t>
  </si>
  <si>
    <t>0.8623938523134546</t>
  </si>
  <si>
    <t>0.9261132936432259</t>
  </si>
  <si>
    <t>0.9156330775928859</t>
  </si>
  <si>
    <t>0.9900257553518513</t>
  </si>
  <si>
    <t>4047.168970108032</t>
  </si>
  <si>
    <t>0.8142839124208902</t>
  </si>
  <si>
    <t>0.8976367004592465</t>
  </si>
  <si>
    <t>0.8646702435258061</t>
  </si>
  <si>
    <t>0.9914783176675719</t>
  </si>
  <si>
    <t>4358.811378479004</t>
  </si>
  <si>
    <t>0.8130940134195213</t>
  </si>
  <si>
    <t>0.8969132404623787</t>
  </si>
  <si>
    <t>0.8683517943083898</t>
  </si>
  <si>
    <t>0.9910544599814161</t>
  </si>
  <si>
    <t>3933.9842796325684</t>
  </si>
  <si>
    <t>0.8406880070012455</t>
  </si>
  <si>
    <t>0.9134497577032092</t>
  </si>
  <si>
    <t>0.8883387751908207</t>
  </si>
  <si>
    <t>0.9912246599390528</t>
  </si>
  <si>
    <t>3945.084571838379</t>
  </si>
  <si>
    <t>0.8023539277634761</t>
  </si>
  <si>
    <t>0.8903400330024076</t>
  </si>
  <si>
    <t>0.8714204015928154</t>
  </si>
  <si>
    <t>0.9914814411121079</t>
  </si>
  <si>
    <t>3330.645799636841</t>
  </si>
  <si>
    <t>0.8370048644892286</t>
  </si>
  <si>
    <t>0.9112712553670392</t>
  </si>
  <si>
    <t>0.9044029997841206</t>
  </si>
  <si>
    <t>0.9908931196823897</t>
  </si>
  <si>
    <t>3703.873634338379</t>
  </si>
  <si>
    <t>0.8512972264217186</t>
  </si>
  <si>
    <t>0.9196764455453208</t>
  </si>
  <si>
    <t>0.9165406689706246</t>
  </si>
  <si>
    <t>0.9891886774384511</t>
  </si>
  <si>
    <t>3484.18927192688</t>
  </si>
  <si>
    <t>0.8403616816774055</t>
  </si>
  <si>
    <t>0.9132570951069295</t>
  </si>
  <si>
    <t>0.895064115688817</t>
  </si>
  <si>
    <t>0.9906360279479222</t>
  </si>
  <si>
    <t>3516.0775184631348</t>
  </si>
  <si>
    <t>0.8073131775179805</t>
  </si>
  <si>
    <t>0.8933849291429169</t>
  </si>
  <si>
    <t>0.8677027782010259</t>
  </si>
  <si>
    <t>0.992249489807195</t>
  </si>
  <si>
    <t>3575.9899616241455</t>
  </si>
  <si>
    <t>0.8011487964989059</t>
  </si>
  <si>
    <t>0.8895975702353834</t>
  </si>
  <si>
    <t>0.8668322780836906</t>
  </si>
  <si>
    <t>0.990244058608215</t>
  </si>
  <si>
    <t>3689.392566680908</t>
  </si>
  <si>
    <t>0.8299692534373755</t>
  </si>
  <si>
    <t>0.9070854626419311</t>
  </si>
  <si>
    <t>0.8739412649410274</t>
  </si>
  <si>
    <t>0.9927427172359652</t>
  </si>
  <si>
    <t>3582.8444957733154</t>
  </si>
  <si>
    <t>0.8038896496251113</t>
  </si>
  <si>
    <t>0.8912847299635847</t>
  </si>
  <si>
    <t>0.8547850080946514</t>
  </si>
  <si>
    <t>0.9934572368663342</t>
  </si>
  <si>
    <t>3402.294874191284</t>
  </si>
  <si>
    <t>0.8290478352387635</t>
  </si>
  <si>
    <t>0.9065348858200198</t>
  </si>
  <si>
    <t>0.8795428671512392</t>
  </si>
  <si>
    <t>0.9925566093670067</t>
  </si>
  <si>
    <t>3688.739061355591</t>
  </si>
  <si>
    <t>0.8477919059338256</t>
  </si>
  <si>
    <t>0.9176270371261029</t>
  </si>
  <si>
    <t>0.9072918419454666</t>
  </si>
  <si>
    <t>0.9894800792640333</t>
  </si>
  <si>
    <t>3380.2034854888916</t>
  </si>
  <si>
    <t>0.8318363084653162</t>
  </si>
  <si>
    <t>0.9081993894555084</t>
  </si>
  <si>
    <t>0.8780612489416426</t>
  </si>
  <si>
    <t>0.9924657400729059</t>
  </si>
  <si>
    <t>3787.1382236480713</t>
  </si>
  <si>
    <t>0.8213940962223286</t>
  </si>
  <si>
    <t>0.9019400007125806</t>
  </si>
  <si>
    <t>0.8740752889587128</t>
  </si>
  <si>
    <t>0.992034127812044</t>
  </si>
  <si>
    <t>3580.0745487213135</t>
  </si>
  <si>
    <t>0.8382873939793606</t>
  </si>
  <si>
    <t>0.9120308355754002</t>
  </si>
  <si>
    <t>0.8925706261111194</t>
  </si>
  <si>
    <t>0.9905225964303128</t>
  </si>
  <si>
    <t>4431.205272674561</t>
  </si>
  <si>
    <t>0.8484071176441066</t>
  </si>
  <si>
    <t>0.9179872870490206</t>
  </si>
  <si>
    <t>0.8934510946161797</t>
  </si>
  <si>
    <t>0.989706110068679</t>
  </si>
  <si>
    <t>4012.921094894409</t>
  </si>
  <si>
    <t>0.8018581332935739</t>
  </si>
  <si>
    <t>0.8900347019305858</t>
  </si>
  <si>
    <t>0.8623094729880046</t>
  </si>
  <si>
    <t>0.99207092845918</t>
  </si>
  <si>
    <t>4186.621904373169</t>
  </si>
  <si>
    <t>0.8500962944355342</t>
  </si>
  <si>
    <t>0.9189751873914209</t>
  </si>
  <si>
    <t>0.8989667127570447</t>
  </si>
  <si>
    <t>0.9906405563324288</t>
  </si>
  <si>
    <t>3985.8880043029785</t>
  </si>
  <si>
    <t>0.8400013385089011</t>
  </si>
  <si>
    <t>0.9130442689673484</t>
  </si>
  <si>
    <t>0.8998057194474116</t>
  </si>
  <si>
    <t>0.989075853026168</t>
  </si>
  <si>
    <t>4146.366357803345</t>
  </si>
  <si>
    <t>0.7993013459365047</t>
  </si>
  <si>
    <t>0.8884574534906297</t>
  </si>
  <si>
    <t>0.868976610146773</t>
  </si>
  <si>
    <t>0.9918627808769095</t>
  </si>
  <si>
    <t>4157.672882080078</t>
  </si>
  <si>
    <t>0.8285126438431542</t>
  </si>
  <si>
    <t>0.9062148371058485</t>
  </si>
  <si>
    <t>0.8858317062148819</t>
  </si>
  <si>
    <t>0.9912873821665147</t>
  </si>
  <si>
    <t>4127.408027648926</t>
  </si>
  <si>
    <t>0.7984411119672812</t>
  </si>
  <si>
    <t>0.887925778224544</t>
  </si>
  <si>
    <t>0.8998530361397493</t>
  </si>
  <si>
    <t>0.988101272688207</t>
  </si>
  <si>
    <t>3961.7013931274414</t>
  </si>
  <si>
    <t>0.8122480416898823</t>
  </si>
  <si>
    <t>0.8963983108321955</t>
  </si>
  <si>
    <t>0.8632235255187788</t>
  </si>
  <si>
    <t>0.9922815690465965</t>
  </si>
  <si>
    <t>4453.119516372681</t>
  </si>
  <si>
    <t>0.8472549590826028</t>
  </si>
  <si>
    <t>0.9173124206994931</t>
  </si>
  <si>
    <t>0.9052169914759665</t>
  </si>
  <si>
    <t>0.9893398558879908</t>
  </si>
  <si>
    <t>4015.491485595703</t>
  </si>
  <si>
    <t>0.8356147233119106</t>
  </si>
  <si>
    <t>0.9104467432079117</t>
  </si>
  <si>
    <t>0.8828418368471719</t>
  </si>
  <si>
    <t>0.9915714606655379</t>
  </si>
  <si>
    <t>4088.78231048584</t>
  </si>
  <si>
    <t>0.8343106980611064</t>
  </si>
  <si>
    <t>0.9096721716151851</t>
  </si>
  <si>
    <t>0.8787587371581367</t>
  </si>
  <si>
    <t>0.9925989003708153</t>
  </si>
  <si>
    <t>4868.314743041992</t>
  </si>
  <si>
    <t>0.8660879690890806</t>
  </si>
  <si>
    <t>0.9282391649648287</t>
  </si>
  <si>
    <t>0.9172985018149202</t>
  </si>
  <si>
    <t>0.9906851976552927</t>
  </si>
  <si>
    <t>5002.243518829346</t>
  </si>
  <si>
    <t>0.8185035909699182</t>
  </si>
  <si>
    <t>0.9001946380907179</t>
  </si>
  <si>
    <t>0.8804620023508969</t>
  </si>
  <si>
    <t>0.9904561338697172</t>
  </si>
  <si>
    <t>4776.166677474976</t>
  </si>
  <si>
    <t>0.8216102409977419</t>
  </si>
  <si>
    <t>0.9020702919936652</t>
  </si>
  <si>
    <t>0.8676929866250255</t>
  </si>
  <si>
    <t>0.9928992290038937</t>
  </si>
  <si>
    <t>3996.9067573547363</t>
  </si>
  <si>
    <t>0.8337776229495781</t>
  </si>
  <si>
    <t>0.9093552157196367</t>
  </si>
  <si>
    <t>0.883192414445924</t>
  </si>
  <si>
    <t>0.9920036193688184</t>
  </si>
  <si>
    <t>3555.4351806640625</t>
  </si>
  <si>
    <t>0.8365775567739102</t>
  </si>
  <si>
    <t>0.9110179460576912</t>
  </si>
  <si>
    <t>0.8925896534784415</t>
  </si>
  <si>
    <t>0.9903313575498685</t>
  </si>
  <si>
    <t>3499.7992515563965</t>
  </si>
  <si>
    <t>0.804515413912942</t>
  </si>
  <si>
    <t>0.8916692068242488</t>
  </si>
  <si>
    <t>0.8678605784358677</t>
  </si>
  <si>
    <t>0.9906565885559746</t>
  </si>
  <si>
    <t>3479.0892601013184</t>
  </si>
  <si>
    <t>0.8293683830517715</t>
  </si>
  <si>
    <t>0.906726486294915</t>
  </si>
  <si>
    <t>0.8743582374734945</t>
  </si>
  <si>
    <t>0.9924072843974261</t>
  </si>
  <si>
    <t>3892.077922821045</t>
  </si>
  <si>
    <t>0.805015195098565</t>
  </si>
  <si>
    <t>0.891976086721648</t>
  </si>
  <si>
    <t>0.8669892971847133</t>
  </si>
  <si>
    <t>0.990584465277473</t>
  </si>
  <si>
    <t>3465.6176567077637</t>
  </si>
  <si>
    <t>0.8049230066553569</t>
  </si>
  <si>
    <t>0.8919194931721027</t>
  </si>
  <si>
    <t>0.8571453386371137</t>
  </si>
  <si>
    <t>0.9919973260141541</t>
  </si>
  <si>
    <t>3831.052780151367</t>
  </si>
  <si>
    <t>0.8012008970556319</t>
  </si>
  <si>
    <t>0.8896296891316572</t>
  </si>
  <si>
    <t>0.8696334975756267</t>
  </si>
  <si>
    <t>0.990808011881347</t>
  </si>
  <si>
    <t>3970.872640609741</t>
  </si>
  <si>
    <t>0.7974228642767969</t>
  </si>
  <si>
    <t>0.8872957834523201</t>
  </si>
  <si>
    <t>0.8587878264042947</t>
  </si>
  <si>
    <t>0.991515687983152</t>
  </si>
  <si>
    <t>4387.465715408325</t>
  </si>
  <si>
    <t>0.8035526458069145</t>
  </si>
  <si>
    <t>0.8910775603640922</t>
  </si>
  <si>
    <t>0.8621497052092013</t>
  </si>
  <si>
    <t>0.9927508196480677</t>
  </si>
  <si>
    <t>4637.0484828948975</t>
  </si>
  <si>
    <t>0.8294014945177736</t>
  </si>
  <si>
    <t>0.9067462741265575</t>
  </si>
  <si>
    <t>0.871072319201995</t>
  </si>
  <si>
    <t>0.9924909782117786</t>
  </si>
  <si>
    <t>3888.8540267944336</t>
  </si>
  <si>
    <t>0.8315696074760269</t>
  </si>
  <si>
    <t>0.9080404087092946</t>
  </si>
  <si>
    <t>0.8838466862779027</t>
  </si>
  <si>
    <t>0.9922121852612444</t>
  </si>
  <si>
    <t>3818.828344345093</t>
  </si>
  <si>
    <t>0.8038741983659844</t>
  </si>
  <si>
    <t>0.891275233155575</t>
  </si>
  <si>
    <t>0.8652382348213357</t>
  </si>
  <si>
    <t>0.9914373808758628</t>
  </si>
  <si>
    <t>3804.624319076538</t>
  </si>
  <si>
    <t>0.7856366699564354</t>
  </si>
  <si>
    <t>0.8799513172806905</t>
  </si>
  <si>
    <t>0.8564783619883931</t>
  </si>
  <si>
    <t>0.9913262287232819</t>
  </si>
  <si>
    <t>4036.0054969787598</t>
  </si>
  <si>
    <t>0.8427354231119852</t>
  </si>
  <si>
    <t>0.9146569958358816</t>
  </si>
  <si>
    <t>0.886576451398538</t>
  </si>
  <si>
    <t>0.9924805054183149</t>
  </si>
  <si>
    <t>4254.664421081543</t>
  </si>
  <si>
    <t>0.8083743370183398</t>
  </si>
  <si>
    <t>0.8940342941950759</t>
  </si>
  <si>
    <t>0.8578330818654958</t>
  </si>
  <si>
    <t>0.9922437304024707</t>
  </si>
  <si>
    <t>4189.301252365112</t>
  </si>
  <si>
    <t>0.8167982832618026</t>
  </si>
  <si>
    <t>0.8991623239486528</t>
  </si>
  <si>
    <t>0.8730720885210705</t>
  </si>
  <si>
    <t>0.9920081738214211</t>
  </si>
  <si>
    <t>4121.538877487183</t>
  </si>
  <si>
    <t>0.772148308580858</t>
  </si>
  <si>
    <t>0.8714262850824228</t>
  </si>
  <si>
    <t>0.8288909186526059</t>
  </si>
  <si>
    <t>0.9915282990973091</t>
  </si>
  <si>
    <t>3881.359100341797</t>
  </si>
  <si>
    <t>0.8509400572317888</t>
  </si>
  <si>
    <t>0.9194679794270912</t>
  </si>
  <si>
    <t>0.9194274555538982</t>
  </si>
  <si>
    <t>0.9868271234743545</t>
  </si>
  <si>
    <t>4009.9050998687744</t>
  </si>
  <si>
    <t>0.8338502120985278</t>
  </si>
  <si>
    <t>0.9093983866264943</t>
  </si>
  <si>
    <t>0.8802986512524085</t>
  </si>
  <si>
    <t>0.9919177645373218</t>
  </si>
  <si>
    <t>3980.8781147003174</t>
  </si>
  <si>
    <t>0.8534537496115967</t>
  </si>
  <si>
    <t>0.9209334193426121</t>
  </si>
  <si>
    <t>0.908043581377298</t>
  </si>
  <si>
    <t>0.9902136933521289</t>
  </si>
  <si>
    <t>3994.6446418762207</t>
  </si>
  <si>
    <t>0.8169508734260438</t>
  </si>
  <si>
    <t>0.8992547738900619</t>
  </si>
  <si>
    <t>0.8701248049921997</t>
  </si>
  <si>
    <t>0.9921529024536205</t>
  </si>
  <si>
    <t>4139.257431030273</t>
  </si>
  <si>
    <t>0.8210613365788201</t>
  </si>
  <si>
    <t>0.9017393539542455</t>
  </si>
  <si>
    <t>0.8683118404659951</t>
  </si>
  <si>
    <t>0.992478754503312</t>
  </si>
  <si>
    <t>4025.4616737365723</t>
  </si>
  <si>
    <t>0.846795396120589</t>
  </si>
  <si>
    <t>0.9170430009728011</t>
  </si>
  <si>
    <t>0.9061283818633656</t>
  </si>
  <si>
    <t>0.990260847651676</t>
  </si>
  <si>
    <t>3937.6187324523926</t>
  </si>
  <si>
    <t>0.8492554375392721</t>
  </si>
  <si>
    <t>0.9184836451467638</t>
  </si>
  <si>
    <t>0.8991007309566555</t>
  </si>
  <si>
    <t>0.992073028161696</t>
  </si>
  <si>
    <t>4214.440584182739</t>
  </si>
  <si>
    <t>0.8451205260251454</t>
  </si>
  <si>
    <t>0.9160599690967051</t>
  </si>
  <si>
    <t>0.8948037556004269</t>
  </si>
  <si>
    <t>0.9904080915019484</t>
  </si>
  <si>
    <t>3944.8859691619873</t>
  </si>
  <si>
    <t>0.838158393844153</t>
  </si>
  <si>
    <t>0.9119544829771788</t>
  </si>
  <si>
    <t>0.9029012156502196</t>
  </si>
  <si>
    <t>0.9883865588625718</t>
  </si>
  <si>
    <t>4168.707847595215</t>
  </si>
  <si>
    <t>0.8487555880892003</t>
  </si>
  <si>
    <t>0.9181912347499002</t>
  </si>
  <si>
    <t>0.8973954986144799</t>
  </si>
  <si>
    <t>0.9908249572668485</t>
  </si>
  <si>
    <t>3970.1178073883057</t>
  </si>
  <si>
    <t>0.7872729236807519</t>
  </si>
  <si>
    <t>0.8809767252104099</t>
  </si>
  <si>
    <t>0.8454904917969392</t>
  </si>
  <si>
    <t>0.991907010503217</t>
  </si>
  <si>
    <t>4164.737939834595</t>
  </si>
  <si>
    <t>0.8481776418812109</t>
  </si>
  <si>
    <t>0.9178529408221533</t>
  </si>
  <si>
    <t>0.9056517053378978</t>
  </si>
  <si>
    <t>0.9907294575794897</t>
  </si>
  <si>
    <t>3720.1831340789795</t>
  </si>
  <si>
    <t>0.8040344463706942</t>
  </si>
  <si>
    <t>0.8913737184877241</t>
  </si>
  <si>
    <t>0.8601306267260669</t>
  </si>
  <si>
    <t>0.9927087875857681</t>
  </si>
  <si>
    <t>3887.9315853118896</t>
  </si>
  <si>
    <t>0.7900264382917295</t>
  </si>
  <si>
    <t>0.8826980667902012</t>
  </si>
  <si>
    <t>0.8460643222539713</t>
  </si>
  <si>
    <t>0.9912506146638712</t>
  </si>
  <si>
    <t>4781.967401504517</t>
  </si>
  <si>
    <t>0.8235077620663511</t>
  </si>
  <si>
    <t>0.9032127849383802</t>
  </si>
  <si>
    <t>0.8859710948327064</t>
  </si>
  <si>
    <t>0.989615103962806</t>
  </si>
  <si>
    <t>3687.269926071167</t>
  </si>
  <si>
    <t>0.8447749500189118</t>
  </si>
  <si>
    <t>0.9158569179511588</t>
  </si>
  <si>
    <t>0.9088491331075876</t>
  </si>
  <si>
    <t>0.9885417329887877</t>
  </si>
  <si>
    <t>snagliati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</si>
</sst>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rgb="FF000000"/>
      <name val="Calibri"/>
    </font>
    <font>
      <sz val="11"/>
      <color rgb="FF000000"/>
      <name val="Calibri"/>
      <family val="2"/>
    </font>
    <font>
      <sz val="10"/>
      <color rgb="FF6A8759"/>
      <name val="JetBrains Mono"/>
      <family val="3"/>
    </font>
    <font>
      <sz val="11"/>
      <color theme="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5">
    <border>
      <left/>
      <right/>
      <top/>
      <bottom/>
      <diagonal/>
    </border>
    <border>
      <left/>
      <right/>
      <top style="thin">
        <color theme="5"/>
      </top>
      <bottom style="thin">
        <color theme="5"/>
      </bottom>
      <diagonal/>
    </border>
    <border>
      <left/>
      <right/>
      <top style="thin">
        <color theme="4"/>
      </top>
      <bottom style="thin">
        <color theme="4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9" tint="0.39997558519241921"/>
      </right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0" xfId="0" applyFont="1" applyFill="1"/>
    <xf numFmtId="0" fontId="0" fillId="3" borderId="0" xfId="0" applyFill="1"/>
    <xf numFmtId="0" fontId="1" fillId="4" borderId="0" xfId="0" applyFont="1" applyFill="1"/>
    <xf numFmtId="0" fontId="2" fillId="0" borderId="0" xfId="0" applyFont="1" applyAlignment="1">
      <alignment vertical="center"/>
    </xf>
    <xf numFmtId="0" fontId="0" fillId="2" borderId="0" xfId="0" applyFill="1"/>
    <xf numFmtId="0" fontId="0" fillId="0" borderId="2" xfId="0" applyBorder="1"/>
    <xf numFmtId="0" fontId="0" fillId="0" borderId="1" xfId="0" applyBorder="1"/>
    <xf numFmtId="0" fontId="0" fillId="0" borderId="0" xfId="0" applyNumberFormat="1"/>
    <xf numFmtId="0" fontId="3" fillId="5" borderId="3" xfId="0" applyNumberFormat="1" applyFont="1" applyFill="1" applyBorder="1"/>
    <xf numFmtId="0" fontId="3" fillId="5" borderId="4" xfId="0" applyNumberFormat="1" applyFont="1" applyFill="1" applyBorder="1"/>
    <xf numFmtId="0" fontId="3" fillId="0" borderId="3" xfId="0" applyNumberFormat="1" applyFont="1" applyBorder="1"/>
    <xf numFmtId="0" fontId="3" fillId="0" borderId="4" xfId="0" applyNumberFormat="1" applyFont="1" applyBorder="1"/>
  </cellXfs>
  <cellStyles count="1">
    <cellStyle name="Normale" xfId="0" builtinId="0"/>
  </cellStyles>
  <dxfs count="3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142875</xdr:colOff>
      <xdr:row>5</xdr:row>
      <xdr:rowOff>47625</xdr:rowOff>
    </xdr:from>
    <xdr:to>
      <xdr:col>19</xdr:col>
      <xdr:colOff>457200</xdr:colOff>
      <xdr:row>6</xdr:row>
      <xdr:rowOff>169193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A4F54709-7CDD-4443-A0CE-8C4E9D8383DA}"/>
            </a:ext>
          </a:extLst>
        </xdr:cNvPr>
        <xdr:cNvSpPr>
          <a:spLocks noChangeArrowheads="1"/>
        </xdr:cNvSpPr>
      </xdr:nvSpPr>
      <xdr:spPr bwMode="auto">
        <a:xfrm>
          <a:off x="4227195" y="592455"/>
          <a:ext cx="1535430" cy="304448"/>
        </a:xfrm>
        <a:prstGeom prst="rect">
          <a:avLst/>
        </a:prstGeom>
        <a:noFill/>
        <a:ln>
          <a:noFill/>
        </a:ln>
        <a:effectLst/>
      </xdr:spPr>
      <xdr:txBody>
        <a:bodyPr vert="horz" wrap="square" lIns="91440" tIns="45720" rIns="91440" bIns="45720" numCol="1" anchor="ctr" anchorCtr="0" compatLnSpc="1">
          <a:prstTxWarp prst="textNoShape">
            <a:avLst/>
          </a:prstTxWarp>
          <a:noAutofit/>
        </a:bodyPr>
        <a:lstStyle>
          <a:defPPr>
            <a:defRPr lang="it-IT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  <a:defRPr/>
          </a:pPr>
          <a:r>
            <a:rPr lang="it-IT" sz="12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autoSamKlnmJ</a:t>
          </a:r>
        </a:p>
        <a:p>
          <a:pPr marL="0" marR="0" lvl="0" indent="0" algn="l" defTabSz="914400" rtl="0" eaLnBrk="0" fontAlgn="base" latinLnBrk="0" hangingPunct="0">
            <a:lnSpc>
              <a:spcPct val="100000"/>
            </a:lnSpc>
            <a:spcBef>
              <a:spcPct val="0"/>
            </a:spcBef>
            <a:spcAft>
              <a:spcPct val="0"/>
            </a:spcAft>
            <a:buClrTx/>
            <a:buSzTx/>
            <a:buFontTx/>
            <a:buNone/>
            <a:tabLst/>
          </a:pPr>
          <a:endParaRPr kumimoji="0" lang="it-IT" altLang="it-IT" sz="1200" b="0" i="0" u="none" strike="noStrike" cap="none" normalizeH="0" baseline="0">
            <a:ln>
              <a:noFill/>
            </a:ln>
            <a:solidFill>
              <a:schemeClr val="tx1"/>
            </a:solidFill>
            <a:effectLst/>
            <a:latin typeface="Arial" panose="020B0604020202020204" pitchFamily="34" charset="0"/>
          </a:endParaRPr>
        </a:p>
      </xdr:txBody>
    </xdr:sp>
    <xdr:clientData/>
  </xdr:twoCellAnchor>
  <xdr:twoCellAnchor>
    <xdr:from>
      <xdr:col>6</xdr:col>
      <xdr:colOff>64770</xdr:colOff>
      <xdr:row>1</xdr:row>
      <xdr:rowOff>83820</xdr:rowOff>
    </xdr:from>
    <xdr:to>
      <xdr:col>10</xdr:col>
      <xdr:colOff>287655</xdr:colOff>
      <xdr:row>3</xdr:row>
      <xdr:rowOff>30128</xdr:rowOff>
    </xdr:to>
    <xdr:sp macro="" textlink="">
      <xdr:nvSpPr>
        <xdr:cNvPr id="3" name="Rectangle 1">
          <a:extLst>
            <a:ext uri="{FF2B5EF4-FFF2-40B4-BE49-F238E27FC236}">
              <a16:creationId xmlns:a16="http://schemas.microsoft.com/office/drawing/2014/main" id="{646159F3-C001-4379-AD39-2633C20F64DC}"/>
            </a:ext>
          </a:extLst>
        </xdr:cNvPr>
        <xdr:cNvSpPr>
          <a:spLocks noChangeArrowheads="1"/>
        </xdr:cNvSpPr>
      </xdr:nvSpPr>
      <xdr:spPr bwMode="auto">
        <a:xfrm>
          <a:off x="3722370" y="264795"/>
          <a:ext cx="2661285" cy="308258"/>
        </a:xfrm>
        <a:prstGeom prst="rect">
          <a:avLst/>
        </a:prstGeom>
        <a:noFill/>
        <a:ln>
          <a:noFill/>
        </a:ln>
        <a:effectLst/>
      </xdr:spPr>
      <xdr:txBody>
        <a:bodyPr vert="horz" wrap="square" lIns="91440" tIns="45720" rIns="91440" bIns="45720" numCol="1" anchor="ctr" anchorCtr="0" compatLnSpc="1">
          <a:prstTxWarp prst="textNoShape">
            <a:avLst/>
          </a:prstTxWarp>
          <a:noAutofit/>
        </a:bodyPr>
        <a:lstStyle>
          <a:defPPr>
            <a:defRPr lang="it-IT"/>
          </a:defPPr>
          <a:lvl1pPr marL="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tx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it-IT" sz="1200" kern="120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autoSamFineVitBpParR</a:t>
          </a:r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1" xr16:uid="{1E539508-C7C8-4E67-9725-3CB27D708F06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2" xr16:uid="{CD859E04-0555-45E6-8483-CA2B5BC96A9B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3" xr16:uid="{CE9B177B-044D-4818-96C8-9651A15CA881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iEsterni_1" connectionId="4" xr16:uid="{626654B5-48A3-41CC-BB07-D3B645618C98}" autoFormatId="16" applyNumberFormats="0" applyBorderFormats="0" applyFontFormats="0" applyPatternFormats="0" applyAlignmentFormats="0" applyWidthHeightFormats="0">
  <queryTableRefresh nextId="7">
    <queryTableFields count="6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FFAD4971-9C1C-42AD-AF53-4E289451336E}" name="TimeDfBBoxAutoSam" displayName="TimeDfBBoxAutoSam" ref="A1:F77" tableType="queryTable" totalsRowShown="0">
  <autoFilter ref="A1:F77" xr:uid="{FFAD4971-9C1C-42AD-AF53-4E289451336E}"/>
  <tableColumns count="6">
    <tableColumn id="1" xr3:uid="{E9B0416C-2CEA-4F4B-88AC-566FC3F83FC7}" uniqueName="1" name="Column1" queryTableFieldId="1" dataDxfId="29"/>
    <tableColumn id="2" xr3:uid="{19BC818C-5E40-4446-9BF4-8FAA13D4C535}" uniqueName="2" name="Column2" queryTableFieldId="2" dataDxfId="28"/>
    <tableColumn id="3" xr3:uid="{DF7E1700-8647-49DA-B742-E19CA836AB38}" uniqueName="3" name="Column3" queryTableFieldId="3" dataDxfId="27"/>
    <tableColumn id="4" xr3:uid="{9D09C6D0-3C83-4D75-B62B-5A29A7E9A798}" uniqueName="4" name="Column4" queryTableFieldId="4" dataDxfId="26"/>
    <tableColumn id="5" xr3:uid="{1323ACA3-D8A5-4A40-8966-AEC541AE7128}" uniqueName="5" name="Column5" queryTableFieldId="5" dataDxfId="25"/>
    <tableColumn id="6" xr3:uid="{64ACB2C6-D36A-42CC-AFCB-CAD60393AD8D}" uniqueName="6" name="Column6" queryTableFieldId="6" dataDxfId="2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BF992E5B-694B-4E45-BD70-0F6CD07837AF}" name="TimeDfBBoxAutoSam__2" displayName="TimeDfBBoxAutoSam__2" ref="A1:F77" tableType="queryTable" totalsRowShown="0">
  <autoFilter ref="A1:F77" xr:uid="{BF992E5B-694B-4E45-BD70-0F6CD07837AF}"/>
  <tableColumns count="6">
    <tableColumn id="1" xr3:uid="{28EE53AE-EAA0-42FC-B562-57D0A8BA19FD}" uniqueName="1" name="Column1" queryTableFieldId="1" dataDxfId="23"/>
    <tableColumn id="2" xr3:uid="{A3C5C516-EAA0-4762-8267-B86635A5BB94}" uniqueName="2" name="Column2" queryTableFieldId="2" dataDxfId="22"/>
    <tableColumn id="3" xr3:uid="{932D2652-2325-4378-86DD-43430ADED624}" uniqueName="3" name="Column3" queryTableFieldId="3" dataDxfId="21"/>
    <tableColumn id="4" xr3:uid="{F122A916-2CCE-4310-B267-7BD2FBE8A64A}" uniqueName="4" name="Column4" queryTableFieldId="4" dataDxfId="20"/>
    <tableColumn id="5" xr3:uid="{E6C9D5AD-8932-45F9-8796-6EC1D5FB28CD}" uniqueName="5" name="Column5" queryTableFieldId="5" dataDxfId="19"/>
    <tableColumn id="6" xr3:uid="{D00ED078-786B-4127-9D42-E512C6FAFCDD}" uniqueName="6" name="Column6" queryTableFieldId="6" dataDxfId="18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9D1E400-988D-4CF2-8829-EE6855C039FC}" name="TimeDfBBoxAutoSam__3" displayName="TimeDfBBoxAutoSam__3" ref="A1:F77" tableType="queryTable" totalsRowShown="0">
  <autoFilter ref="A1:F77" xr:uid="{69D1E400-988D-4CF2-8829-EE6855C039FC}"/>
  <tableColumns count="6">
    <tableColumn id="1" xr3:uid="{2DF2FDBD-8070-469F-A919-5BDFBB85FB06}" uniqueName="1" name="Column1" queryTableFieldId="1" dataDxfId="14"/>
    <tableColumn id="2" xr3:uid="{EBCDA0FF-4DFE-49DC-AA19-930A3327E490}" uniqueName="2" name="Column2" queryTableFieldId="2" dataDxfId="13"/>
    <tableColumn id="3" xr3:uid="{4258B1EF-CC68-4B8C-B6F3-99862FA23263}" uniqueName="3" name="Column3" queryTableFieldId="3" dataDxfId="12"/>
    <tableColumn id="4" xr3:uid="{1F00C29F-8BEB-43DD-8712-1795DD4D2D51}" uniqueName="4" name="Column4" queryTableFieldId="4" dataDxfId="11"/>
    <tableColumn id="5" xr3:uid="{EE85E4CA-8AEE-434A-98DA-03BB7664DA93}" uniqueName="5" name="Column5" queryTableFieldId="5" dataDxfId="10"/>
    <tableColumn id="6" xr3:uid="{2CE1A9AD-F498-42CE-B865-687253111CAE}" uniqueName="6" name="Column6" queryTableFieldId="6" dataDxf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6491E38C-38E9-49CD-B563-7D7A03A14B27}" name="TimeDfBBoxAutoSam__4" displayName="TimeDfBBoxAutoSam__4" ref="A1:F77" tableType="queryTable" totalsRowShown="0">
  <autoFilter ref="A1:F77" xr:uid="{6491E38C-38E9-49CD-B563-7D7A03A14B27}"/>
  <tableColumns count="6">
    <tableColumn id="1" xr3:uid="{7CBA2D76-4115-44AD-BA7A-DEC7B80A9C69}" uniqueName="1" name="Column1" queryTableFieldId="1" dataDxfId="8"/>
    <tableColumn id="2" xr3:uid="{74818892-BAFE-40BA-BE75-8ABFBE4222D2}" uniqueName="2" name="Column2" queryTableFieldId="2" dataDxfId="7"/>
    <tableColumn id="3" xr3:uid="{D305154A-260C-4869-AA61-9EADD50533D1}" uniqueName="3" name="Column3" queryTableFieldId="3" dataDxfId="6"/>
    <tableColumn id="4" xr3:uid="{AD28D301-8A63-47DB-A480-0B010336264D}" uniqueName="4" name="Column4" queryTableFieldId="4" dataDxfId="5"/>
    <tableColumn id="5" xr3:uid="{CD2A9A0B-6763-4113-9023-C1CC2FD289CF}" uniqueName="5" name="Column5" queryTableFieldId="5" dataDxfId="4"/>
    <tableColumn id="6" xr3:uid="{F60887BE-80F8-4AA5-B851-0F587ED0AB0C}" uniqueName="6" name="Column6" queryTableFieldId="6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F1F8357-C190-4CEC-A368-9740043D741B}" name="Tabella1" displayName="Tabella1" ref="G9:L86" totalsRowShown="0">
  <autoFilter ref="G9:L86" xr:uid="{4F1F8357-C190-4CEC-A368-9740043D741B}"/>
  <tableColumns count="6">
    <tableColumn id="1" xr3:uid="{AC49D561-D2D9-4FDA-9A64-FEB034F4635A}" name="time"/>
    <tableColumn id="2" xr3:uid="{4D1B96FA-9E4D-45A1-9725-8EE724B2C578}" name="index"/>
    <tableColumn id="3" xr3:uid="{15AB82F5-F306-4FA6-A332-8619109E90B6}" name="iou"/>
    <tableColumn id="4" xr3:uid="{23E415E3-AC56-480F-A884-FA9C675D2020}" name="dice"/>
    <tableColumn id="5" xr3:uid="{A9DE1592-30C3-4DAF-8DE8-ED082CB03DE6}" name="sensitivity"/>
    <tableColumn id="6" xr3:uid="{B4C4E7A1-C437-48A8-A443-36C4B8852746}" name="specificity"/>
  </tableColumns>
  <tableStyleInfo name="TableStyleLight10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2A70493-C585-41CC-BA06-E96E53840424}" name="Tabella2" displayName="Tabella2" ref="Z11:AB88" totalsRowCount="1">
  <autoFilter ref="Z11:AB87" xr:uid="{F2A70493-C585-41CC-BA06-E96E53840424}"/>
  <tableColumns count="3">
    <tableColumn id="1" xr3:uid="{D7CB7C17-0E0F-466C-839F-CDF41CFBFF0D}" name="time" totalsRowFunction="custom">
      <totalsRowFormula>AVERAGE(Z12:Z86)</totalsRowFormula>
    </tableColumn>
    <tableColumn id="2" xr3:uid="{64D8D6E2-D682-46DD-9640-40CC7231EB9C}" name="index"/>
    <tableColumn id="3" xr3:uid="{37FD7ECF-7025-43CA-8AED-560EB47DA595}" name="iou" totalsRowFunction="custom">
      <totalsRowFormula>AVERAGE(AB12:AB86)</totalsRowFormula>
    </tableColumn>
  </tableColumns>
  <tableStyleInfo name="TableStyleLight3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F052D07-614D-4B4A-B14A-31606D43AD8E}" name="Tabella4" displayName="Tabella4" ref="AE11:AG87" totalsRowShown="0">
  <autoFilter ref="AE11:AG87" xr:uid="{1F052D07-614D-4B4A-B14A-31606D43AD8E}"/>
  <tableColumns count="3">
    <tableColumn id="1" xr3:uid="{4E53CCA5-5553-4FA7-BEE6-19DE67E087C1}" name="time"/>
    <tableColumn id="2" xr3:uid="{8A794E3C-2ED1-432C-A4BF-5CA30D29DDE5}" name="index"/>
    <tableColumn id="3" xr3:uid="{67A0C5E8-29FF-4C17-8031-F0ED8E1F0584}" name="iou"/>
  </tableColumns>
  <tableStyleInfo name="TableStyleLight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49BAFA5-CA33-4BF0-9CF7-2EF272EA9FF9}" name="Tabella3" displayName="Tabella3" ref="M9:R86" totalsRowCount="1">
  <autoFilter ref="M9:R85" xr:uid="{D49BAFA5-CA33-4BF0-9CF7-2EF272EA9FF9}"/>
  <tableColumns count="6">
    <tableColumn id="1" xr3:uid="{0236CCB1-7E2B-41D5-A1FC-E67EC1946078}" name="time" totalsRowFunction="custom">
      <totalsRowFormula>AVERAGE(M10:M84)</totalsRowFormula>
    </tableColumn>
    <tableColumn id="2" xr3:uid="{198ACB2F-360A-4E1F-94DE-833772CAB461}" name="index"/>
    <tableColumn id="3" xr3:uid="{5F3D1980-0E0C-467F-B593-117C1FA51821}" name="iou" totalsRowFunction="custom">
      <totalsRowFormula>AVERAGE(O10:O84)</totalsRowFormula>
    </tableColumn>
    <tableColumn id="4" xr3:uid="{C99D2248-29ED-4084-9006-FC8D5490E8DC}" name="dice" totalsRowFunction="custom" dataDxfId="2">
      <totalsRowFormula>AVERAGE(P10:P84)</totalsRowFormula>
    </tableColumn>
    <tableColumn id="5" xr3:uid="{55D63D8B-4495-4B3D-BF08-E9D99BF49411}" name="sensitivity" totalsRowFunction="custom" dataDxfId="1">
      <totalsRowFormula>AVERAGE(Q10:Q84)</totalsRowFormula>
    </tableColumn>
    <tableColumn id="6" xr3:uid="{40CDF6D2-7B7F-42C5-A2EC-A25AD601354A}" name="specificity" totalsRowFunction="custom" dataDxfId="0">
      <totalsRowFormula>AVERAGE(R10:R84)</totalsRowFormula>
    </tableColumn>
  </tableColumns>
  <tableStyleInfo name="TableStyleLight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962ED6E-4929-463A-835F-3F10CEB7A9A7}" name="Tabella5" displayName="Tabella5" ref="S10:X86" totalsRowShown="0">
  <autoFilter ref="S10:X86" xr:uid="{1962ED6E-4929-463A-835F-3F10CEB7A9A7}"/>
  <tableColumns count="6">
    <tableColumn id="1" xr3:uid="{B0D98F10-AA96-4CF6-A9BF-B823A2352C90}" name="time"/>
    <tableColumn id="2" xr3:uid="{013FEEF3-FBB0-49A2-B7F9-3868B9A67E90}" name="index"/>
    <tableColumn id="3" xr3:uid="{EDFC36F7-B056-404E-A474-ADED12BC9B88}" name="iou"/>
    <tableColumn id="4" xr3:uid="{2959F9C6-8A95-4840-B20C-D44C03DEE3A9}" name="dice" dataDxfId="17"/>
    <tableColumn id="5" xr3:uid="{FB2770B5-C3B4-4060-B826-19C0626B8831}" name="sensitivity" dataDxfId="16"/>
    <tableColumn id="6" xr3:uid="{FB5A3163-103E-46C0-AF2F-D67279AF54D8}" name="specificity" dataDxfId="15"/>
  </tableColumns>
  <tableStyleInfo name="TableStyleLight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CF1C7B4-3680-44BA-920B-66AC4D524479}" name="Tabella6" displayName="Tabella6" ref="A9:F88" totalsRowShown="0">
  <autoFilter ref="A9:F88" xr:uid="{ACF1C7B4-3680-44BA-920B-66AC4D524479}"/>
  <tableColumns count="6">
    <tableColumn id="1" xr3:uid="{213814CA-DEF7-40AB-9CCB-1F13B4963DF6}" name="time"/>
    <tableColumn id="2" xr3:uid="{B4AED67A-C962-4A03-9021-F8FA4EA40AA2}" name="index"/>
    <tableColumn id="3" xr3:uid="{04416C69-2764-40BB-B49B-8D0D1709364E}" name="iou"/>
    <tableColumn id="4" xr3:uid="{1271CF80-AC31-42AF-BAA7-5304E0FB62E8}" name="dice"/>
    <tableColumn id="5" xr3:uid="{296A206D-E79C-486A-BE44-305589943535}" name="sensitivity"/>
    <tableColumn id="6" xr3:uid="{071A6589-4AE5-4408-A2C8-80CFC2342A12}" name="specificity"/>
  </tableColumns>
  <tableStyleInfo name="TableStyleLight10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7" Type="http://schemas.openxmlformats.org/officeDocument/2006/relationships/table" Target="../tables/table10.xml"/><Relationship Id="rId2" Type="http://schemas.openxmlformats.org/officeDocument/2006/relationships/table" Target="../tables/table5.xml"/><Relationship Id="rId1" Type="http://schemas.openxmlformats.org/officeDocument/2006/relationships/drawing" Target="../drawings/drawing1.xml"/><Relationship Id="rId6" Type="http://schemas.openxmlformats.org/officeDocument/2006/relationships/table" Target="../tables/table9.xml"/><Relationship Id="rId5" Type="http://schemas.openxmlformats.org/officeDocument/2006/relationships/table" Target="../tables/table8.xml"/><Relationship Id="rId4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5E728-8C29-4D44-A764-B2812CD5F576}">
  <dimension ref="A1:F77"/>
  <sheetViews>
    <sheetView workbookViewId="0">
      <selection activeCell="C2" sqref="C2:F77"/>
    </sheetView>
  </sheetViews>
  <sheetFormatPr defaultRowHeight="14.4"/>
  <cols>
    <col min="1" max="1" width="18.77734375" bestFit="1" customWidth="1"/>
    <col min="2" max="2" width="10.77734375" bestFit="1" customWidth="1"/>
    <col min="3" max="6" width="18.77734375" bestFit="1" customWidth="1"/>
  </cols>
  <sheetData>
    <row r="1" spans="1:6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</row>
    <row r="2" spans="1:6">
      <c r="A2" s="8" t="s">
        <v>0</v>
      </c>
      <c r="B2" s="8" t="s">
        <v>1</v>
      </c>
      <c r="C2" s="8" t="s">
        <v>2</v>
      </c>
      <c r="D2" s="8" t="s">
        <v>17</v>
      </c>
      <c r="E2" s="8" t="s">
        <v>18</v>
      </c>
      <c r="F2" s="8" t="s">
        <v>19</v>
      </c>
    </row>
    <row r="3" spans="1:6">
      <c r="A3" s="8" t="s">
        <v>20</v>
      </c>
      <c r="B3" s="8" t="s">
        <v>21</v>
      </c>
      <c r="C3" s="8" t="s">
        <v>22</v>
      </c>
      <c r="D3" s="8" t="s">
        <v>23</v>
      </c>
      <c r="E3" s="8" t="s">
        <v>24</v>
      </c>
      <c r="F3" s="8" t="s">
        <v>25</v>
      </c>
    </row>
    <row r="4" spans="1:6">
      <c r="A4" s="8" t="s">
        <v>26</v>
      </c>
      <c r="B4" s="8" t="s">
        <v>27</v>
      </c>
      <c r="C4" s="8" t="s">
        <v>28</v>
      </c>
      <c r="D4" s="8" t="s">
        <v>29</v>
      </c>
      <c r="E4" s="8" t="s">
        <v>30</v>
      </c>
      <c r="F4" s="8" t="s">
        <v>31</v>
      </c>
    </row>
    <row r="5" spans="1:6">
      <c r="A5" s="8" t="s">
        <v>32</v>
      </c>
      <c r="B5" s="8" t="s">
        <v>33</v>
      </c>
      <c r="C5" s="8" t="s">
        <v>34</v>
      </c>
      <c r="D5" s="8" t="s">
        <v>35</v>
      </c>
      <c r="E5" s="8" t="s">
        <v>36</v>
      </c>
      <c r="F5" s="8" t="s">
        <v>37</v>
      </c>
    </row>
    <row r="6" spans="1:6">
      <c r="A6" s="8" t="s">
        <v>38</v>
      </c>
      <c r="B6" s="8" t="s">
        <v>39</v>
      </c>
      <c r="C6" s="8" t="s">
        <v>40</v>
      </c>
      <c r="D6" s="8" t="s">
        <v>41</v>
      </c>
      <c r="E6" s="8" t="s">
        <v>42</v>
      </c>
      <c r="F6" s="8" t="s">
        <v>43</v>
      </c>
    </row>
    <row r="7" spans="1:6">
      <c r="A7" s="8" t="s">
        <v>44</v>
      </c>
      <c r="B7" s="8" t="s">
        <v>45</v>
      </c>
      <c r="C7" s="8" t="s">
        <v>46</v>
      </c>
      <c r="D7" s="8" t="s">
        <v>47</v>
      </c>
      <c r="E7" s="8" t="s">
        <v>48</v>
      </c>
      <c r="F7" s="8" t="s">
        <v>49</v>
      </c>
    </row>
    <row r="8" spans="1:6">
      <c r="A8" s="8" t="s">
        <v>50</v>
      </c>
      <c r="B8" s="8" t="s">
        <v>51</v>
      </c>
      <c r="C8" s="8" t="s">
        <v>52</v>
      </c>
      <c r="D8" s="8" t="s">
        <v>53</v>
      </c>
      <c r="E8" s="8" t="s">
        <v>54</v>
      </c>
      <c r="F8" s="8" t="s">
        <v>55</v>
      </c>
    </row>
    <row r="9" spans="1:6">
      <c r="A9" s="8" t="s">
        <v>56</v>
      </c>
      <c r="B9" s="8" t="s">
        <v>57</v>
      </c>
      <c r="C9" s="8" t="s">
        <v>58</v>
      </c>
      <c r="D9" s="8" t="s">
        <v>59</v>
      </c>
      <c r="E9" s="8" t="s">
        <v>60</v>
      </c>
      <c r="F9" s="8" t="s">
        <v>61</v>
      </c>
    </row>
    <row r="10" spans="1:6">
      <c r="A10" s="8" t="s">
        <v>62</v>
      </c>
      <c r="B10" s="8" t="s">
        <v>63</v>
      </c>
      <c r="C10" s="8" t="s">
        <v>64</v>
      </c>
      <c r="D10" s="8" t="s">
        <v>65</v>
      </c>
      <c r="E10" s="8" t="s">
        <v>66</v>
      </c>
      <c r="F10" s="8" t="s">
        <v>67</v>
      </c>
    </row>
    <row r="11" spans="1:6">
      <c r="A11" s="8" t="s">
        <v>68</v>
      </c>
      <c r="B11" s="8" t="s">
        <v>69</v>
      </c>
      <c r="C11" s="8" t="s">
        <v>70</v>
      </c>
      <c r="D11" s="8" t="s">
        <v>71</v>
      </c>
      <c r="E11" s="8" t="s">
        <v>72</v>
      </c>
      <c r="F11" s="8" t="s">
        <v>73</v>
      </c>
    </row>
    <row r="12" spans="1:6">
      <c r="A12" s="8" t="s">
        <v>74</v>
      </c>
      <c r="B12" s="8" t="s">
        <v>75</v>
      </c>
      <c r="C12" s="8" t="s">
        <v>76</v>
      </c>
      <c r="D12" s="8" t="s">
        <v>77</v>
      </c>
      <c r="E12" s="8" t="s">
        <v>78</v>
      </c>
      <c r="F12" s="8" t="s">
        <v>79</v>
      </c>
    </row>
    <row r="13" spans="1:6">
      <c r="A13" s="8" t="s">
        <v>80</v>
      </c>
      <c r="B13" s="8" t="s">
        <v>81</v>
      </c>
      <c r="C13" s="8" t="s">
        <v>82</v>
      </c>
      <c r="D13" s="8" t="s">
        <v>83</v>
      </c>
      <c r="E13" s="8" t="s">
        <v>84</v>
      </c>
      <c r="F13" s="8" t="s">
        <v>85</v>
      </c>
    </row>
    <row r="14" spans="1:6">
      <c r="A14" s="8" t="s">
        <v>86</v>
      </c>
      <c r="B14" s="8" t="s">
        <v>87</v>
      </c>
      <c r="C14" s="8" t="s">
        <v>88</v>
      </c>
      <c r="D14" s="8" t="s">
        <v>89</v>
      </c>
      <c r="E14" s="8" t="s">
        <v>90</v>
      </c>
      <c r="F14" s="8" t="s">
        <v>91</v>
      </c>
    </row>
    <row r="15" spans="1:6">
      <c r="A15" s="8" t="s">
        <v>92</v>
      </c>
      <c r="B15" s="8" t="s">
        <v>93</v>
      </c>
      <c r="C15" s="8" t="s">
        <v>94</v>
      </c>
      <c r="D15" s="8" t="s">
        <v>95</v>
      </c>
      <c r="E15" s="8" t="s">
        <v>96</v>
      </c>
      <c r="F15" s="8" t="s">
        <v>97</v>
      </c>
    </row>
    <row r="16" spans="1:6">
      <c r="A16" s="8" t="s">
        <v>98</v>
      </c>
      <c r="B16" s="8" t="s">
        <v>99</v>
      </c>
      <c r="C16" s="8" t="s">
        <v>100</v>
      </c>
      <c r="D16" s="8" t="s">
        <v>101</v>
      </c>
      <c r="E16" s="8" t="s">
        <v>102</v>
      </c>
      <c r="F16" s="8" t="s">
        <v>103</v>
      </c>
    </row>
    <row r="17" spans="1:6">
      <c r="A17" s="8" t="s">
        <v>104</v>
      </c>
      <c r="B17" s="8" t="s">
        <v>105</v>
      </c>
      <c r="C17" s="8" t="s">
        <v>106</v>
      </c>
      <c r="D17" s="8" t="s">
        <v>107</v>
      </c>
      <c r="E17" s="8" t="s">
        <v>108</v>
      </c>
      <c r="F17" s="8" t="s">
        <v>109</v>
      </c>
    </row>
    <row r="18" spans="1:6">
      <c r="A18" s="8" t="s">
        <v>110</v>
      </c>
      <c r="B18" s="8" t="s">
        <v>111</v>
      </c>
      <c r="C18" s="8" t="s">
        <v>112</v>
      </c>
      <c r="D18" s="8" t="s">
        <v>113</v>
      </c>
      <c r="E18" s="8" t="s">
        <v>114</v>
      </c>
      <c r="F18" s="8" t="s">
        <v>115</v>
      </c>
    </row>
    <row r="19" spans="1:6">
      <c r="A19" s="8" t="s">
        <v>116</v>
      </c>
      <c r="B19" s="8" t="s">
        <v>117</v>
      </c>
      <c r="C19" s="8" t="s">
        <v>118</v>
      </c>
      <c r="D19" s="8" t="s">
        <v>119</v>
      </c>
      <c r="E19" s="8" t="s">
        <v>120</v>
      </c>
      <c r="F19" s="8" t="s">
        <v>121</v>
      </c>
    </row>
    <row r="20" spans="1:6">
      <c r="A20" s="8" t="s">
        <v>122</v>
      </c>
      <c r="B20" s="8" t="s">
        <v>123</v>
      </c>
      <c r="C20" s="8" t="s">
        <v>124</v>
      </c>
      <c r="D20" s="8" t="s">
        <v>125</v>
      </c>
      <c r="E20" s="8" t="s">
        <v>126</v>
      </c>
      <c r="F20" s="8" t="s">
        <v>127</v>
      </c>
    </row>
    <row r="21" spans="1:6">
      <c r="A21" s="8" t="s">
        <v>128</v>
      </c>
      <c r="B21" s="8" t="s">
        <v>129</v>
      </c>
      <c r="C21" s="8" t="s">
        <v>130</v>
      </c>
      <c r="D21" s="8" t="s">
        <v>131</v>
      </c>
      <c r="E21" s="8" t="s">
        <v>132</v>
      </c>
      <c r="F21" s="8" t="s">
        <v>133</v>
      </c>
    </row>
    <row r="22" spans="1:6">
      <c r="A22" s="8" t="s">
        <v>134</v>
      </c>
      <c r="B22" s="8" t="s">
        <v>135</v>
      </c>
      <c r="C22" s="8" t="s">
        <v>136</v>
      </c>
      <c r="D22" s="8" t="s">
        <v>137</v>
      </c>
      <c r="E22" s="8" t="s">
        <v>138</v>
      </c>
      <c r="F22" s="8" t="s">
        <v>139</v>
      </c>
    </row>
    <row r="23" spans="1:6">
      <c r="A23" s="8" t="s">
        <v>140</v>
      </c>
      <c r="B23" s="8" t="s">
        <v>141</v>
      </c>
      <c r="C23" s="8" t="s">
        <v>142</v>
      </c>
      <c r="D23" s="8" t="s">
        <v>143</v>
      </c>
      <c r="E23" s="8" t="s">
        <v>144</v>
      </c>
      <c r="F23" s="8" t="s">
        <v>145</v>
      </c>
    </row>
    <row r="24" spans="1:6">
      <c r="A24" s="8" t="s">
        <v>146</v>
      </c>
      <c r="B24" s="8" t="s">
        <v>147</v>
      </c>
      <c r="C24" s="8" t="s">
        <v>148</v>
      </c>
      <c r="D24" s="8" t="s">
        <v>149</v>
      </c>
      <c r="E24" s="8" t="s">
        <v>150</v>
      </c>
      <c r="F24" s="8" t="s">
        <v>151</v>
      </c>
    </row>
    <row r="25" spans="1:6">
      <c r="A25" s="8" t="s">
        <v>152</v>
      </c>
      <c r="B25" s="8" t="s">
        <v>153</v>
      </c>
      <c r="C25" s="8" t="s">
        <v>154</v>
      </c>
      <c r="D25" s="8" t="s">
        <v>155</v>
      </c>
      <c r="E25" s="8" t="s">
        <v>156</v>
      </c>
      <c r="F25" s="8" t="s">
        <v>157</v>
      </c>
    </row>
    <row r="26" spans="1:6">
      <c r="A26" s="8" t="s">
        <v>158</v>
      </c>
      <c r="B26" s="8" t="s">
        <v>159</v>
      </c>
      <c r="C26" s="8" t="s">
        <v>160</v>
      </c>
      <c r="D26" s="8" t="s">
        <v>161</v>
      </c>
      <c r="E26" s="8" t="s">
        <v>162</v>
      </c>
      <c r="F26" s="8" t="s">
        <v>163</v>
      </c>
    </row>
    <row r="27" spans="1:6">
      <c r="A27" s="8" t="s">
        <v>164</v>
      </c>
      <c r="B27" s="8" t="s">
        <v>165</v>
      </c>
      <c r="C27" s="8" t="s">
        <v>166</v>
      </c>
      <c r="D27" s="8" t="s">
        <v>167</v>
      </c>
      <c r="E27" s="8" t="s">
        <v>168</v>
      </c>
      <c r="F27" s="8" t="s">
        <v>169</v>
      </c>
    </row>
    <row r="28" spans="1:6">
      <c r="A28" s="8" t="s">
        <v>170</v>
      </c>
      <c r="B28" s="8" t="s">
        <v>171</v>
      </c>
      <c r="C28" s="8" t="s">
        <v>172</v>
      </c>
      <c r="D28" s="8" t="s">
        <v>173</v>
      </c>
      <c r="E28" s="8" t="s">
        <v>174</v>
      </c>
      <c r="F28" s="8" t="s">
        <v>175</v>
      </c>
    </row>
    <row r="29" spans="1:6">
      <c r="A29" s="8" t="s">
        <v>176</v>
      </c>
      <c r="B29" s="8" t="s">
        <v>177</v>
      </c>
      <c r="C29" s="8" t="s">
        <v>178</v>
      </c>
      <c r="D29" s="8" t="s">
        <v>179</v>
      </c>
      <c r="E29" s="8" t="s">
        <v>180</v>
      </c>
      <c r="F29" s="8" t="s">
        <v>181</v>
      </c>
    </row>
    <row r="30" spans="1:6">
      <c r="A30" s="8" t="s">
        <v>182</v>
      </c>
      <c r="B30" s="8" t="s">
        <v>183</v>
      </c>
      <c r="C30" s="8" t="s">
        <v>184</v>
      </c>
      <c r="D30" s="8" t="s">
        <v>185</v>
      </c>
      <c r="E30" s="8" t="s">
        <v>186</v>
      </c>
      <c r="F30" s="8" t="s">
        <v>187</v>
      </c>
    </row>
    <row r="31" spans="1:6">
      <c r="A31" s="8" t="s">
        <v>188</v>
      </c>
      <c r="B31" s="8" t="s">
        <v>189</v>
      </c>
      <c r="C31" s="8" t="s">
        <v>190</v>
      </c>
      <c r="D31" s="8" t="s">
        <v>191</v>
      </c>
      <c r="E31" s="8" t="s">
        <v>192</v>
      </c>
      <c r="F31" s="8" t="s">
        <v>193</v>
      </c>
    </row>
    <row r="32" spans="1:6">
      <c r="A32" s="8" t="s">
        <v>194</v>
      </c>
      <c r="B32" s="8" t="s">
        <v>195</v>
      </c>
      <c r="C32" s="8" t="s">
        <v>196</v>
      </c>
      <c r="D32" s="8" t="s">
        <v>197</v>
      </c>
      <c r="E32" s="8" t="s">
        <v>198</v>
      </c>
      <c r="F32" s="8" t="s">
        <v>199</v>
      </c>
    </row>
    <row r="33" spans="1:6">
      <c r="A33" s="8" t="s">
        <v>200</v>
      </c>
      <c r="B33" s="8" t="s">
        <v>201</v>
      </c>
      <c r="C33" s="8" t="s">
        <v>202</v>
      </c>
      <c r="D33" s="8" t="s">
        <v>203</v>
      </c>
      <c r="E33" s="8" t="s">
        <v>204</v>
      </c>
      <c r="F33" s="8" t="s">
        <v>205</v>
      </c>
    </row>
    <row r="34" spans="1:6">
      <c r="A34" s="8" t="s">
        <v>206</v>
      </c>
      <c r="B34" s="8" t="s">
        <v>207</v>
      </c>
      <c r="C34" s="8" t="s">
        <v>208</v>
      </c>
      <c r="D34" s="8" t="s">
        <v>209</v>
      </c>
      <c r="E34" s="8" t="s">
        <v>210</v>
      </c>
      <c r="F34" s="8" t="s">
        <v>211</v>
      </c>
    </row>
    <row r="35" spans="1:6">
      <c r="A35" s="8" t="s">
        <v>212</v>
      </c>
      <c r="B35" s="8" t="s">
        <v>213</v>
      </c>
      <c r="C35" s="8" t="s">
        <v>214</v>
      </c>
      <c r="D35" s="8" t="s">
        <v>215</v>
      </c>
      <c r="E35" s="8" t="s">
        <v>216</v>
      </c>
      <c r="F35" s="8" t="s">
        <v>217</v>
      </c>
    </row>
    <row r="36" spans="1:6">
      <c r="A36" s="8" t="s">
        <v>218</v>
      </c>
      <c r="B36" s="8" t="s">
        <v>219</v>
      </c>
      <c r="C36" s="8" t="s">
        <v>220</v>
      </c>
      <c r="D36" s="8" t="s">
        <v>221</v>
      </c>
      <c r="E36" s="8" t="s">
        <v>222</v>
      </c>
      <c r="F36" s="8" t="s">
        <v>223</v>
      </c>
    </row>
    <row r="37" spans="1:6">
      <c r="A37" s="8" t="s">
        <v>224</v>
      </c>
      <c r="B37" s="8" t="s">
        <v>225</v>
      </c>
      <c r="C37" s="8" t="s">
        <v>226</v>
      </c>
      <c r="D37" s="8" t="s">
        <v>227</v>
      </c>
      <c r="E37" s="8" t="s">
        <v>228</v>
      </c>
      <c r="F37" s="8" t="s">
        <v>229</v>
      </c>
    </row>
    <row r="38" spans="1:6">
      <c r="A38" s="8" t="s">
        <v>230</v>
      </c>
      <c r="B38" s="8" t="s">
        <v>231</v>
      </c>
      <c r="C38" s="8" t="s">
        <v>232</v>
      </c>
      <c r="D38" s="8" t="s">
        <v>233</v>
      </c>
      <c r="E38" s="8" t="s">
        <v>234</v>
      </c>
      <c r="F38" s="8" t="s">
        <v>235</v>
      </c>
    </row>
    <row r="39" spans="1:6">
      <c r="A39" s="8" t="s">
        <v>236</v>
      </c>
      <c r="B39" s="8" t="s">
        <v>237</v>
      </c>
      <c r="C39" s="8" t="s">
        <v>238</v>
      </c>
      <c r="D39" s="8" t="s">
        <v>239</v>
      </c>
      <c r="E39" s="8" t="s">
        <v>240</v>
      </c>
      <c r="F39" s="8" t="s">
        <v>241</v>
      </c>
    </row>
    <row r="40" spans="1:6">
      <c r="A40" s="8" t="s">
        <v>242</v>
      </c>
      <c r="B40" s="8" t="s">
        <v>243</v>
      </c>
      <c r="C40" s="8" t="s">
        <v>244</v>
      </c>
      <c r="D40" s="8" t="s">
        <v>245</v>
      </c>
      <c r="E40" s="8" t="s">
        <v>246</v>
      </c>
      <c r="F40" s="8" t="s">
        <v>247</v>
      </c>
    </row>
    <row r="41" spans="1:6">
      <c r="A41" s="8" t="s">
        <v>248</v>
      </c>
      <c r="B41" s="8" t="s">
        <v>249</v>
      </c>
      <c r="C41" s="8" t="s">
        <v>250</v>
      </c>
      <c r="D41" s="8" t="s">
        <v>251</v>
      </c>
      <c r="E41" s="8" t="s">
        <v>252</v>
      </c>
      <c r="F41" s="8" t="s">
        <v>253</v>
      </c>
    </row>
    <row r="42" spans="1:6">
      <c r="A42" s="8" t="s">
        <v>254</v>
      </c>
      <c r="B42" s="8" t="s">
        <v>255</v>
      </c>
      <c r="C42" s="8" t="s">
        <v>256</v>
      </c>
      <c r="D42" s="8" t="s">
        <v>257</v>
      </c>
      <c r="E42" s="8" t="s">
        <v>258</v>
      </c>
      <c r="F42" s="8" t="s">
        <v>259</v>
      </c>
    </row>
    <row r="43" spans="1:6">
      <c r="A43" s="8" t="s">
        <v>260</v>
      </c>
      <c r="B43" s="8" t="s">
        <v>261</v>
      </c>
      <c r="C43" s="8" t="s">
        <v>262</v>
      </c>
      <c r="D43" s="8" t="s">
        <v>263</v>
      </c>
      <c r="E43" s="8" t="s">
        <v>264</v>
      </c>
      <c r="F43" s="8" t="s">
        <v>265</v>
      </c>
    </row>
    <row r="44" spans="1:6">
      <c r="A44" s="8" t="s">
        <v>266</v>
      </c>
      <c r="B44" s="8" t="s">
        <v>267</v>
      </c>
      <c r="C44" s="8" t="s">
        <v>268</v>
      </c>
      <c r="D44" s="8" t="s">
        <v>269</v>
      </c>
      <c r="E44" s="8" t="s">
        <v>270</v>
      </c>
      <c r="F44" s="8" t="s">
        <v>271</v>
      </c>
    </row>
    <row r="45" spans="1:6">
      <c r="A45" s="8" t="s">
        <v>272</v>
      </c>
      <c r="B45" s="8" t="s">
        <v>273</v>
      </c>
      <c r="C45" s="8" t="s">
        <v>274</v>
      </c>
      <c r="D45" s="8" t="s">
        <v>275</v>
      </c>
      <c r="E45" s="8" t="s">
        <v>276</v>
      </c>
      <c r="F45" s="8" t="s">
        <v>277</v>
      </c>
    </row>
    <row r="46" spans="1:6">
      <c r="A46" s="8" t="s">
        <v>278</v>
      </c>
      <c r="B46" s="8" t="s">
        <v>279</v>
      </c>
      <c r="C46" s="8" t="s">
        <v>280</v>
      </c>
      <c r="D46" s="8" t="s">
        <v>281</v>
      </c>
      <c r="E46" s="8" t="s">
        <v>282</v>
      </c>
      <c r="F46" s="8" t="s">
        <v>283</v>
      </c>
    </row>
    <row r="47" spans="1:6">
      <c r="A47" s="8" t="s">
        <v>284</v>
      </c>
      <c r="B47" s="8" t="s">
        <v>285</v>
      </c>
      <c r="C47" s="8" t="s">
        <v>286</v>
      </c>
      <c r="D47" s="8" t="s">
        <v>287</v>
      </c>
      <c r="E47" s="8" t="s">
        <v>288</v>
      </c>
      <c r="F47" s="8" t="s">
        <v>289</v>
      </c>
    </row>
    <row r="48" spans="1:6">
      <c r="A48" s="8" t="s">
        <v>290</v>
      </c>
      <c r="B48" s="8" t="s">
        <v>291</v>
      </c>
      <c r="C48" s="8" t="s">
        <v>292</v>
      </c>
      <c r="D48" s="8" t="s">
        <v>293</v>
      </c>
      <c r="E48" s="8" t="s">
        <v>294</v>
      </c>
      <c r="F48" s="8" t="s">
        <v>295</v>
      </c>
    </row>
    <row r="49" spans="1:6">
      <c r="A49" s="8" t="s">
        <v>296</v>
      </c>
      <c r="B49" s="8" t="s">
        <v>297</v>
      </c>
      <c r="C49" s="8" t="s">
        <v>298</v>
      </c>
      <c r="D49" s="8" t="s">
        <v>299</v>
      </c>
      <c r="E49" s="8" t="s">
        <v>300</v>
      </c>
      <c r="F49" s="8" t="s">
        <v>301</v>
      </c>
    </row>
    <row r="50" spans="1:6">
      <c r="A50" s="8" t="s">
        <v>302</v>
      </c>
      <c r="B50" s="8" t="s">
        <v>303</v>
      </c>
      <c r="C50" s="8" t="s">
        <v>304</v>
      </c>
      <c r="D50" s="8" t="s">
        <v>305</v>
      </c>
      <c r="E50" s="8" t="s">
        <v>306</v>
      </c>
      <c r="F50" s="8" t="s">
        <v>307</v>
      </c>
    </row>
    <row r="51" spans="1:6">
      <c r="A51" s="8" t="s">
        <v>308</v>
      </c>
      <c r="B51" s="8" t="s">
        <v>309</v>
      </c>
      <c r="C51" s="8" t="s">
        <v>310</v>
      </c>
      <c r="D51" s="8" t="s">
        <v>311</v>
      </c>
      <c r="E51" s="8" t="s">
        <v>312</v>
      </c>
      <c r="F51" s="8" t="s">
        <v>313</v>
      </c>
    </row>
    <row r="52" spans="1:6">
      <c r="A52" s="8" t="s">
        <v>314</v>
      </c>
      <c r="B52" s="8" t="s">
        <v>315</v>
      </c>
      <c r="C52" s="8" t="s">
        <v>316</v>
      </c>
      <c r="D52" s="8" t="s">
        <v>317</v>
      </c>
      <c r="E52" s="8" t="s">
        <v>318</v>
      </c>
      <c r="F52" s="8" t="s">
        <v>319</v>
      </c>
    </row>
    <row r="53" spans="1:6">
      <c r="A53" s="8" t="s">
        <v>320</v>
      </c>
      <c r="B53" s="8" t="s">
        <v>321</v>
      </c>
      <c r="C53" s="8" t="s">
        <v>322</v>
      </c>
      <c r="D53" s="8" t="s">
        <v>323</v>
      </c>
      <c r="E53" s="8" t="s">
        <v>324</v>
      </c>
      <c r="F53" s="8" t="s">
        <v>325</v>
      </c>
    </row>
    <row r="54" spans="1:6">
      <c r="A54" s="8" t="s">
        <v>326</v>
      </c>
      <c r="B54" s="8" t="s">
        <v>327</v>
      </c>
      <c r="C54" s="8" t="s">
        <v>328</v>
      </c>
      <c r="D54" s="8" t="s">
        <v>329</v>
      </c>
      <c r="E54" s="8" t="s">
        <v>330</v>
      </c>
      <c r="F54" s="8" t="s">
        <v>331</v>
      </c>
    </row>
    <row r="55" spans="1:6">
      <c r="A55" s="8" t="s">
        <v>332</v>
      </c>
      <c r="B55" s="8" t="s">
        <v>333</v>
      </c>
      <c r="C55" s="8" t="s">
        <v>334</v>
      </c>
      <c r="D55" s="8" t="s">
        <v>335</v>
      </c>
      <c r="E55" s="8" t="s">
        <v>336</v>
      </c>
      <c r="F55" s="8" t="s">
        <v>337</v>
      </c>
    </row>
    <row r="56" spans="1:6">
      <c r="A56" s="8" t="s">
        <v>338</v>
      </c>
      <c r="B56" s="8" t="s">
        <v>339</v>
      </c>
      <c r="C56" s="8" t="s">
        <v>340</v>
      </c>
      <c r="D56" s="8" t="s">
        <v>341</v>
      </c>
      <c r="E56" s="8" t="s">
        <v>342</v>
      </c>
      <c r="F56" s="8" t="s">
        <v>343</v>
      </c>
    </row>
    <row r="57" spans="1:6">
      <c r="A57" s="8" t="s">
        <v>344</v>
      </c>
      <c r="B57" s="8" t="s">
        <v>345</v>
      </c>
      <c r="C57" s="8" t="s">
        <v>346</v>
      </c>
      <c r="D57" s="8" t="s">
        <v>347</v>
      </c>
      <c r="E57" s="8" t="s">
        <v>348</v>
      </c>
      <c r="F57" s="8" t="s">
        <v>349</v>
      </c>
    </row>
    <row r="58" spans="1:6">
      <c r="A58" s="8" t="s">
        <v>350</v>
      </c>
      <c r="B58" s="8" t="s">
        <v>351</v>
      </c>
      <c r="C58" s="8" t="s">
        <v>352</v>
      </c>
      <c r="D58" s="8" t="s">
        <v>353</v>
      </c>
      <c r="E58" s="8" t="s">
        <v>354</v>
      </c>
      <c r="F58" s="8" t="s">
        <v>355</v>
      </c>
    </row>
    <row r="59" spans="1:6">
      <c r="A59" s="8" t="s">
        <v>356</v>
      </c>
      <c r="B59" s="8" t="s">
        <v>357</v>
      </c>
      <c r="C59" s="8" t="s">
        <v>358</v>
      </c>
      <c r="D59" s="8" t="s">
        <v>359</v>
      </c>
      <c r="E59" s="8" t="s">
        <v>360</v>
      </c>
      <c r="F59" s="8" t="s">
        <v>361</v>
      </c>
    </row>
    <row r="60" spans="1:6">
      <c r="A60" s="8" t="s">
        <v>362</v>
      </c>
      <c r="B60" s="8" t="s">
        <v>363</v>
      </c>
      <c r="C60" s="8" t="s">
        <v>364</v>
      </c>
      <c r="D60" s="8" t="s">
        <v>365</v>
      </c>
      <c r="E60" s="8" t="s">
        <v>366</v>
      </c>
      <c r="F60" s="8" t="s">
        <v>367</v>
      </c>
    </row>
    <row r="61" spans="1:6">
      <c r="A61" s="8" t="s">
        <v>368</v>
      </c>
      <c r="B61" s="8" t="s">
        <v>369</v>
      </c>
      <c r="C61" s="8" t="s">
        <v>370</v>
      </c>
      <c r="D61" s="8" t="s">
        <v>371</v>
      </c>
      <c r="E61" s="8" t="s">
        <v>372</v>
      </c>
      <c r="F61" s="8" t="s">
        <v>373</v>
      </c>
    </row>
    <row r="62" spans="1:6">
      <c r="A62" s="8" t="s">
        <v>374</v>
      </c>
      <c r="B62" s="8" t="s">
        <v>375</v>
      </c>
      <c r="C62" s="8" t="s">
        <v>376</v>
      </c>
      <c r="D62" s="8" t="s">
        <v>377</v>
      </c>
      <c r="E62" s="8" t="s">
        <v>378</v>
      </c>
      <c r="F62" s="8" t="s">
        <v>379</v>
      </c>
    </row>
    <row r="63" spans="1:6">
      <c r="A63" s="8" t="s">
        <v>380</v>
      </c>
      <c r="B63" s="8" t="s">
        <v>381</v>
      </c>
      <c r="C63" s="8" t="s">
        <v>382</v>
      </c>
      <c r="D63" s="8" t="s">
        <v>383</v>
      </c>
      <c r="E63" s="8" t="s">
        <v>384</v>
      </c>
      <c r="F63" s="8" t="s">
        <v>385</v>
      </c>
    </row>
    <row r="64" spans="1:6">
      <c r="A64" s="8" t="s">
        <v>386</v>
      </c>
      <c r="B64" s="8" t="s">
        <v>387</v>
      </c>
      <c r="C64" s="8" t="s">
        <v>388</v>
      </c>
      <c r="D64" s="8" t="s">
        <v>389</v>
      </c>
      <c r="E64" s="8" t="s">
        <v>390</v>
      </c>
      <c r="F64" s="8" t="s">
        <v>391</v>
      </c>
    </row>
    <row r="65" spans="1:6">
      <c r="A65" s="8" t="s">
        <v>392</v>
      </c>
      <c r="B65" s="8" t="s">
        <v>393</v>
      </c>
      <c r="C65" s="8" t="s">
        <v>394</v>
      </c>
      <c r="D65" s="8" t="s">
        <v>395</v>
      </c>
      <c r="E65" s="8" t="s">
        <v>396</v>
      </c>
      <c r="F65" s="8" t="s">
        <v>397</v>
      </c>
    </row>
    <row r="66" spans="1:6">
      <c r="A66" s="8" t="s">
        <v>398</v>
      </c>
      <c r="B66" s="8" t="s">
        <v>399</v>
      </c>
      <c r="C66" s="8" t="s">
        <v>400</v>
      </c>
      <c r="D66" s="8" t="s">
        <v>401</v>
      </c>
      <c r="E66" s="8" t="s">
        <v>402</v>
      </c>
      <c r="F66" s="8" t="s">
        <v>403</v>
      </c>
    </row>
    <row r="67" spans="1:6">
      <c r="A67" s="8" t="s">
        <v>404</v>
      </c>
      <c r="B67" s="8" t="s">
        <v>405</v>
      </c>
      <c r="C67" s="8" t="s">
        <v>406</v>
      </c>
      <c r="D67" s="8" t="s">
        <v>407</v>
      </c>
      <c r="E67" s="8" t="s">
        <v>408</v>
      </c>
      <c r="F67" s="8" t="s">
        <v>409</v>
      </c>
    </row>
    <row r="68" spans="1:6">
      <c r="A68" s="8" t="s">
        <v>410</v>
      </c>
      <c r="B68" s="8" t="s">
        <v>411</v>
      </c>
      <c r="C68" s="8" t="s">
        <v>412</v>
      </c>
      <c r="D68" s="8" t="s">
        <v>413</v>
      </c>
      <c r="E68" s="8" t="s">
        <v>414</v>
      </c>
      <c r="F68" s="8" t="s">
        <v>415</v>
      </c>
    </row>
    <row r="69" spans="1:6">
      <c r="A69" s="8" t="s">
        <v>416</v>
      </c>
      <c r="B69" s="8" t="s">
        <v>417</v>
      </c>
      <c r="C69" s="8" t="s">
        <v>418</v>
      </c>
      <c r="D69" s="8" t="s">
        <v>419</v>
      </c>
      <c r="E69" s="8" t="s">
        <v>420</v>
      </c>
      <c r="F69" s="8" t="s">
        <v>421</v>
      </c>
    </row>
    <row r="70" spans="1:6">
      <c r="A70" s="8" t="s">
        <v>422</v>
      </c>
      <c r="B70" s="8" t="s">
        <v>423</v>
      </c>
      <c r="C70" s="8" t="s">
        <v>424</v>
      </c>
      <c r="D70" s="8" t="s">
        <v>425</v>
      </c>
      <c r="E70" s="8" t="s">
        <v>426</v>
      </c>
      <c r="F70" s="8" t="s">
        <v>427</v>
      </c>
    </row>
    <row r="71" spans="1:6">
      <c r="A71" s="8" t="s">
        <v>428</v>
      </c>
      <c r="B71" s="8" t="s">
        <v>429</v>
      </c>
      <c r="C71" s="8" t="s">
        <v>430</v>
      </c>
      <c r="D71" s="8" t="s">
        <v>431</v>
      </c>
      <c r="E71" s="8" t="s">
        <v>432</v>
      </c>
      <c r="F71" s="8" t="s">
        <v>433</v>
      </c>
    </row>
    <row r="72" spans="1:6">
      <c r="A72" s="8" t="s">
        <v>434</v>
      </c>
      <c r="B72" s="8" t="s">
        <v>435</v>
      </c>
      <c r="C72" s="8" t="s">
        <v>436</v>
      </c>
      <c r="D72" s="8" t="s">
        <v>437</v>
      </c>
      <c r="E72" s="8" t="s">
        <v>438</v>
      </c>
      <c r="F72" s="8" t="s">
        <v>439</v>
      </c>
    </row>
    <row r="73" spans="1:6">
      <c r="A73" s="8" t="s">
        <v>440</v>
      </c>
      <c r="B73" s="8" t="s">
        <v>441</v>
      </c>
      <c r="C73" s="8" t="s">
        <v>442</v>
      </c>
      <c r="D73" s="8" t="s">
        <v>443</v>
      </c>
      <c r="E73" s="8" t="s">
        <v>444</v>
      </c>
      <c r="F73" s="8" t="s">
        <v>445</v>
      </c>
    </row>
    <row r="74" spans="1:6">
      <c r="A74" s="8" t="s">
        <v>446</v>
      </c>
      <c r="B74" s="8" t="s">
        <v>447</v>
      </c>
      <c r="C74" s="8" t="s">
        <v>448</v>
      </c>
      <c r="D74" s="8" t="s">
        <v>449</v>
      </c>
      <c r="E74" s="8" t="s">
        <v>450</v>
      </c>
      <c r="F74" s="8" t="s">
        <v>451</v>
      </c>
    </row>
    <row r="75" spans="1:6">
      <c r="A75" s="8" t="s">
        <v>452</v>
      </c>
      <c r="B75" s="8" t="s">
        <v>453</v>
      </c>
      <c r="C75" s="8" t="s">
        <v>454</v>
      </c>
      <c r="D75" s="8" t="s">
        <v>455</v>
      </c>
      <c r="E75" s="8" t="s">
        <v>456</v>
      </c>
      <c r="F75" s="8" t="s">
        <v>457</v>
      </c>
    </row>
    <row r="76" spans="1:6">
      <c r="A76" s="8" t="s">
        <v>458</v>
      </c>
      <c r="B76" s="8" t="s">
        <v>459</v>
      </c>
      <c r="C76" s="8" t="s">
        <v>460</v>
      </c>
      <c r="D76" s="8" t="s">
        <v>461</v>
      </c>
      <c r="E76" s="8" t="s">
        <v>462</v>
      </c>
      <c r="F76" s="8" t="s">
        <v>463</v>
      </c>
    </row>
    <row r="77" spans="1:6">
      <c r="A77" s="8" t="s">
        <v>464</v>
      </c>
      <c r="B77" s="8" t="s">
        <v>465</v>
      </c>
      <c r="C77" s="8" t="s">
        <v>466</v>
      </c>
      <c r="D77" s="8" t="s">
        <v>467</v>
      </c>
      <c r="E77" s="8" t="s">
        <v>468</v>
      </c>
      <c r="F77" s="8" t="s">
        <v>469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AA41-A3BF-4230-9E62-FEEF61FF2B5A}">
  <dimension ref="A1:F77"/>
  <sheetViews>
    <sheetView topLeftCell="A25" workbookViewId="0">
      <selection activeCell="C2" sqref="C2:F77"/>
    </sheetView>
  </sheetViews>
  <sheetFormatPr defaultRowHeight="14.4"/>
  <cols>
    <col min="1" max="1" width="18.77734375" bestFit="1" customWidth="1"/>
    <col min="2" max="2" width="10.77734375" bestFit="1" customWidth="1"/>
    <col min="3" max="6" width="18.77734375" bestFit="1" customWidth="1"/>
  </cols>
  <sheetData>
    <row r="1" spans="1:6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</row>
    <row r="2" spans="1:6">
      <c r="A2" s="8" t="s">
        <v>0</v>
      </c>
      <c r="B2" s="8" t="s">
        <v>1</v>
      </c>
      <c r="C2" s="8" t="s">
        <v>2</v>
      </c>
      <c r="D2" s="8" t="s">
        <v>17</v>
      </c>
      <c r="E2" s="8" t="s">
        <v>18</v>
      </c>
      <c r="F2" s="8" t="s">
        <v>19</v>
      </c>
    </row>
    <row r="3" spans="1:6">
      <c r="A3" s="8" t="s">
        <v>470</v>
      </c>
      <c r="B3" s="8" t="s">
        <v>21</v>
      </c>
      <c r="C3" s="8" t="s">
        <v>226</v>
      </c>
      <c r="D3" s="8" t="s">
        <v>227</v>
      </c>
      <c r="E3" s="8" t="s">
        <v>228</v>
      </c>
      <c r="F3" s="8" t="s">
        <v>229</v>
      </c>
    </row>
    <row r="4" spans="1:6">
      <c r="A4" s="8" t="s">
        <v>471</v>
      </c>
      <c r="B4" s="8" t="s">
        <v>27</v>
      </c>
      <c r="C4" s="8" t="s">
        <v>352</v>
      </c>
      <c r="D4" s="8" t="s">
        <v>353</v>
      </c>
      <c r="E4" s="8" t="s">
        <v>354</v>
      </c>
      <c r="F4" s="8" t="s">
        <v>355</v>
      </c>
    </row>
    <row r="5" spans="1:6">
      <c r="A5" s="8" t="s">
        <v>472</v>
      </c>
      <c r="B5" s="8" t="s">
        <v>33</v>
      </c>
      <c r="C5" s="8" t="s">
        <v>400</v>
      </c>
      <c r="D5" s="8" t="s">
        <v>401</v>
      </c>
      <c r="E5" s="8" t="s">
        <v>402</v>
      </c>
      <c r="F5" s="8" t="s">
        <v>403</v>
      </c>
    </row>
    <row r="6" spans="1:6">
      <c r="A6" s="8" t="s">
        <v>473</v>
      </c>
      <c r="B6" s="8" t="s">
        <v>39</v>
      </c>
      <c r="C6" s="8" t="s">
        <v>418</v>
      </c>
      <c r="D6" s="8" t="s">
        <v>419</v>
      </c>
      <c r="E6" s="8" t="s">
        <v>420</v>
      </c>
      <c r="F6" s="8" t="s">
        <v>421</v>
      </c>
    </row>
    <row r="7" spans="1:6">
      <c r="A7" s="8" t="s">
        <v>474</v>
      </c>
      <c r="B7" s="8" t="s">
        <v>45</v>
      </c>
      <c r="C7" s="8" t="s">
        <v>316</v>
      </c>
      <c r="D7" s="8" t="s">
        <v>317</v>
      </c>
      <c r="E7" s="8" t="s">
        <v>318</v>
      </c>
      <c r="F7" s="8" t="s">
        <v>319</v>
      </c>
    </row>
    <row r="8" spans="1:6">
      <c r="A8" s="8" t="s">
        <v>475</v>
      </c>
      <c r="B8" s="8" t="s">
        <v>51</v>
      </c>
      <c r="C8" s="8" t="s">
        <v>454</v>
      </c>
      <c r="D8" s="8" t="s">
        <v>455</v>
      </c>
      <c r="E8" s="8" t="s">
        <v>456</v>
      </c>
      <c r="F8" s="8" t="s">
        <v>457</v>
      </c>
    </row>
    <row r="9" spans="1:6">
      <c r="A9" s="8" t="s">
        <v>476</v>
      </c>
      <c r="B9" s="8" t="s">
        <v>57</v>
      </c>
      <c r="C9" s="8" t="s">
        <v>166</v>
      </c>
      <c r="D9" s="8" t="s">
        <v>167</v>
      </c>
      <c r="E9" s="8" t="s">
        <v>168</v>
      </c>
      <c r="F9" s="8" t="s">
        <v>169</v>
      </c>
    </row>
    <row r="10" spans="1:6">
      <c r="A10" s="8" t="s">
        <v>477</v>
      </c>
      <c r="B10" s="8" t="s">
        <v>63</v>
      </c>
      <c r="C10" s="8" t="s">
        <v>406</v>
      </c>
      <c r="D10" s="8" t="s">
        <v>407</v>
      </c>
      <c r="E10" s="8" t="s">
        <v>408</v>
      </c>
      <c r="F10" s="8" t="s">
        <v>409</v>
      </c>
    </row>
    <row r="11" spans="1:6">
      <c r="A11" s="8" t="s">
        <v>478</v>
      </c>
      <c r="B11" s="8" t="s">
        <v>69</v>
      </c>
      <c r="C11" s="8" t="s">
        <v>382</v>
      </c>
      <c r="D11" s="8" t="s">
        <v>383</v>
      </c>
      <c r="E11" s="8" t="s">
        <v>384</v>
      </c>
      <c r="F11" s="8" t="s">
        <v>385</v>
      </c>
    </row>
    <row r="12" spans="1:6">
      <c r="A12" s="8" t="s">
        <v>479</v>
      </c>
      <c r="B12" s="8" t="s">
        <v>75</v>
      </c>
      <c r="C12" s="8" t="s">
        <v>124</v>
      </c>
      <c r="D12" s="8" t="s">
        <v>125</v>
      </c>
      <c r="E12" s="8" t="s">
        <v>126</v>
      </c>
      <c r="F12" s="8" t="s">
        <v>127</v>
      </c>
    </row>
    <row r="13" spans="1:6">
      <c r="A13" s="8" t="s">
        <v>480</v>
      </c>
      <c r="B13" s="8" t="s">
        <v>81</v>
      </c>
      <c r="C13" s="8" t="s">
        <v>22</v>
      </c>
      <c r="D13" s="8" t="s">
        <v>23</v>
      </c>
      <c r="E13" s="8" t="s">
        <v>24</v>
      </c>
      <c r="F13" s="8" t="s">
        <v>25</v>
      </c>
    </row>
    <row r="14" spans="1:6">
      <c r="A14" s="8" t="s">
        <v>481</v>
      </c>
      <c r="B14" s="8" t="s">
        <v>87</v>
      </c>
      <c r="C14" s="8" t="s">
        <v>448</v>
      </c>
      <c r="D14" s="8" t="s">
        <v>449</v>
      </c>
      <c r="E14" s="8" t="s">
        <v>450</v>
      </c>
      <c r="F14" s="8" t="s">
        <v>451</v>
      </c>
    </row>
    <row r="15" spans="1:6">
      <c r="A15" s="8" t="s">
        <v>482</v>
      </c>
      <c r="B15" s="8" t="s">
        <v>93</v>
      </c>
      <c r="C15" s="8" t="s">
        <v>286</v>
      </c>
      <c r="D15" s="8" t="s">
        <v>287</v>
      </c>
      <c r="E15" s="8" t="s">
        <v>288</v>
      </c>
      <c r="F15" s="8" t="s">
        <v>289</v>
      </c>
    </row>
    <row r="16" spans="1:6">
      <c r="A16" s="8" t="s">
        <v>483</v>
      </c>
      <c r="B16" s="8" t="s">
        <v>99</v>
      </c>
      <c r="C16" s="8" t="s">
        <v>196</v>
      </c>
      <c r="D16" s="8" t="s">
        <v>197</v>
      </c>
      <c r="E16" s="8" t="s">
        <v>198</v>
      </c>
      <c r="F16" s="8" t="s">
        <v>199</v>
      </c>
    </row>
    <row r="17" spans="1:6">
      <c r="A17" s="8" t="s">
        <v>484</v>
      </c>
      <c r="B17" s="8" t="s">
        <v>105</v>
      </c>
      <c r="C17" s="8" t="s">
        <v>118</v>
      </c>
      <c r="D17" s="8" t="s">
        <v>119</v>
      </c>
      <c r="E17" s="8" t="s">
        <v>120</v>
      </c>
      <c r="F17" s="8" t="s">
        <v>121</v>
      </c>
    </row>
    <row r="18" spans="1:6">
      <c r="A18" s="8" t="s">
        <v>485</v>
      </c>
      <c r="B18" s="8" t="s">
        <v>111</v>
      </c>
      <c r="C18" s="8" t="s">
        <v>100</v>
      </c>
      <c r="D18" s="8" t="s">
        <v>101</v>
      </c>
      <c r="E18" s="8" t="s">
        <v>102</v>
      </c>
      <c r="F18" s="8" t="s">
        <v>103</v>
      </c>
    </row>
    <row r="19" spans="1:6">
      <c r="A19" s="8" t="s">
        <v>486</v>
      </c>
      <c r="B19" s="8" t="s">
        <v>117</v>
      </c>
      <c r="C19" s="8" t="s">
        <v>88</v>
      </c>
      <c r="D19" s="8" t="s">
        <v>89</v>
      </c>
      <c r="E19" s="8" t="s">
        <v>90</v>
      </c>
      <c r="F19" s="8" t="s">
        <v>91</v>
      </c>
    </row>
    <row r="20" spans="1:6">
      <c r="A20" s="8" t="s">
        <v>487</v>
      </c>
      <c r="B20" s="8" t="s">
        <v>123</v>
      </c>
      <c r="C20" s="8" t="s">
        <v>394</v>
      </c>
      <c r="D20" s="8" t="s">
        <v>395</v>
      </c>
      <c r="E20" s="8" t="s">
        <v>396</v>
      </c>
      <c r="F20" s="8" t="s">
        <v>397</v>
      </c>
    </row>
    <row r="21" spans="1:6">
      <c r="A21" s="8" t="s">
        <v>488</v>
      </c>
      <c r="B21" s="8" t="s">
        <v>129</v>
      </c>
      <c r="C21" s="8" t="s">
        <v>160</v>
      </c>
      <c r="D21" s="8" t="s">
        <v>161</v>
      </c>
      <c r="E21" s="8" t="s">
        <v>162</v>
      </c>
      <c r="F21" s="8" t="s">
        <v>163</v>
      </c>
    </row>
    <row r="22" spans="1:6">
      <c r="A22" s="8" t="s">
        <v>489</v>
      </c>
      <c r="B22" s="8" t="s">
        <v>135</v>
      </c>
      <c r="C22" s="8" t="s">
        <v>250</v>
      </c>
      <c r="D22" s="8" t="s">
        <v>251</v>
      </c>
      <c r="E22" s="8" t="s">
        <v>252</v>
      </c>
      <c r="F22" s="8" t="s">
        <v>253</v>
      </c>
    </row>
    <row r="23" spans="1:6">
      <c r="A23" s="8" t="s">
        <v>490</v>
      </c>
      <c r="B23" s="8" t="s">
        <v>141</v>
      </c>
      <c r="C23" s="8" t="s">
        <v>106</v>
      </c>
      <c r="D23" s="8" t="s">
        <v>107</v>
      </c>
      <c r="E23" s="8" t="s">
        <v>108</v>
      </c>
      <c r="F23" s="8" t="s">
        <v>109</v>
      </c>
    </row>
    <row r="24" spans="1:6">
      <c r="A24" s="8" t="s">
        <v>491</v>
      </c>
      <c r="B24" s="8" t="s">
        <v>147</v>
      </c>
      <c r="C24" s="8" t="s">
        <v>262</v>
      </c>
      <c r="D24" s="8" t="s">
        <v>263</v>
      </c>
      <c r="E24" s="8" t="s">
        <v>264</v>
      </c>
      <c r="F24" s="8" t="s">
        <v>265</v>
      </c>
    </row>
    <row r="25" spans="1:6">
      <c r="A25" s="8" t="s">
        <v>140</v>
      </c>
      <c r="B25" s="8" t="s">
        <v>153</v>
      </c>
      <c r="C25" s="8" t="s">
        <v>82</v>
      </c>
      <c r="D25" s="8" t="s">
        <v>83</v>
      </c>
      <c r="E25" s="8" t="s">
        <v>84</v>
      </c>
      <c r="F25" s="8" t="s">
        <v>85</v>
      </c>
    </row>
    <row r="26" spans="1:6">
      <c r="A26" s="8" t="s">
        <v>492</v>
      </c>
      <c r="B26" s="8" t="s">
        <v>159</v>
      </c>
      <c r="C26" s="8" t="s">
        <v>244</v>
      </c>
      <c r="D26" s="8" t="s">
        <v>245</v>
      </c>
      <c r="E26" s="8" t="s">
        <v>246</v>
      </c>
      <c r="F26" s="8" t="s">
        <v>247</v>
      </c>
    </row>
    <row r="27" spans="1:6">
      <c r="A27" s="8" t="s">
        <v>493</v>
      </c>
      <c r="B27" s="8" t="s">
        <v>165</v>
      </c>
      <c r="C27" s="8" t="s">
        <v>322</v>
      </c>
      <c r="D27" s="8" t="s">
        <v>323</v>
      </c>
      <c r="E27" s="8" t="s">
        <v>324</v>
      </c>
      <c r="F27" s="8" t="s">
        <v>325</v>
      </c>
    </row>
    <row r="28" spans="1:6">
      <c r="A28" s="8" t="s">
        <v>494</v>
      </c>
      <c r="B28" s="8" t="s">
        <v>171</v>
      </c>
      <c r="C28" s="8" t="s">
        <v>154</v>
      </c>
      <c r="D28" s="8" t="s">
        <v>155</v>
      </c>
      <c r="E28" s="8" t="s">
        <v>156</v>
      </c>
      <c r="F28" s="8" t="s">
        <v>157</v>
      </c>
    </row>
    <row r="29" spans="1:6">
      <c r="A29" s="8" t="s">
        <v>495</v>
      </c>
      <c r="B29" s="8" t="s">
        <v>177</v>
      </c>
      <c r="C29" s="8" t="s">
        <v>34</v>
      </c>
      <c r="D29" s="8" t="s">
        <v>35</v>
      </c>
      <c r="E29" s="8" t="s">
        <v>36</v>
      </c>
      <c r="F29" s="8" t="s">
        <v>37</v>
      </c>
    </row>
    <row r="30" spans="1:6">
      <c r="A30" s="8" t="s">
        <v>496</v>
      </c>
      <c r="B30" s="8" t="s">
        <v>183</v>
      </c>
      <c r="C30" s="8" t="s">
        <v>130</v>
      </c>
      <c r="D30" s="8" t="s">
        <v>131</v>
      </c>
      <c r="E30" s="8" t="s">
        <v>132</v>
      </c>
      <c r="F30" s="8" t="s">
        <v>133</v>
      </c>
    </row>
    <row r="31" spans="1:6">
      <c r="A31" s="8" t="s">
        <v>497</v>
      </c>
      <c r="B31" s="8" t="s">
        <v>189</v>
      </c>
      <c r="C31" s="8" t="s">
        <v>340</v>
      </c>
      <c r="D31" s="8" t="s">
        <v>341</v>
      </c>
      <c r="E31" s="8" t="s">
        <v>342</v>
      </c>
      <c r="F31" s="8" t="s">
        <v>343</v>
      </c>
    </row>
    <row r="32" spans="1:6">
      <c r="A32" s="8" t="s">
        <v>498</v>
      </c>
      <c r="B32" s="8" t="s">
        <v>195</v>
      </c>
      <c r="C32" s="8" t="s">
        <v>94</v>
      </c>
      <c r="D32" s="8" t="s">
        <v>95</v>
      </c>
      <c r="E32" s="8" t="s">
        <v>96</v>
      </c>
      <c r="F32" s="8" t="s">
        <v>97</v>
      </c>
    </row>
    <row r="33" spans="1:6">
      <c r="A33" s="8" t="s">
        <v>499</v>
      </c>
      <c r="B33" s="8" t="s">
        <v>201</v>
      </c>
      <c r="C33" s="8" t="s">
        <v>346</v>
      </c>
      <c r="D33" s="8" t="s">
        <v>347</v>
      </c>
      <c r="E33" s="8" t="s">
        <v>348</v>
      </c>
      <c r="F33" s="8" t="s">
        <v>349</v>
      </c>
    </row>
    <row r="34" spans="1:6">
      <c r="A34" s="8" t="s">
        <v>500</v>
      </c>
      <c r="B34" s="8" t="s">
        <v>207</v>
      </c>
      <c r="C34" s="8" t="s">
        <v>442</v>
      </c>
      <c r="D34" s="8" t="s">
        <v>443</v>
      </c>
      <c r="E34" s="8" t="s">
        <v>444</v>
      </c>
      <c r="F34" s="8" t="s">
        <v>445</v>
      </c>
    </row>
    <row r="35" spans="1:6">
      <c r="A35" s="8" t="s">
        <v>501</v>
      </c>
      <c r="B35" s="8" t="s">
        <v>213</v>
      </c>
      <c r="C35" s="8" t="s">
        <v>52</v>
      </c>
      <c r="D35" s="8" t="s">
        <v>53</v>
      </c>
      <c r="E35" s="8" t="s">
        <v>54</v>
      </c>
      <c r="F35" s="8" t="s">
        <v>55</v>
      </c>
    </row>
    <row r="36" spans="1:6">
      <c r="A36" s="8" t="s">
        <v>502</v>
      </c>
      <c r="B36" s="8" t="s">
        <v>219</v>
      </c>
      <c r="C36" s="8" t="s">
        <v>172</v>
      </c>
      <c r="D36" s="8" t="s">
        <v>173</v>
      </c>
      <c r="E36" s="8" t="s">
        <v>174</v>
      </c>
      <c r="F36" s="8" t="s">
        <v>175</v>
      </c>
    </row>
    <row r="37" spans="1:6">
      <c r="A37" s="8" t="s">
        <v>503</v>
      </c>
      <c r="B37" s="8" t="s">
        <v>225</v>
      </c>
      <c r="C37" s="8" t="s">
        <v>58</v>
      </c>
      <c r="D37" s="8" t="s">
        <v>59</v>
      </c>
      <c r="E37" s="8" t="s">
        <v>60</v>
      </c>
      <c r="F37" s="8" t="s">
        <v>61</v>
      </c>
    </row>
    <row r="38" spans="1:6">
      <c r="A38" s="8" t="s">
        <v>504</v>
      </c>
      <c r="B38" s="8" t="s">
        <v>231</v>
      </c>
      <c r="C38" s="8" t="s">
        <v>412</v>
      </c>
      <c r="D38" s="8" t="s">
        <v>413</v>
      </c>
      <c r="E38" s="8" t="s">
        <v>414</v>
      </c>
      <c r="F38" s="8" t="s">
        <v>415</v>
      </c>
    </row>
    <row r="39" spans="1:6">
      <c r="A39" s="8" t="s">
        <v>505</v>
      </c>
      <c r="B39" s="8" t="s">
        <v>237</v>
      </c>
      <c r="C39" s="8" t="s">
        <v>436</v>
      </c>
      <c r="D39" s="8" t="s">
        <v>437</v>
      </c>
      <c r="E39" s="8" t="s">
        <v>438</v>
      </c>
      <c r="F39" s="8" t="s">
        <v>439</v>
      </c>
    </row>
    <row r="40" spans="1:6">
      <c r="A40" s="8" t="s">
        <v>506</v>
      </c>
      <c r="B40" s="8" t="s">
        <v>243</v>
      </c>
      <c r="C40" s="8" t="s">
        <v>202</v>
      </c>
      <c r="D40" s="8" t="s">
        <v>203</v>
      </c>
      <c r="E40" s="8" t="s">
        <v>204</v>
      </c>
      <c r="F40" s="8" t="s">
        <v>205</v>
      </c>
    </row>
    <row r="41" spans="1:6">
      <c r="A41" s="8" t="s">
        <v>507</v>
      </c>
      <c r="B41" s="8" t="s">
        <v>249</v>
      </c>
      <c r="C41" s="8" t="s">
        <v>208</v>
      </c>
      <c r="D41" s="8" t="s">
        <v>209</v>
      </c>
      <c r="E41" s="8" t="s">
        <v>210</v>
      </c>
      <c r="F41" s="8" t="s">
        <v>211</v>
      </c>
    </row>
    <row r="42" spans="1:6">
      <c r="A42" s="8" t="s">
        <v>508</v>
      </c>
      <c r="B42" s="8" t="s">
        <v>255</v>
      </c>
      <c r="C42" s="8" t="s">
        <v>190</v>
      </c>
      <c r="D42" s="8" t="s">
        <v>191</v>
      </c>
      <c r="E42" s="8" t="s">
        <v>192</v>
      </c>
      <c r="F42" s="8" t="s">
        <v>193</v>
      </c>
    </row>
    <row r="43" spans="1:6">
      <c r="A43" s="8" t="s">
        <v>509</v>
      </c>
      <c r="B43" s="8" t="s">
        <v>261</v>
      </c>
      <c r="C43" s="8" t="s">
        <v>424</v>
      </c>
      <c r="D43" s="8" t="s">
        <v>425</v>
      </c>
      <c r="E43" s="8" t="s">
        <v>426</v>
      </c>
      <c r="F43" s="8" t="s">
        <v>427</v>
      </c>
    </row>
    <row r="44" spans="1:6">
      <c r="A44" s="8" t="s">
        <v>510</v>
      </c>
      <c r="B44" s="8" t="s">
        <v>267</v>
      </c>
      <c r="C44" s="8" t="s">
        <v>280</v>
      </c>
      <c r="D44" s="8" t="s">
        <v>281</v>
      </c>
      <c r="E44" s="8" t="s">
        <v>282</v>
      </c>
      <c r="F44" s="8" t="s">
        <v>283</v>
      </c>
    </row>
    <row r="45" spans="1:6">
      <c r="A45" s="8" t="s">
        <v>511</v>
      </c>
      <c r="B45" s="8" t="s">
        <v>273</v>
      </c>
      <c r="C45" s="8" t="s">
        <v>256</v>
      </c>
      <c r="D45" s="8" t="s">
        <v>257</v>
      </c>
      <c r="E45" s="8" t="s">
        <v>258</v>
      </c>
      <c r="F45" s="8" t="s">
        <v>259</v>
      </c>
    </row>
    <row r="46" spans="1:6">
      <c r="A46" s="8" t="s">
        <v>512</v>
      </c>
      <c r="B46" s="8" t="s">
        <v>279</v>
      </c>
      <c r="C46" s="8" t="s">
        <v>142</v>
      </c>
      <c r="D46" s="8" t="s">
        <v>143</v>
      </c>
      <c r="E46" s="8" t="s">
        <v>144</v>
      </c>
      <c r="F46" s="8" t="s">
        <v>145</v>
      </c>
    </row>
    <row r="47" spans="1:6">
      <c r="A47" s="8" t="s">
        <v>513</v>
      </c>
      <c r="B47" s="8" t="s">
        <v>285</v>
      </c>
      <c r="C47" s="8" t="s">
        <v>184</v>
      </c>
      <c r="D47" s="8" t="s">
        <v>185</v>
      </c>
      <c r="E47" s="8" t="s">
        <v>186</v>
      </c>
      <c r="F47" s="8" t="s">
        <v>187</v>
      </c>
    </row>
    <row r="48" spans="1:6">
      <c r="A48" s="8" t="s">
        <v>514</v>
      </c>
      <c r="B48" s="8" t="s">
        <v>291</v>
      </c>
      <c r="C48" s="8" t="s">
        <v>28</v>
      </c>
      <c r="D48" s="8" t="s">
        <v>29</v>
      </c>
      <c r="E48" s="8" t="s">
        <v>30</v>
      </c>
      <c r="F48" s="8" t="s">
        <v>31</v>
      </c>
    </row>
    <row r="49" spans="1:6">
      <c r="A49" s="8" t="s">
        <v>515</v>
      </c>
      <c r="B49" s="8" t="s">
        <v>297</v>
      </c>
      <c r="C49" s="8" t="s">
        <v>238</v>
      </c>
      <c r="D49" s="8" t="s">
        <v>239</v>
      </c>
      <c r="E49" s="8" t="s">
        <v>240</v>
      </c>
      <c r="F49" s="8" t="s">
        <v>241</v>
      </c>
    </row>
    <row r="50" spans="1:6">
      <c r="A50" s="8" t="s">
        <v>516</v>
      </c>
      <c r="B50" s="8" t="s">
        <v>303</v>
      </c>
      <c r="C50" s="8" t="s">
        <v>298</v>
      </c>
      <c r="D50" s="8" t="s">
        <v>299</v>
      </c>
      <c r="E50" s="8" t="s">
        <v>300</v>
      </c>
      <c r="F50" s="8" t="s">
        <v>301</v>
      </c>
    </row>
    <row r="51" spans="1:6">
      <c r="A51" s="8" t="s">
        <v>517</v>
      </c>
      <c r="B51" s="8" t="s">
        <v>309</v>
      </c>
      <c r="C51" s="8" t="s">
        <v>310</v>
      </c>
      <c r="D51" s="8" t="s">
        <v>311</v>
      </c>
      <c r="E51" s="8" t="s">
        <v>312</v>
      </c>
      <c r="F51" s="8" t="s">
        <v>313</v>
      </c>
    </row>
    <row r="52" spans="1:6">
      <c r="A52" s="8" t="s">
        <v>518</v>
      </c>
      <c r="B52" s="8" t="s">
        <v>315</v>
      </c>
      <c r="C52" s="8" t="s">
        <v>460</v>
      </c>
      <c r="D52" s="8" t="s">
        <v>461</v>
      </c>
      <c r="E52" s="8" t="s">
        <v>462</v>
      </c>
      <c r="F52" s="8" t="s">
        <v>463</v>
      </c>
    </row>
    <row r="53" spans="1:6">
      <c r="A53" s="8" t="s">
        <v>519</v>
      </c>
      <c r="B53" s="8" t="s">
        <v>321</v>
      </c>
      <c r="C53" s="8" t="s">
        <v>274</v>
      </c>
      <c r="D53" s="8" t="s">
        <v>275</v>
      </c>
      <c r="E53" s="8" t="s">
        <v>276</v>
      </c>
      <c r="F53" s="8" t="s">
        <v>277</v>
      </c>
    </row>
    <row r="54" spans="1:6">
      <c r="A54" s="8" t="s">
        <v>520</v>
      </c>
      <c r="B54" s="8" t="s">
        <v>327</v>
      </c>
      <c r="C54" s="8" t="s">
        <v>430</v>
      </c>
      <c r="D54" s="8" t="s">
        <v>431</v>
      </c>
      <c r="E54" s="8" t="s">
        <v>432</v>
      </c>
      <c r="F54" s="8" t="s">
        <v>433</v>
      </c>
    </row>
    <row r="55" spans="1:6">
      <c r="A55" s="8" t="s">
        <v>521</v>
      </c>
      <c r="B55" s="8" t="s">
        <v>333</v>
      </c>
      <c r="C55" s="8" t="s">
        <v>136</v>
      </c>
      <c r="D55" s="8" t="s">
        <v>137</v>
      </c>
      <c r="E55" s="8" t="s">
        <v>138</v>
      </c>
      <c r="F55" s="8" t="s">
        <v>139</v>
      </c>
    </row>
    <row r="56" spans="1:6">
      <c r="A56" s="8" t="s">
        <v>522</v>
      </c>
      <c r="B56" s="8" t="s">
        <v>339</v>
      </c>
      <c r="C56" s="8" t="s">
        <v>466</v>
      </c>
      <c r="D56" s="8" t="s">
        <v>467</v>
      </c>
      <c r="E56" s="8" t="s">
        <v>468</v>
      </c>
      <c r="F56" s="8" t="s">
        <v>469</v>
      </c>
    </row>
    <row r="57" spans="1:6">
      <c r="A57" s="8" t="s">
        <v>523</v>
      </c>
      <c r="B57" s="8" t="s">
        <v>345</v>
      </c>
      <c r="C57" s="8" t="s">
        <v>364</v>
      </c>
      <c r="D57" s="8" t="s">
        <v>365</v>
      </c>
      <c r="E57" s="8" t="s">
        <v>366</v>
      </c>
      <c r="F57" s="8" t="s">
        <v>367</v>
      </c>
    </row>
    <row r="58" spans="1:6">
      <c r="A58" s="8" t="s">
        <v>524</v>
      </c>
      <c r="B58" s="8" t="s">
        <v>351</v>
      </c>
      <c r="C58" s="8" t="s">
        <v>370</v>
      </c>
      <c r="D58" s="8" t="s">
        <v>371</v>
      </c>
      <c r="E58" s="8" t="s">
        <v>372</v>
      </c>
      <c r="F58" s="8" t="s">
        <v>373</v>
      </c>
    </row>
    <row r="59" spans="1:6">
      <c r="A59" s="8" t="s">
        <v>525</v>
      </c>
      <c r="B59" s="8" t="s">
        <v>357</v>
      </c>
      <c r="C59" s="8" t="s">
        <v>40</v>
      </c>
      <c r="D59" s="8" t="s">
        <v>41</v>
      </c>
      <c r="E59" s="8" t="s">
        <v>42</v>
      </c>
      <c r="F59" s="8" t="s">
        <v>43</v>
      </c>
    </row>
    <row r="60" spans="1:6">
      <c r="A60" s="8" t="s">
        <v>526</v>
      </c>
      <c r="B60" s="8" t="s">
        <v>363</v>
      </c>
      <c r="C60" s="8" t="s">
        <v>268</v>
      </c>
      <c r="D60" s="8" t="s">
        <v>269</v>
      </c>
      <c r="E60" s="8" t="s">
        <v>270</v>
      </c>
      <c r="F60" s="8" t="s">
        <v>271</v>
      </c>
    </row>
    <row r="61" spans="1:6">
      <c r="A61" s="8" t="s">
        <v>527</v>
      </c>
      <c r="B61" s="8" t="s">
        <v>369</v>
      </c>
      <c r="C61" s="8" t="s">
        <v>70</v>
      </c>
      <c r="D61" s="8" t="s">
        <v>71</v>
      </c>
      <c r="E61" s="8" t="s">
        <v>72</v>
      </c>
      <c r="F61" s="8" t="s">
        <v>73</v>
      </c>
    </row>
    <row r="62" spans="1:6">
      <c r="A62" s="8" t="s">
        <v>528</v>
      </c>
      <c r="B62" s="8" t="s">
        <v>375</v>
      </c>
      <c r="C62" s="8" t="s">
        <v>292</v>
      </c>
      <c r="D62" s="8" t="s">
        <v>293</v>
      </c>
      <c r="E62" s="8" t="s">
        <v>294</v>
      </c>
      <c r="F62" s="8" t="s">
        <v>295</v>
      </c>
    </row>
    <row r="63" spans="1:6">
      <c r="A63" s="8" t="s">
        <v>529</v>
      </c>
      <c r="B63" s="8" t="s">
        <v>381</v>
      </c>
      <c r="C63" s="8" t="s">
        <v>214</v>
      </c>
      <c r="D63" s="8" t="s">
        <v>215</v>
      </c>
      <c r="E63" s="8" t="s">
        <v>216</v>
      </c>
      <c r="F63" s="8" t="s">
        <v>217</v>
      </c>
    </row>
    <row r="64" spans="1:6">
      <c r="A64" s="8" t="s">
        <v>530</v>
      </c>
      <c r="B64" s="8" t="s">
        <v>387</v>
      </c>
      <c r="C64" s="8" t="s">
        <v>328</v>
      </c>
      <c r="D64" s="8" t="s">
        <v>329</v>
      </c>
      <c r="E64" s="8" t="s">
        <v>330</v>
      </c>
      <c r="F64" s="8" t="s">
        <v>331</v>
      </c>
    </row>
    <row r="65" spans="1:6">
      <c r="A65" s="8" t="s">
        <v>531</v>
      </c>
      <c r="B65" s="8" t="s">
        <v>393</v>
      </c>
      <c r="C65" s="8" t="s">
        <v>64</v>
      </c>
      <c r="D65" s="8" t="s">
        <v>65</v>
      </c>
      <c r="E65" s="8" t="s">
        <v>66</v>
      </c>
      <c r="F65" s="8" t="s">
        <v>67</v>
      </c>
    </row>
    <row r="66" spans="1:6">
      <c r="A66" s="8" t="s">
        <v>532</v>
      </c>
      <c r="B66" s="8" t="s">
        <v>399</v>
      </c>
      <c r="C66" s="8" t="s">
        <v>220</v>
      </c>
      <c r="D66" s="8" t="s">
        <v>221</v>
      </c>
      <c r="E66" s="8" t="s">
        <v>222</v>
      </c>
      <c r="F66" s="8" t="s">
        <v>223</v>
      </c>
    </row>
    <row r="67" spans="1:6">
      <c r="A67" s="8" t="s">
        <v>533</v>
      </c>
      <c r="B67" s="8" t="s">
        <v>405</v>
      </c>
      <c r="C67" s="8" t="s">
        <v>148</v>
      </c>
      <c r="D67" s="8" t="s">
        <v>149</v>
      </c>
      <c r="E67" s="8" t="s">
        <v>150</v>
      </c>
      <c r="F67" s="8" t="s">
        <v>151</v>
      </c>
    </row>
    <row r="68" spans="1:6">
      <c r="A68" s="8" t="s">
        <v>534</v>
      </c>
      <c r="B68" s="8" t="s">
        <v>411</v>
      </c>
      <c r="C68" s="8" t="s">
        <v>46</v>
      </c>
      <c r="D68" s="8" t="s">
        <v>47</v>
      </c>
      <c r="E68" s="8" t="s">
        <v>48</v>
      </c>
      <c r="F68" s="8" t="s">
        <v>49</v>
      </c>
    </row>
    <row r="69" spans="1:6">
      <c r="A69" s="8" t="s">
        <v>535</v>
      </c>
      <c r="B69" s="8" t="s">
        <v>417</v>
      </c>
      <c r="C69" s="8" t="s">
        <v>304</v>
      </c>
      <c r="D69" s="8" t="s">
        <v>305</v>
      </c>
      <c r="E69" s="8" t="s">
        <v>306</v>
      </c>
      <c r="F69" s="8" t="s">
        <v>307</v>
      </c>
    </row>
    <row r="70" spans="1:6">
      <c r="A70" s="8" t="s">
        <v>536</v>
      </c>
      <c r="B70" s="8" t="s">
        <v>423</v>
      </c>
      <c r="C70" s="8" t="s">
        <v>232</v>
      </c>
      <c r="D70" s="8" t="s">
        <v>233</v>
      </c>
      <c r="E70" s="8" t="s">
        <v>234</v>
      </c>
      <c r="F70" s="8" t="s">
        <v>235</v>
      </c>
    </row>
    <row r="71" spans="1:6">
      <c r="A71" s="8" t="s">
        <v>537</v>
      </c>
      <c r="B71" s="8" t="s">
        <v>429</v>
      </c>
      <c r="C71" s="8" t="s">
        <v>388</v>
      </c>
      <c r="D71" s="8" t="s">
        <v>389</v>
      </c>
      <c r="E71" s="8" t="s">
        <v>390</v>
      </c>
      <c r="F71" s="8" t="s">
        <v>391</v>
      </c>
    </row>
    <row r="72" spans="1:6">
      <c r="A72" s="8" t="s">
        <v>538</v>
      </c>
      <c r="B72" s="8" t="s">
        <v>435</v>
      </c>
      <c r="C72" s="8" t="s">
        <v>178</v>
      </c>
      <c r="D72" s="8" t="s">
        <v>179</v>
      </c>
      <c r="E72" s="8" t="s">
        <v>180</v>
      </c>
      <c r="F72" s="8" t="s">
        <v>181</v>
      </c>
    </row>
    <row r="73" spans="1:6">
      <c r="A73" s="8" t="s">
        <v>539</v>
      </c>
      <c r="B73" s="8" t="s">
        <v>441</v>
      </c>
      <c r="C73" s="8" t="s">
        <v>76</v>
      </c>
      <c r="D73" s="8" t="s">
        <v>77</v>
      </c>
      <c r="E73" s="8" t="s">
        <v>78</v>
      </c>
      <c r="F73" s="8" t="s">
        <v>79</v>
      </c>
    </row>
    <row r="74" spans="1:6">
      <c r="A74" s="8" t="s">
        <v>540</v>
      </c>
      <c r="B74" s="8" t="s">
        <v>447</v>
      </c>
      <c r="C74" s="8" t="s">
        <v>334</v>
      </c>
      <c r="D74" s="8" t="s">
        <v>335</v>
      </c>
      <c r="E74" s="8" t="s">
        <v>336</v>
      </c>
      <c r="F74" s="8" t="s">
        <v>337</v>
      </c>
    </row>
    <row r="75" spans="1:6">
      <c r="A75" s="8" t="s">
        <v>541</v>
      </c>
      <c r="B75" s="8" t="s">
        <v>453</v>
      </c>
      <c r="C75" s="8" t="s">
        <v>112</v>
      </c>
      <c r="D75" s="8" t="s">
        <v>113</v>
      </c>
      <c r="E75" s="8" t="s">
        <v>114</v>
      </c>
      <c r="F75" s="8" t="s">
        <v>115</v>
      </c>
    </row>
    <row r="76" spans="1:6">
      <c r="A76" s="8" t="s">
        <v>542</v>
      </c>
      <c r="B76" s="8" t="s">
        <v>459</v>
      </c>
      <c r="C76" s="8" t="s">
        <v>376</v>
      </c>
      <c r="D76" s="8" t="s">
        <v>377</v>
      </c>
      <c r="E76" s="8" t="s">
        <v>378</v>
      </c>
      <c r="F76" s="8" t="s">
        <v>379</v>
      </c>
    </row>
    <row r="77" spans="1:6">
      <c r="A77" s="8" t="s">
        <v>543</v>
      </c>
      <c r="B77" s="8" t="s">
        <v>465</v>
      </c>
      <c r="C77" s="8" t="s">
        <v>358</v>
      </c>
      <c r="D77" s="8" t="s">
        <v>359</v>
      </c>
      <c r="E77" s="8" t="s">
        <v>360</v>
      </c>
      <c r="F77" s="8" t="s">
        <v>361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BD6957-0894-45B9-8CEB-F5BEF49F88BC}">
  <dimension ref="A1:F77"/>
  <sheetViews>
    <sheetView topLeftCell="A41" workbookViewId="0">
      <selection activeCell="C2" sqref="C2:F77"/>
    </sheetView>
  </sheetViews>
  <sheetFormatPr defaultRowHeight="14.4"/>
  <cols>
    <col min="1" max="1" width="18.77734375" bestFit="1" customWidth="1"/>
    <col min="2" max="2" width="10.77734375" bestFit="1" customWidth="1"/>
    <col min="3" max="6" width="18.77734375" bestFit="1" customWidth="1"/>
  </cols>
  <sheetData>
    <row r="1" spans="1:6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</row>
    <row r="2" spans="1:6">
      <c r="A2" s="8" t="s">
        <v>0</v>
      </c>
      <c r="B2" s="8" t="s">
        <v>1</v>
      </c>
      <c r="C2" s="8" t="s">
        <v>2</v>
      </c>
      <c r="D2" s="8" t="s">
        <v>17</v>
      </c>
      <c r="E2" s="8" t="s">
        <v>18</v>
      </c>
      <c r="F2" s="8" t="s">
        <v>19</v>
      </c>
    </row>
    <row r="3" spans="1:6">
      <c r="A3" s="8" t="s">
        <v>544</v>
      </c>
      <c r="B3" s="8" t="s">
        <v>21</v>
      </c>
      <c r="C3" s="8" t="s">
        <v>148</v>
      </c>
      <c r="D3" s="8" t="s">
        <v>149</v>
      </c>
      <c r="E3" s="8" t="s">
        <v>150</v>
      </c>
      <c r="F3" s="8" t="s">
        <v>151</v>
      </c>
    </row>
    <row r="4" spans="1:6">
      <c r="A4" s="8" t="s">
        <v>545</v>
      </c>
      <c r="B4" s="8" t="s">
        <v>27</v>
      </c>
      <c r="C4" s="8" t="s">
        <v>546</v>
      </c>
      <c r="D4" s="8" t="s">
        <v>547</v>
      </c>
      <c r="E4" s="8" t="s">
        <v>432</v>
      </c>
      <c r="F4" s="8" t="s">
        <v>548</v>
      </c>
    </row>
    <row r="5" spans="1:6">
      <c r="A5" s="8" t="s">
        <v>549</v>
      </c>
      <c r="B5" s="8" t="s">
        <v>33</v>
      </c>
      <c r="C5" s="8" t="s">
        <v>550</v>
      </c>
      <c r="D5" s="8" t="s">
        <v>551</v>
      </c>
      <c r="E5" s="8" t="s">
        <v>552</v>
      </c>
      <c r="F5" s="8" t="s">
        <v>553</v>
      </c>
    </row>
    <row r="6" spans="1:6">
      <c r="A6" s="8" t="s">
        <v>554</v>
      </c>
      <c r="B6" s="8" t="s">
        <v>39</v>
      </c>
      <c r="C6" s="8" t="s">
        <v>52</v>
      </c>
      <c r="D6" s="8" t="s">
        <v>53</v>
      </c>
      <c r="E6" s="8" t="s">
        <v>54</v>
      </c>
      <c r="F6" s="8" t="s">
        <v>55</v>
      </c>
    </row>
    <row r="7" spans="1:6">
      <c r="A7" s="8" t="s">
        <v>555</v>
      </c>
      <c r="B7" s="8" t="s">
        <v>45</v>
      </c>
      <c r="C7" s="8" t="s">
        <v>556</v>
      </c>
      <c r="D7" s="8" t="s">
        <v>557</v>
      </c>
      <c r="E7" s="8" t="s">
        <v>558</v>
      </c>
      <c r="F7" s="8" t="s">
        <v>559</v>
      </c>
    </row>
    <row r="8" spans="1:6">
      <c r="A8" s="8" t="s">
        <v>560</v>
      </c>
      <c r="B8" s="8" t="s">
        <v>51</v>
      </c>
      <c r="C8" s="8" t="s">
        <v>561</v>
      </c>
      <c r="D8" s="8" t="s">
        <v>562</v>
      </c>
      <c r="E8" s="8" t="s">
        <v>102</v>
      </c>
      <c r="F8" s="8" t="s">
        <v>563</v>
      </c>
    </row>
    <row r="9" spans="1:6">
      <c r="A9" s="8" t="s">
        <v>564</v>
      </c>
      <c r="B9" s="8" t="s">
        <v>57</v>
      </c>
      <c r="C9" s="8" t="s">
        <v>112</v>
      </c>
      <c r="D9" s="8" t="s">
        <v>113</v>
      </c>
      <c r="E9" s="8" t="s">
        <v>114</v>
      </c>
      <c r="F9" s="8" t="s">
        <v>115</v>
      </c>
    </row>
    <row r="10" spans="1:6">
      <c r="A10" s="8" t="s">
        <v>565</v>
      </c>
      <c r="B10" s="8" t="s">
        <v>63</v>
      </c>
      <c r="C10" s="8" t="s">
        <v>566</v>
      </c>
      <c r="D10" s="8" t="s">
        <v>567</v>
      </c>
      <c r="E10" s="8" t="s">
        <v>42</v>
      </c>
      <c r="F10" s="8" t="s">
        <v>568</v>
      </c>
    </row>
    <row r="11" spans="1:6">
      <c r="A11" s="8" t="s">
        <v>569</v>
      </c>
      <c r="B11" s="8" t="s">
        <v>69</v>
      </c>
      <c r="C11" s="8" t="s">
        <v>570</v>
      </c>
      <c r="D11" s="8" t="s">
        <v>571</v>
      </c>
      <c r="E11" s="8" t="s">
        <v>354</v>
      </c>
      <c r="F11" s="8" t="s">
        <v>572</v>
      </c>
    </row>
    <row r="12" spans="1:6">
      <c r="A12" s="8" t="s">
        <v>573</v>
      </c>
      <c r="B12" s="8" t="s">
        <v>75</v>
      </c>
      <c r="C12" s="8" t="s">
        <v>142</v>
      </c>
      <c r="D12" s="8" t="s">
        <v>143</v>
      </c>
      <c r="E12" s="8" t="s">
        <v>144</v>
      </c>
      <c r="F12" s="8" t="s">
        <v>145</v>
      </c>
    </row>
    <row r="13" spans="1:6">
      <c r="A13" s="8" t="s">
        <v>574</v>
      </c>
      <c r="B13" s="8" t="s">
        <v>81</v>
      </c>
      <c r="C13" s="8" t="s">
        <v>575</v>
      </c>
      <c r="D13" s="8" t="s">
        <v>576</v>
      </c>
      <c r="E13" s="8" t="s">
        <v>420</v>
      </c>
      <c r="F13" s="8" t="s">
        <v>577</v>
      </c>
    </row>
    <row r="14" spans="1:6">
      <c r="A14" s="8" t="s">
        <v>578</v>
      </c>
      <c r="B14" s="8" t="s">
        <v>87</v>
      </c>
      <c r="C14" s="8" t="s">
        <v>178</v>
      </c>
      <c r="D14" s="8" t="s">
        <v>179</v>
      </c>
      <c r="E14" s="8" t="s">
        <v>180</v>
      </c>
      <c r="F14" s="8" t="s">
        <v>181</v>
      </c>
    </row>
    <row r="15" spans="1:6">
      <c r="A15" s="8" t="s">
        <v>579</v>
      </c>
      <c r="B15" s="8" t="s">
        <v>93</v>
      </c>
      <c r="C15" s="8" t="s">
        <v>262</v>
      </c>
      <c r="D15" s="8" t="s">
        <v>263</v>
      </c>
      <c r="E15" s="8" t="s">
        <v>264</v>
      </c>
      <c r="F15" s="8" t="s">
        <v>265</v>
      </c>
    </row>
    <row r="16" spans="1:6">
      <c r="A16" s="8" t="s">
        <v>580</v>
      </c>
      <c r="B16" s="8" t="s">
        <v>99</v>
      </c>
      <c r="C16" s="8" t="s">
        <v>581</v>
      </c>
      <c r="D16" s="8" t="s">
        <v>582</v>
      </c>
      <c r="E16" s="8" t="s">
        <v>36</v>
      </c>
      <c r="F16" s="8" t="s">
        <v>583</v>
      </c>
    </row>
    <row r="17" spans="1:6">
      <c r="A17" s="8" t="s">
        <v>584</v>
      </c>
      <c r="B17" s="8" t="s">
        <v>105</v>
      </c>
      <c r="C17" s="8" t="s">
        <v>585</v>
      </c>
      <c r="D17" s="8" t="s">
        <v>586</v>
      </c>
      <c r="E17" s="8" t="s">
        <v>587</v>
      </c>
      <c r="F17" s="8" t="s">
        <v>588</v>
      </c>
    </row>
    <row r="18" spans="1:6">
      <c r="A18" s="8" t="s">
        <v>589</v>
      </c>
      <c r="B18" s="8" t="s">
        <v>111</v>
      </c>
      <c r="C18" s="8" t="s">
        <v>590</v>
      </c>
      <c r="D18" s="8" t="s">
        <v>591</v>
      </c>
      <c r="E18" s="8" t="s">
        <v>396</v>
      </c>
      <c r="F18" s="8" t="s">
        <v>592</v>
      </c>
    </row>
    <row r="19" spans="1:6">
      <c r="A19" s="8" t="s">
        <v>593</v>
      </c>
      <c r="B19" s="8" t="s">
        <v>117</v>
      </c>
      <c r="C19" s="8" t="s">
        <v>594</v>
      </c>
      <c r="D19" s="8" t="s">
        <v>595</v>
      </c>
      <c r="E19" s="8" t="s">
        <v>156</v>
      </c>
      <c r="F19" s="8" t="s">
        <v>596</v>
      </c>
    </row>
    <row r="20" spans="1:6">
      <c r="A20" s="8" t="s">
        <v>597</v>
      </c>
      <c r="B20" s="8" t="s">
        <v>123</v>
      </c>
      <c r="C20" s="8" t="s">
        <v>598</v>
      </c>
      <c r="D20" s="8" t="s">
        <v>599</v>
      </c>
      <c r="E20" s="8" t="s">
        <v>186</v>
      </c>
      <c r="F20" s="8" t="s">
        <v>600</v>
      </c>
    </row>
    <row r="21" spans="1:6">
      <c r="A21" s="8" t="s">
        <v>601</v>
      </c>
      <c r="B21" s="8" t="s">
        <v>129</v>
      </c>
      <c r="C21" s="8" t="s">
        <v>448</v>
      </c>
      <c r="D21" s="8" t="s">
        <v>449</v>
      </c>
      <c r="E21" s="8" t="s">
        <v>450</v>
      </c>
      <c r="F21" s="8" t="s">
        <v>451</v>
      </c>
    </row>
    <row r="22" spans="1:6">
      <c r="A22" s="8" t="s">
        <v>602</v>
      </c>
      <c r="B22" s="8" t="s">
        <v>135</v>
      </c>
      <c r="C22" s="8" t="s">
        <v>603</v>
      </c>
      <c r="D22" s="8" t="s">
        <v>604</v>
      </c>
      <c r="E22" s="8" t="s">
        <v>605</v>
      </c>
      <c r="F22" s="8" t="s">
        <v>606</v>
      </c>
    </row>
    <row r="23" spans="1:6">
      <c r="A23" s="8" t="s">
        <v>607</v>
      </c>
      <c r="B23" s="8" t="s">
        <v>141</v>
      </c>
      <c r="C23" s="8" t="s">
        <v>608</v>
      </c>
      <c r="D23" s="8" t="s">
        <v>609</v>
      </c>
      <c r="E23" s="8" t="s">
        <v>610</v>
      </c>
      <c r="F23" s="8" t="s">
        <v>611</v>
      </c>
    </row>
    <row r="24" spans="1:6">
      <c r="A24" s="8" t="s">
        <v>612</v>
      </c>
      <c r="B24" s="8" t="s">
        <v>147</v>
      </c>
      <c r="C24" s="8" t="s">
        <v>613</v>
      </c>
      <c r="D24" s="8" t="s">
        <v>614</v>
      </c>
      <c r="E24" s="8" t="s">
        <v>240</v>
      </c>
      <c r="F24" s="8" t="s">
        <v>615</v>
      </c>
    </row>
    <row r="25" spans="1:6">
      <c r="A25" s="8" t="s">
        <v>616</v>
      </c>
      <c r="B25" s="8" t="s">
        <v>153</v>
      </c>
      <c r="C25" s="8" t="s">
        <v>617</v>
      </c>
      <c r="D25" s="8" t="s">
        <v>618</v>
      </c>
      <c r="E25" s="8" t="s">
        <v>619</v>
      </c>
      <c r="F25" s="8" t="s">
        <v>620</v>
      </c>
    </row>
    <row r="26" spans="1:6">
      <c r="A26" s="8" t="s">
        <v>621</v>
      </c>
      <c r="B26" s="8" t="s">
        <v>159</v>
      </c>
      <c r="C26" s="8" t="s">
        <v>622</v>
      </c>
      <c r="D26" s="8" t="s">
        <v>623</v>
      </c>
      <c r="E26" s="8" t="s">
        <v>210</v>
      </c>
      <c r="F26" s="8" t="s">
        <v>624</v>
      </c>
    </row>
    <row r="27" spans="1:6">
      <c r="A27" s="8" t="s">
        <v>625</v>
      </c>
      <c r="B27" s="8" t="s">
        <v>165</v>
      </c>
      <c r="C27" s="8" t="s">
        <v>268</v>
      </c>
      <c r="D27" s="8" t="s">
        <v>269</v>
      </c>
      <c r="E27" s="8" t="s">
        <v>270</v>
      </c>
      <c r="F27" s="8" t="s">
        <v>271</v>
      </c>
    </row>
    <row r="28" spans="1:6">
      <c r="A28" s="8" t="s">
        <v>626</v>
      </c>
      <c r="B28" s="8" t="s">
        <v>171</v>
      </c>
      <c r="C28" s="8" t="s">
        <v>627</v>
      </c>
      <c r="D28" s="8" t="s">
        <v>628</v>
      </c>
      <c r="E28" s="8" t="s">
        <v>336</v>
      </c>
      <c r="F28" s="8" t="s">
        <v>629</v>
      </c>
    </row>
    <row r="29" spans="1:6">
      <c r="A29" s="8" t="s">
        <v>630</v>
      </c>
      <c r="B29" s="8" t="s">
        <v>177</v>
      </c>
      <c r="C29" s="8" t="s">
        <v>631</v>
      </c>
      <c r="D29" s="8" t="s">
        <v>632</v>
      </c>
      <c r="E29" s="8" t="s">
        <v>318</v>
      </c>
      <c r="F29" s="8" t="s">
        <v>633</v>
      </c>
    </row>
    <row r="30" spans="1:6">
      <c r="A30" s="8" t="s">
        <v>634</v>
      </c>
      <c r="B30" s="8" t="s">
        <v>183</v>
      </c>
      <c r="C30" s="8" t="s">
        <v>635</v>
      </c>
      <c r="D30" s="8" t="s">
        <v>636</v>
      </c>
      <c r="E30" s="8" t="s">
        <v>228</v>
      </c>
      <c r="F30" s="8" t="s">
        <v>637</v>
      </c>
    </row>
    <row r="31" spans="1:6">
      <c r="A31" s="8" t="s">
        <v>638</v>
      </c>
      <c r="B31" s="8" t="s">
        <v>189</v>
      </c>
      <c r="C31" s="8" t="s">
        <v>639</v>
      </c>
      <c r="D31" s="8" t="s">
        <v>640</v>
      </c>
      <c r="E31" s="8" t="s">
        <v>641</v>
      </c>
      <c r="F31" s="8" t="s">
        <v>642</v>
      </c>
    </row>
    <row r="32" spans="1:6">
      <c r="A32" s="8" t="s">
        <v>643</v>
      </c>
      <c r="B32" s="8" t="s">
        <v>195</v>
      </c>
      <c r="C32" s="8" t="s">
        <v>436</v>
      </c>
      <c r="D32" s="8" t="s">
        <v>437</v>
      </c>
      <c r="E32" s="8" t="s">
        <v>438</v>
      </c>
      <c r="F32" s="8" t="s">
        <v>439</v>
      </c>
    </row>
    <row r="33" spans="1:6">
      <c r="A33" s="8" t="s">
        <v>644</v>
      </c>
      <c r="B33" s="8" t="s">
        <v>201</v>
      </c>
      <c r="C33" s="8" t="s">
        <v>645</v>
      </c>
      <c r="D33" s="8" t="s">
        <v>646</v>
      </c>
      <c r="E33" s="8" t="s">
        <v>84</v>
      </c>
      <c r="F33" s="8" t="s">
        <v>647</v>
      </c>
    </row>
    <row r="34" spans="1:6">
      <c r="A34" s="8" t="s">
        <v>648</v>
      </c>
      <c r="B34" s="8" t="s">
        <v>207</v>
      </c>
      <c r="C34" s="8" t="s">
        <v>649</v>
      </c>
      <c r="D34" s="8" t="s">
        <v>650</v>
      </c>
      <c r="E34" s="8" t="s">
        <v>258</v>
      </c>
      <c r="F34" s="8" t="s">
        <v>651</v>
      </c>
    </row>
    <row r="35" spans="1:6">
      <c r="A35" s="8" t="s">
        <v>652</v>
      </c>
      <c r="B35" s="8" t="s">
        <v>213</v>
      </c>
      <c r="C35" s="8" t="s">
        <v>382</v>
      </c>
      <c r="D35" s="8" t="s">
        <v>383</v>
      </c>
      <c r="E35" s="8" t="s">
        <v>384</v>
      </c>
      <c r="F35" s="8" t="s">
        <v>385</v>
      </c>
    </row>
    <row r="36" spans="1:6">
      <c r="A36" s="8" t="s">
        <v>653</v>
      </c>
      <c r="B36" s="8" t="s">
        <v>219</v>
      </c>
      <c r="C36" s="8" t="s">
        <v>654</v>
      </c>
      <c r="D36" s="8" t="s">
        <v>655</v>
      </c>
      <c r="E36" s="8" t="s">
        <v>656</v>
      </c>
      <c r="F36" s="8" t="s">
        <v>657</v>
      </c>
    </row>
    <row r="37" spans="1:6">
      <c r="A37" s="8" t="s">
        <v>658</v>
      </c>
      <c r="B37" s="8" t="s">
        <v>225</v>
      </c>
      <c r="C37" s="8" t="s">
        <v>659</v>
      </c>
      <c r="D37" s="8" t="s">
        <v>660</v>
      </c>
      <c r="E37" s="8" t="s">
        <v>661</v>
      </c>
      <c r="F37" s="8" t="s">
        <v>662</v>
      </c>
    </row>
    <row r="38" spans="1:6">
      <c r="A38" s="8" t="s">
        <v>663</v>
      </c>
      <c r="B38" s="8" t="s">
        <v>231</v>
      </c>
      <c r="C38" s="8" t="s">
        <v>664</v>
      </c>
      <c r="D38" s="8" t="s">
        <v>665</v>
      </c>
      <c r="E38" s="8" t="s">
        <v>216</v>
      </c>
      <c r="F38" s="8" t="s">
        <v>666</v>
      </c>
    </row>
    <row r="39" spans="1:6">
      <c r="A39" s="8" t="s">
        <v>667</v>
      </c>
      <c r="B39" s="8" t="s">
        <v>237</v>
      </c>
      <c r="C39" s="8" t="s">
        <v>280</v>
      </c>
      <c r="D39" s="8" t="s">
        <v>281</v>
      </c>
      <c r="E39" s="8" t="s">
        <v>282</v>
      </c>
      <c r="F39" s="8" t="s">
        <v>283</v>
      </c>
    </row>
    <row r="40" spans="1:6">
      <c r="A40" s="8" t="s">
        <v>668</v>
      </c>
      <c r="B40" s="8" t="s">
        <v>243</v>
      </c>
      <c r="C40" s="8" t="s">
        <v>669</v>
      </c>
      <c r="D40" s="8" t="s">
        <v>670</v>
      </c>
      <c r="E40" s="8" t="s">
        <v>72</v>
      </c>
      <c r="F40" s="8" t="s">
        <v>671</v>
      </c>
    </row>
    <row r="41" spans="1:6">
      <c r="A41" s="8" t="s">
        <v>672</v>
      </c>
      <c r="B41" s="8" t="s">
        <v>249</v>
      </c>
      <c r="C41" s="8" t="s">
        <v>673</v>
      </c>
      <c r="D41" s="8" t="s">
        <v>674</v>
      </c>
      <c r="E41" s="8" t="s">
        <v>324</v>
      </c>
      <c r="F41" s="8" t="s">
        <v>675</v>
      </c>
    </row>
    <row r="42" spans="1:6">
      <c r="A42" s="8" t="s">
        <v>676</v>
      </c>
      <c r="B42" s="8" t="s">
        <v>255</v>
      </c>
      <c r="C42" s="8" t="s">
        <v>677</v>
      </c>
      <c r="D42" s="8" t="s">
        <v>678</v>
      </c>
      <c r="E42" s="8" t="s">
        <v>679</v>
      </c>
      <c r="F42" s="8" t="s">
        <v>680</v>
      </c>
    </row>
    <row r="43" spans="1:6">
      <c r="A43" s="8" t="s">
        <v>681</v>
      </c>
      <c r="B43" s="8" t="s">
        <v>261</v>
      </c>
      <c r="C43" s="8" t="s">
        <v>682</v>
      </c>
      <c r="D43" s="8" t="s">
        <v>683</v>
      </c>
      <c r="E43" s="8" t="s">
        <v>132</v>
      </c>
      <c r="F43" s="8" t="s">
        <v>684</v>
      </c>
    </row>
    <row r="44" spans="1:6">
      <c r="A44" s="8" t="s">
        <v>685</v>
      </c>
      <c r="B44" s="8" t="s">
        <v>267</v>
      </c>
      <c r="C44" s="8" t="s">
        <v>686</v>
      </c>
      <c r="D44" s="8" t="s">
        <v>687</v>
      </c>
      <c r="E44" s="8" t="s">
        <v>688</v>
      </c>
      <c r="F44" s="8" t="s">
        <v>689</v>
      </c>
    </row>
    <row r="45" spans="1:6">
      <c r="A45" s="8" t="s">
        <v>690</v>
      </c>
      <c r="B45" s="8" t="s">
        <v>273</v>
      </c>
      <c r="C45" s="8" t="s">
        <v>691</v>
      </c>
      <c r="D45" s="8" t="s">
        <v>692</v>
      </c>
      <c r="E45" s="8" t="s">
        <v>48</v>
      </c>
      <c r="F45" s="8" t="s">
        <v>693</v>
      </c>
    </row>
    <row r="46" spans="1:6">
      <c r="A46" s="8" t="s">
        <v>694</v>
      </c>
      <c r="B46" s="8" t="s">
        <v>279</v>
      </c>
      <c r="C46" s="8" t="s">
        <v>695</v>
      </c>
      <c r="D46" s="8" t="s">
        <v>696</v>
      </c>
      <c r="E46" s="8" t="s">
        <v>697</v>
      </c>
      <c r="F46" s="8" t="s">
        <v>698</v>
      </c>
    </row>
    <row r="47" spans="1:6">
      <c r="A47" s="8" t="s">
        <v>699</v>
      </c>
      <c r="B47" s="8" t="s">
        <v>285</v>
      </c>
      <c r="C47" s="8" t="s">
        <v>700</v>
      </c>
      <c r="D47" s="8" t="s">
        <v>701</v>
      </c>
      <c r="E47" s="8" t="s">
        <v>702</v>
      </c>
      <c r="F47" s="8" t="s">
        <v>703</v>
      </c>
    </row>
    <row r="48" spans="1:6">
      <c r="A48" s="8" t="s">
        <v>704</v>
      </c>
      <c r="B48" s="8" t="s">
        <v>291</v>
      </c>
      <c r="C48" s="8" t="s">
        <v>346</v>
      </c>
      <c r="D48" s="8" t="s">
        <v>347</v>
      </c>
      <c r="E48" s="8" t="s">
        <v>348</v>
      </c>
      <c r="F48" s="8" t="s">
        <v>349</v>
      </c>
    </row>
    <row r="49" spans="1:6">
      <c r="A49" s="8" t="s">
        <v>705</v>
      </c>
      <c r="B49" s="8" t="s">
        <v>297</v>
      </c>
      <c r="C49" s="8" t="s">
        <v>706</v>
      </c>
      <c r="D49" s="8" t="s">
        <v>707</v>
      </c>
      <c r="E49" s="8" t="s">
        <v>708</v>
      </c>
      <c r="F49" s="8" t="s">
        <v>709</v>
      </c>
    </row>
    <row r="50" spans="1:6">
      <c r="A50" s="8" t="s">
        <v>710</v>
      </c>
      <c r="B50" s="8" t="s">
        <v>303</v>
      </c>
      <c r="C50" s="8" t="s">
        <v>711</v>
      </c>
      <c r="D50" s="8" t="s">
        <v>712</v>
      </c>
      <c r="E50" s="8" t="s">
        <v>713</v>
      </c>
      <c r="F50" s="8" t="s">
        <v>714</v>
      </c>
    </row>
    <row r="51" spans="1:6">
      <c r="A51" s="8" t="s">
        <v>715</v>
      </c>
      <c r="B51" s="8" t="s">
        <v>309</v>
      </c>
      <c r="C51" s="8" t="s">
        <v>716</v>
      </c>
      <c r="D51" s="8" t="s">
        <v>717</v>
      </c>
      <c r="E51" s="8" t="s">
        <v>718</v>
      </c>
      <c r="F51" s="8" t="s">
        <v>719</v>
      </c>
    </row>
    <row r="52" spans="1:6">
      <c r="A52" s="8" t="s">
        <v>720</v>
      </c>
      <c r="B52" s="8" t="s">
        <v>315</v>
      </c>
      <c r="C52" s="8" t="s">
        <v>721</v>
      </c>
      <c r="D52" s="8" t="s">
        <v>722</v>
      </c>
      <c r="E52" s="8" t="s">
        <v>723</v>
      </c>
      <c r="F52" s="8" t="s">
        <v>277</v>
      </c>
    </row>
    <row r="53" spans="1:6">
      <c r="A53" s="8" t="s">
        <v>724</v>
      </c>
      <c r="B53" s="8" t="s">
        <v>321</v>
      </c>
      <c r="C53" s="8" t="s">
        <v>725</v>
      </c>
      <c r="D53" s="8" t="s">
        <v>726</v>
      </c>
      <c r="E53" s="8" t="s">
        <v>727</v>
      </c>
      <c r="F53" s="8" t="s">
        <v>728</v>
      </c>
    </row>
    <row r="54" spans="1:6">
      <c r="A54" s="8" t="s">
        <v>729</v>
      </c>
      <c r="B54" s="8" t="s">
        <v>327</v>
      </c>
      <c r="C54" s="8" t="s">
        <v>730</v>
      </c>
      <c r="D54" s="8" t="s">
        <v>731</v>
      </c>
      <c r="E54" s="8" t="s">
        <v>732</v>
      </c>
      <c r="F54" s="8" t="s">
        <v>733</v>
      </c>
    </row>
    <row r="55" spans="1:6">
      <c r="A55" s="8" t="s">
        <v>734</v>
      </c>
      <c r="B55" s="8" t="s">
        <v>333</v>
      </c>
      <c r="C55" s="8" t="s">
        <v>298</v>
      </c>
      <c r="D55" s="8" t="s">
        <v>299</v>
      </c>
      <c r="E55" s="8" t="s">
        <v>300</v>
      </c>
      <c r="F55" s="8" t="s">
        <v>301</v>
      </c>
    </row>
    <row r="56" spans="1:6">
      <c r="A56" s="8" t="s">
        <v>735</v>
      </c>
      <c r="B56" s="8" t="s">
        <v>339</v>
      </c>
      <c r="C56" s="8" t="s">
        <v>736</v>
      </c>
      <c r="D56" s="8" t="s">
        <v>737</v>
      </c>
      <c r="E56" s="8" t="s">
        <v>408</v>
      </c>
      <c r="F56" s="8" t="s">
        <v>738</v>
      </c>
    </row>
    <row r="57" spans="1:6">
      <c r="A57" s="8" t="s">
        <v>739</v>
      </c>
      <c r="B57" s="8" t="s">
        <v>345</v>
      </c>
      <c r="C57" s="8" t="s">
        <v>740</v>
      </c>
      <c r="D57" s="8" t="s">
        <v>741</v>
      </c>
      <c r="E57" s="8" t="s">
        <v>742</v>
      </c>
      <c r="F57" s="8" t="s">
        <v>743</v>
      </c>
    </row>
    <row r="58" spans="1:6">
      <c r="A58" s="8" t="s">
        <v>744</v>
      </c>
      <c r="B58" s="8" t="s">
        <v>351</v>
      </c>
      <c r="C58" s="8" t="s">
        <v>745</v>
      </c>
      <c r="D58" s="8" t="s">
        <v>746</v>
      </c>
      <c r="E58" s="8" t="s">
        <v>288</v>
      </c>
      <c r="F58" s="8" t="s">
        <v>747</v>
      </c>
    </row>
    <row r="59" spans="1:6">
      <c r="A59" s="8" t="s">
        <v>748</v>
      </c>
      <c r="B59" s="8" t="s">
        <v>357</v>
      </c>
      <c r="C59" s="8" t="s">
        <v>749</v>
      </c>
      <c r="D59" s="8" t="s">
        <v>750</v>
      </c>
      <c r="E59" s="8" t="s">
        <v>751</v>
      </c>
      <c r="F59" s="8" t="s">
        <v>752</v>
      </c>
    </row>
    <row r="60" spans="1:6">
      <c r="A60" s="8" t="s">
        <v>753</v>
      </c>
      <c r="B60" s="8" t="s">
        <v>363</v>
      </c>
      <c r="C60" s="8" t="s">
        <v>754</v>
      </c>
      <c r="D60" s="8" t="s">
        <v>755</v>
      </c>
      <c r="E60" s="8" t="s">
        <v>66</v>
      </c>
      <c r="F60" s="8" t="s">
        <v>756</v>
      </c>
    </row>
    <row r="61" spans="1:6">
      <c r="A61" s="8" t="s">
        <v>757</v>
      </c>
      <c r="B61" s="8" t="s">
        <v>369</v>
      </c>
      <c r="C61" s="8" t="s">
        <v>758</v>
      </c>
      <c r="D61" s="8" t="s">
        <v>759</v>
      </c>
      <c r="E61" s="8" t="s">
        <v>366</v>
      </c>
      <c r="F61" s="8" t="s">
        <v>760</v>
      </c>
    </row>
    <row r="62" spans="1:6">
      <c r="A62" s="8" t="s">
        <v>761</v>
      </c>
      <c r="B62" s="8" t="s">
        <v>375</v>
      </c>
      <c r="C62" s="8" t="s">
        <v>762</v>
      </c>
      <c r="D62" s="8" t="s">
        <v>763</v>
      </c>
      <c r="E62" s="8" t="s">
        <v>96</v>
      </c>
      <c r="F62" s="8" t="s">
        <v>764</v>
      </c>
    </row>
    <row r="63" spans="1:6">
      <c r="A63" s="8" t="s">
        <v>765</v>
      </c>
      <c r="B63" s="8" t="s">
        <v>381</v>
      </c>
      <c r="C63" s="8" t="s">
        <v>766</v>
      </c>
      <c r="D63" s="8" t="s">
        <v>767</v>
      </c>
      <c r="E63" s="8" t="s">
        <v>198</v>
      </c>
      <c r="F63" s="8" t="s">
        <v>768</v>
      </c>
    </row>
    <row r="64" spans="1:6">
      <c r="A64" s="8" t="s">
        <v>769</v>
      </c>
      <c r="B64" s="8" t="s">
        <v>387</v>
      </c>
      <c r="C64" s="8" t="s">
        <v>770</v>
      </c>
      <c r="D64" s="8" t="s">
        <v>771</v>
      </c>
      <c r="E64" s="8" t="s">
        <v>120</v>
      </c>
      <c r="F64" s="8" t="s">
        <v>772</v>
      </c>
    </row>
    <row r="65" spans="1:6">
      <c r="A65" s="8" t="s">
        <v>773</v>
      </c>
      <c r="B65" s="8" t="s">
        <v>393</v>
      </c>
      <c r="C65" s="8" t="s">
        <v>774</v>
      </c>
      <c r="D65" s="8" t="s">
        <v>775</v>
      </c>
      <c r="E65" s="8" t="s">
        <v>342</v>
      </c>
      <c r="F65" s="8" t="s">
        <v>776</v>
      </c>
    </row>
    <row r="66" spans="1:6">
      <c r="A66" s="8" t="s">
        <v>777</v>
      </c>
      <c r="B66" s="8" t="s">
        <v>399</v>
      </c>
      <c r="C66" s="8" t="s">
        <v>778</v>
      </c>
      <c r="D66" s="8" t="s">
        <v>779</v>
      </c>
      <c r="E66" s="8" t="s">
        <v>780</v>
      </c>
      <c r="F66" s="8" t="s">
        <v>781</v>
      </c>
    </row>
    <row r="67" spans="1:6">
      <c r="A67" s="8" t="s">
        <v>782</v>
      </c>
      <c r="B67" s="8" t="s">
        <v>405</v>
      </c>
      <c r="C67" s="8" t="s">
        <v>783</v>
      </c>
      <c r="D67" s="8" t="s">
        <v>784</v>
      </c>
      <c r="E67" s="8" t="s">
        <v>174</v>
      </c>
      <c r="F67" s="8" t="s">
        <v>785</v>
      </c>
    </row>
    <row r="68" spans="1:6">
      <c r="A68" s="8" t="s">
        <v>786</v>
      </c>
      <c r="B68" s="8" t="s">
        <v>411</v>
      </c>
      <c r="C68" s="8" t="s">
        <v>787</v>
      </c>
      <c r="D68" s="8" t="s">
        <v>788</v>
      </c>
      <c r="E68" s="8" t="s">
        <v>306</v>
      </c>
      <c r="F68" s="8" t="s">
        <v>789</v>
      </c>
    </row>
    <row r="69" spans="1:6">
      <c r="A69" s="8" t="s">
        <v>790</v>
      </c>
      <c r="B69" s="8" t="s">
        <v>417</v>
      </c>
      <c r="C69" s="8" t="s">
        <v>791</v>
      </c>
      <c r="D69" s="8" t="s">
        <v>792</v>
      </c>
      <c r="E69" s="8" t="s">
        <v>793</v>
      </c>
      <c r="F69" s="8" t="s">
        <v>253</v>
      </c>
    </row>
    <row r="70" spans="1:6">
      <c r="A70" s="8" t="s">
        <v>794</v>
      </c>
      <c r="B70" s="8" t="s">
        <v>423</v>
      </c>
      <c r="C70" s="8" t="s">
        <v>244</v>
      </c>
      <c r="D70" s="8" t="s">
        <v>245</v>
      </c>
      <c r="E70" s="8" t="s">
        <v>246</v>
      </c>
      <c r="F70" s="8" t="s">
        <v>247</v>
      </c>
    </row>
    <row r="71" spans="1:6">
      <c r="A71" s="8" t="s">
        <v>795</v>
      </c>
      <c r="B71" s="8" t="s">
        <v>429</v>
      </c>
      <c r="C71" s="8" t="s">
        <v>796</v>
      </c>
      <c r="D71" s="8" t="s">
        <v>797</v>
      </c>
      <c r="E71" s="8" t="s">
        <v>126</v>
      </c>
      <c r="F71" s="8" t="s">
        <v>798</v>
      </c>
    </row>
    <row r="72" spans="1:6">
      <c r="A72" s="8" t="s">
        <v>799</v>
      </c>
      <c r="B72" s="8" t="s">
        <v>435</v>
      </c>
      <c r="C72" s="8" t="s">
        <v>800</v>
      </c>
      <c r="D72" s="8" t="s">
        <v>801</v>
      </c>
      <c r="E72" s="8" t="s">
        <v>444</v>
      </c>
      <c r="F72" s="8" t="s">
        <v>802</v>
      </c>
    </row>
    <row r="73" spans="1:6">
      <c r="A73" s="8" t="s">
        <v>803</v>
      </c>
      <c r="B73" s="8" t="s">
        <v>441</v>
      </c>
      <c r="C73" s="8" t="s">
        <v>166</v>
      </c>
      <c r="D73" s="8" t="s">
        <v>167</v>
      </c>
      <c r="E73" s="8" t="s">
        <v>168</v>
      </c>
      <c r="F73" s="8" t="s">
        <v>169</v>
      </c>
    </row>
    <row r="74" spans="1:6">
      <c r="A74" s="8" t="s">
        <v>804</v>
      </c>
      <c r="B74" s="8" t="s">
        <v>447</v>
      </c>
      <c r="C74" s="8" t="s">
        <v>805</v>
      </c>
      <c r="D74" s="8" t="s">
        <v>806</v>
      </c>
      <c r="E74" s="8" t="s">
        <v>468</v>
      </c>
      <c r="F74" s="8" t="s">
        <v>807</v>
      </c>
    </row>
    <row r="75" spans="1:6">
      <c r="A75" s="8" t="s">
        <v>808</v>
      </c>
      <c r="B75" s="8" t="s">
        <v>453</v>
      </c>
      <c r="C75" s="8" t="s">
        <v>809</v>
      </c>
      <c r="D75" s="8" t="s">
        <v>810</v>
      </c>
      <c r="E75" s="8" t="s">
        <v>462</v>
      </c>
      <c r="F75" s="8" t="s">
        <v>811</v>
      </c>
    </row>
    <row r="76" spans="1:6">
      <c r="A76" s="8" t="s">
        <v>812</v>
      </c>
      <c r="B76" s="8" t="s">
        <v>459</v>
      </c>
      <c r="C76" s="8" t="s">
        <v>813</v>
      </c>
      <c r="D76" s="8" t="s">
        <v>814</v>
      </c>
      <c r="E76" s="8" t="s">
        <v>815</v>
      </c>
      <c r="F76" s="8" t="s">
        <v>816</v>
      </c>
    </row>
    <row r="77" spans="1:6">
      <c r="A77" s="8" t="s">
        <v>817</v>
      </c>
      <c r="B77" s="8" t="s">
        <v>465</v>
      </c>
      <c r="C77" s="8" t="s">
        <v>400</v>
      </c>
      <c r="D77" s="8" t="s">
        <v>401</v>
      </c>
      <c r="E77" s="8" t="s">
        <v>402</v>
      </c>
      <c r="F77" s="8" t="s">
        <v>403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6E2B52-B7FF-4475-8875-D7E3826E8576}">
  <dimension ref="A1:F77"/>
  <sheetViews>
    <sheetView workbookViewId="0">
      <selection activeCell="C2" sqref="C2:F77"/>
    </sheetView>
  </sheetViews>
  <sheetFormatPr defaultRowHeight="14.4"/>
  <cols>
    <col min="1" max="1" width="18.77734375" bestFit="1" customWidth="1"/>
    <col min="2" max="2" width="10.77734375" bestFit="1" customWidth="1"/>
    <col min="3" max="6" width="18.77734375" bestFit="1" customWidth="1"/>
  </cols>
  <sheetData>
    <row r="1" spans="1:6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</row>
    <row r="2" spans="1:6">
      <c r="A2" s="8" t="s">
        <v>0</v>
      </c>
      <c r="B2" s="8" t="s">
        <v>1</v>
      </c>
      <c r="C2" s="8" t="s">
        <v>2</v>
      </c>
      <c r="D2" s="8" t="s">
        <v>17</v>
      </c>
      <c r="E2" s="8" t="s">
        <v>18</v>
      </c>
      <c r="F2" s="8" t="s">
        <v>19</v>
      </c>
    </row>
    <row r="3" spans="1:6">
      <c r="A3" s="8" t="s">
        <v>818</v>
      </c>
      <c r="B3" s="8" t="s">
        <v>21</v>
      </c>
      <c r="C3" s="8" t="s">
        <v>819</v>
      </c>
      <c r="D3" s="8" t="s">
        <v>820</v>
      </c>
      <c r="E3" s="8" t="s">
        <v>821</v>
      </c>
      <c r="F3" s="8" t="s">
        <v>822</v>
      </c>
    </row>
    <row r="4" spans="1:6">
      <c r="A4" s="8" t="s">
        <v>823</v>
      </c>
      <c r="B4" s="8" t="s">
        <v>27</v>
      </c>
      <c r="C4" s="8" t="s">
        <v>824</v>
      </c>
      <c r="D4" s="8" t="s">
        <v>825</v>
      </c>
      <c r="E4" s="8" t="s">
        <v>826</v>
      </c>
      <c r="F4" s="8" t="s">
        <v>827</v>
      </c>
    </row>
    <row r="5" spans="1:6">
      <c r="A5" s="8" t="s">
        <v>828</v>
      </c>
      <c r="B5" s="8" t="s">
        <v>33</v>
      </c>
      <c r="C5" s="8" t="s">
        <v>829</v>
      </c>
      <c r="D5" s="8" t="s">
        <v>830</v>
      </c>
      <c r="E5" s="8" t="s">
        <v>831</v>
      </c>
      <c r="F5" s="8" t="s">
        <v>832</v>
      </c>
    </row>
    <row r="6" spans="1:6">
      <c r="A6" s="8" t="s">
        <v>833</v>
      </c>
      <c r="B6" s="8" t="s">
        <v>39</v>
      </c>
      <c r="C6" s="8" t="s">
        <v>834</v>
      </c>
      <c r="D6" s="8" t="s">
        <v>835</v>
      </c>
      <c r="E6" s="8" t="s">
        <v>836</v>
      </c>
      <c r="F6" s="8" t="s">
        <v>837</v>
      </c>
    </row>
    <row r="7" spans="1:6">
      <c r="A7" s="8" t="s">
        <v>838</v>
      </c>
      <c r="B7" s="8" t="s">
        <v>45</v>
      </c>
      <c r="C7" s="8" t="s">
        <v>839</v>
      </c>
      <c r="D7" s="8" t="s">
        <v>840</v>
      </c>
      <c r="E7" s="8" t="s">
        <v>841</v>
      </c>
      <c r="F7" s="8" t="s">
        <v>842</v>
      </c>
    </row>
    <row r="8" spans="1:6">
      <c r="A8" s="8" t="s">
        <v>843</v>
      </c>
      <c r="B8" s="8" t="s">
        <v>51</v>
      </c>
      <c r="C8" s="8" t="s">
        <v>844</v>
      </c>
      <c r="D8" s="8" t="s">
        <v>845</v>
      </c>
      <c r="E8" s="8" t="s">
        <v>846</v>
      </c>
      <c r="F8" s="8" t="s">
        <v>847</v>
      </c>
    </row>
    <row r="9" spans="1:6">
      <c r="A9" s="8" t="s">
        <v>848</v>
      </c>
      <c r="B9" s="8" t="s">
        <v>57</v>
      </c>
      <c r="C9" s="8" t="s">
        <v>849</v>
      </c>
      <c r="D9" s="8" t="s">
        <v>850</v>
      </c>
      <c r="E9" s="8" t="s">
        <v>851</v>
      </c>
      <c r="F9" s="8" t="s">
        <v>852</v>
      </c>
    </row>
    <row r="10" spans="1:6">
      <c r="A10" s="8" t="s">
        <v>853</v>
      </c>
      <c r="B10" s="8" t="s">
        <v>63</v>
      </c>
      <c r="C10" s="8" t="s">
        <v>854</v>
      </c>
      <c r="D10" s="8" t="s">
        <v>855</v>
      </c>
      <c r="E10" s="8" t="s">
        <v>856</v>
      </c>
      <c r="F10" s="8" t="s">
        <v>857</v>
      </c>
    </row>
    <row r="11" spans="1:6">
      <c r="A11" s="8" t="s">
        <v>858</v>
      </c>
      <c r="B11" s="8" t="s">
        <v>69</v>
      </c>
      <c r="C11" s="8" t="s">
        <v>859</v>
      </c>
      <c r="D11" s="8" t="s">
        <v>860</v>
      </c>
      <c r="E11" s="8" t="s">
        <v>861</v>
      </c>
      <c r="F11" s="8" t="s">
        <v>862</v>
      </c>
    </row>
    <row r="12" spans="1:6">
      <c r="A12" s="8" t="s">
        <v>863</v>
      </c>
      <c r="B12" s="8" t="s">
        <v>75</v>
      </c>
      <c r="C12" s="8" t="s">
        <v>864</v>
      </c>
      <c r="D12" s="8" t="s">
        <v>865</v>
      </c>
      <c r="E12" s="8" t="s">
        <v>866</v>
      </c>
      <c r="F12" s="8" t="s">
        <v>867</v>
      </c>
    </row>
    <row r="13" spans="1:6">
      <c r="A13" s="8" t="s">
        <v>868</v>
      </c>
      <c r="B13" s="8" t="s">
        <v>81</v>
      </c>
      <c r="C13" s="8" t="s">
        <v>869</v>
      </c>
      <c r="D13" s="8" t="s">
        <v>870</v>
      </c>
      <c r="E13" s="8" t="s">
        <v>871</v>
      </c>
      <c r="F13" s="8" t="s">
        <v>872</v>
      </c>
    </row>
    <row r="14" spans="1:6">
      <c r="A14" s="8" t="s">
        <v>873</v>
      </c>
      <c r="B14" s="8" t="s">
        <v>87</v>
      </c>
      <c r="C14" s="8" t="s">
        <v>874</v>
      </c>
      <c r="D14" s="8" t="s">
        <v>875</v>
      </c>
      <c r="E14" s="8" t="s">
        <v>876</v>
      </c>
      <c r="F14" s="8" t="s">
        <v>877</v>
      </c>
    </row>
    <row r="15" spans="1:6">
      <c r="A15" s="8" t="s">
        <v>878</v>
      </c>
      <c r="B15" s="8" t="s">
        <v>93</v>
      </c>
      <c r="C15" s="8" t="s">
        <v>879</v>
      </c>
      <c r="D15" s="8" t="s">
        <v>880</v>
      </c>
      <c r="E15" s="8" t="s">
        <v>881</v>
      </c>
      <c r="F15" s="8" t="s">
        <v>882</v>
      </c>
    </row>
    <row r="16" spans="1:6">
      <c r="A16" s="8" t="s">
        <v>883</v>
      </c>
      <c r="B16" s="8" t="s">
        <v>99</v>
      </c>
      <c r="C16" s="8" t="s">
        <v>884</v>
      </c>
      <c r="D16" s="8" t="s">
        <v>885</v>
      </c>
      <c r="E16" s="8" t="s">
        <v>886</v>
      </c>
      <c r="F16" s="8" t="s">
        <v>887</v>
      </c>
    </row>
    <row r="17" spans="1:6">
      <c r="A17" s="8" t="s">
        <v>888</v>
      </c>
      <c r="B17" s="8" t="s">
        <v>105</v>
      </c>
      <c r="C17" s="8" t="s">
        <v>889</v>
      </c>
      <c r="D17" s="8" t="s">
        <v>890</v>
      </c>
      <c r="E17" s="8" t="s">
        <v>891</v>
      </c>
      <c r="F17" s="8" t="s">
        <v>892</v>
      </c>
    </row>
    <row r="18" spans="1:6">
      <c r="A18" s="8" t="s">
        <v>893</v>
      </c>
      <c r="B18" s="8" t="s">
        <v>111</v>
      </c>
      <c r="C18" s="8" t="s">
        <v>894</v>
      </c>
      <c r="D18" s="8" t="s">
        <v>895</v>
      </c>
      <c r="E18" s="8" t="s">
        <v>896</v>
      </c>
      <c r="F18" s="8" t="s">
        <v>897</v>
      </c>
    </row>
    <row r="19" spans="1:6">
      <c r="A19" s="8" t="s">
        <v>898</v>
      </c>
      <c r="B19" s="8" t="s">
        <v>117</v>
      </c>
      <c r="C19" s="8" t="s">
        <v>899</v>
      </c>
      <c r="D19" s="8" t="s">
        <v>900</v>
      </c>
      <c r="E19" s="8" t="s">
        <v>901</v>
      </c>
      <c r="F19" s="8" t="s">
        <v>902</v>
      </c>
    </row>
    <row r="20" spans="1:6">
      <c r="A20" s="8" t="s">
        <v>903</v>
      </c>
      <c r="B20" s="8" t="s">
        <v>123</v>
      </c>
      <c r="C20" s="8" t="s">
        <v>904</v>
      </c>
      <c r="D20" s="8" t="s">
        <v>905</v>
      </c>
      <c r="E20" s="8" t="s">
        <v>906</v>
      </c>
      <c r="F20" s="8" t="s">
        <v>907</v>
      </c>
    </row>
    <row r="21" spans="1:6">
      <c r="A21" s="8" t="s">
        <v>908</v>
      </c>
      <c r="B21" s="8" t="s">
        <v>129</v>
      </c>
      <c r="C21" s="8" t="s">
        <v>909</v>
      </c>
      <c r="D21" s="8" t="s">
        <v>910</v>
      </c>
      <c r="E21" s="8" t="s">
        <v>911</v>
      </c>
      <c r="F21" s="8" t="s">
        <v>912</v>
      </c>
    </row>
    <row r="22" spans="1:6">
      <c r="A22" s="8" t="s">
        <v>913</v>
      </c>
      <c r="B22" s="8" t="s">
        <v>135</v>
      </c>
      <c r="C22" s="8" t="s">
        <v>914</v>
      </c>
      <c r="D22" s="8" t="s">
        <v>915</v>
      </c>
      <c r="E22" s="8" t="s">
        <v>916</v>
      </c>
      <c r="F22" s="8" t="s">
        <v>917</v>
      </c>
    </row>
    <row r="23" spans="1:6">
      <c r="A23" s="8" t="s">
        <v>918</v>
      </c>
      <c r="B23" s="8" t="s">
        <v>141</v>
      </c>
      <c r="C23" s="8" t="s">
        <v>919</v>
      </c>
      <c r="D23" s="8" t="s">
        <v>920</v>
      </c>
      <c r="E23" s="8" t="s">
        <v>921</v>
      </c>
      <c r="F23" s="8" t="s">
        <v>922</v>
      </c>
    </row>
    <row r="24" spans="1:6">
      <c r="A24" s="8" t="s">
        <v>923</v>
      </c>
      <c r="B24" s="8" t="s">
        <v>147</v>
      </c>
      <c r="C24" s="8" t="s">
        <v>924</v>
      </c>
      <c r="D24" s="8" t="s">
        <v>925</v>
      </c>
      <c r="E24" s="8" t="s">
        <v>926</v>
      </c>
      <c r="F24" s="8" t="s">
        <v>927</v>
      </c>
    </row>
    <row r="25" spans="1:6">
      <c r="A25" s="8" t="s">
        <v>928</v>
      </c>
      <c r="B25" s="8" t="s">
        <v>153</v>
      </c>
      <c r="C25" s="8" t="s">
        <v>929</v>
      </c>
      <c r="D25" s="8" t="s">
        <v>930</v>
      </c>
      <c r="E25" s="8" t="s">
        <v>931</v>
      </c>
      <c r="F25" s="8" t="s">
        <v>932</v>
      </c>
    </row>
    <row r="26" spans="1:6">
      <c r="A26" s="8" t="s">
        <v>933</v>
      </c>
      <c r="B26" s="8" t="s">
        <v>159</v>
      </c>
      <c r="C26" s="8" t="s">
        <v>934</v>
      </c>
      <c r="D26" s="8" t="s">
        <v>935</v>
      </c>
      <c r="E26" s="8" t="s">
        <v>936</v>
      </c>
      <c r="F26" s="8" t="s">
        <v>937</v>
      </c>
    </row>
    <row r="27" spans="1:6">
      <c r="A27" s="8" t="s">
        <v>938</v>
      </c>
      <c r="B27" s="8" t="s">
        <v>165</v>
      </c>
      <c r="C27" s="8" t="s">
        <v>939</v>
      </c>
      <c r="D27" s="8" t="s">
        <v>940</v>
      </c>
      <c r="E27" s="8" t="s">
        <v>941</v>
      </c>
      <c r="F27" s="8" t="s">
        <v>942</v>
      </c>
    </row>
    <row r="28" spans="1:6">
      <c r="A28" s="8" t="s">
        <v>943</v>
      </c>
      <c r="B28" s="8" t="s">
        <v>171</v>
      </c>
      <c r="C28" s="8" t="s">
        <v>944</v>
      </c>
      <c r="D28" s="8" t="s">
        <v>945</v>
      </c>
      <c r="E28" s="8" t="s">
        <v>946</v>
      </c>
      <c r="F28" s="8" t="s">
        <v>947</v>
      </c>
    </row>
    <row r="29" spans="1:6">
      <c r="A29" s="8" t="s">
        <v>948</v>
      </c>
      <c r="B29" s="8" t="s">
        <v>177</v>
      </c>
      <c r="C29" s="8" t="s">
        <v>949</v>
      </c>
      <c r="D29" s="8" t="s">
        <v>950</v>
      </c>
      <c r="E29" s="8" t="s">
        <v>951</v>
      </c>
      <c r="F29" s="8" t="s">
        <v>952</v>
      </c>
    </row>
    <row r="30" spans="1:6">
      <c r="A30" s="8" t="s">
        <v>953</v>
      </c>
      <c r="B30" s="8" t="s">
        <v>183</v>
      </c>
      <c r="C30" s="8" t="s">
        <v>954</v>
      </c>
      <c r="D30" s="8" t="s">
        <v>955</v>
      </c>
      <c r="E30" s="8" t="s">
        <v>956</v>
      </c>
      <c r="F30" s="8" t="s">
        <v>957</v>
      </c>
    </row>
    <row r="31" spans="1:6">
      <c r="A31" s="8" t="s">
        <v>958</v>
      </c>
      <c r="B31" s="8" t="s">
        <v>189</v>
      </c>
      <c r="C31" s="8" t="s">
        <v>959</v>
      </c>
      <c r="D31" s="8" t="s">
        <v>960</v>
      </c>
      <c r="E31" s="8" t="s">
        <v>961</v>
      </c>
      <c r="F31" s="8" t="s">
        <v>962</v>
      </c>
    </row>
    <row r="32" spans="1:6">
      <c r="A32" s="8" t="s">
        <v>963</v>
      </c>
      <c r="B32" s="8" t="s">
        <v>195</v>
      </c>
      <c r="C32" s="8" t="s">
        <v>964</v>
      </c>
      <c r="D32" s="8" t="s">
        <v>965</v>
      </c>
      <c r="E32" s="8" t="s">
        <v>966</v>
      </c>
      <c r="F32" s="8" t="s">
        <v>967</v>
      </c>
    </row>
    <row r="33" spans="1:6">
      <c r="A33" s="8" t="s">
        <v>968</v>
      </c>
      <c r="B33" s="8" t="s">
        <v>201</v>
      </c>
      <c r="C33" s="8" t="s">
        <v>969</v>
      </c>
      <c r="D33" s="8" t="s">
        <v>970</v>
      </c>
      <c r="E33" s="8" t="s">
        <v>971</v>
      </c>
      <c r="F33" s="8" t="s">
        <v>972</v>
      </c>
    </row>
    <row r="34" spans="1:6">
      <c r="A34" s="8" t="s">
        <v>973</v>
      </c>
      <c r="B34" s="8" t="s">
        <v>207</v>
      </c>
      <c r="C34" s="8" t="s">
        <v>974</v>
      </c>
      <c r="D34" s="8" t="s">
        <v>975</v>
      </c>
      <c r="E34" s="8" t="s">
        <v>976</v>
      </c>
      <c r="F34" s="8" t="s">
        <v>977</v>
      </c>
    </row>
    <row r="35" spans="1:6">
      <c r="A35" s="8" t="s">
        <v>978</v>
      </c>
      <c r="B35" s="8" t="s">
        <v>213</v>
      </c>
      <c r="C35" s="8" t="s">
        <v>979</v>
      </c>
      <c r="D35" s="8" t="s">
        <v>980</v>
      </c>
      <c r="E35" s="8" t="s">
        <v>981</v>
      </c>
      <c r="F35" s="8" t="s">
        <v>982</v>
      </c>
    </row>
    <row r="36" spans="1:6">
      <c r="A36" s="8" t="s">
        <v>983</v>
      </c>
      <c r="B36" s="8" t="s">
        <v>219</v>
      </c>
      <c r="C36" s="8" t="s">
        <v>984</v>
      </c>
      <c r="D36" s="8" t="s">
        <v>985</v>
      </c>
      <c r="E36" s="8" t="s">
        <v>986</v>
      </c>
      <c r="F36" s="8" t="s">
        <v>987</v>
      </c>
    </row>
    <row r="37" spans="1:6">
      <c r="A37" s="8" t="s">
        <v>988</v>
      </c>
      <c r="B37" s="8" t="s">
        <v>225</v>
      </c>
      <c r="C37" s="8" t="s">
        <v>989</v>
      </c>
      <c r="D37" s="8" t="s">
        <v>990</v>
      </c>
      <c r="E37" s="8" t="s">
        <v>991</v>
      </c>
      <c r="F37" s="8" t="s">
        <v>992</v>
      </c>
    </row>
    <row r="38" spans="1:6">
      <c r="A38" s="8" t="s">
        <v>993</v>
      </c>
      <c r="B38" s="8" t="s">
        <v>231</v>
      </c>
      <c r="C38" s="8" t="s">
        <v>994</v>
      </c>
      <c r="D38" s="8" t="s">
        <v>995</v>
      </c>
      <c r="E38" s="8" t="s">
        <v>996</v>
      </c>
      <c r="F38" s="8" t="s">
        <v>997</v>
      </c>
    </row>
    <row r="39" spans="1:6">
      <c r="A39" s="8" t="s">
        <v>998</v>
      </c>
      <c r="B39" s="8" t="s">
        <v>237</v>
      </c>
      <c r="C39" s="8" t="s">
        <v>999</v>
      </c>
      <c r="D39" s="8" t="s">
        <v>1000</v>
      </c>
      <c r="E39" s="8" t="s">
        <v>1001</v>
      </c>
      <c r="F39" s="8" t="s">
        <v>1002</v>
      </c>
    </row>
    <row r="40" spans="1:6">
      <c r="A40" s="8" t="s">
        <v>1003</v>
      </c>
      <c r="B40" s="8" t="s">
        <v>243</v>
      </c>
      <c r="C40" s="8" t="s">
        <v>1004</v>
      </c>
      <c r="D40" s="8" t="s">
        <v>1005</v>
      </c>
      <c r="E40" s="8" t="s">
        <v>1006</v>
      </c>
      <c r="F40" s="8" t="s">
        <v>1007</v>
      </c>
    </row>
    <row r="41" spans="1:6">
      <c r="A41" s="8" t="s">
        <v>1008</v>
      </c>
      <c r="B41" s="8" t="s">
        <v>249</v>
      </c>
      <c r="C41" s="8" t="s">
        <v>1009</v>
      </c>
      <c r="D41" s="8" t="s">
        <v>1010</v>
      </c>
      <c r="E41" s="8" t="s">
        <v>1011</v>
      </c>
      <c r="F41" s="8" t="s">
        <v>1012</v>
      </c>
    </row>
    <row r="42" spans="1:6">
      <c r="A42" s="8" t="s">
        <v>1013</v>
      </c>
      <c r="B42" s="8" t="s">
        <v>255</v>
      </c>
      <c r="C42" s="8" t="s">
        <v>1014</v>
      </c>
      <c r="D42" s="8" t="s">
        <v>1015</v>
      </c>
      <c r="E42" s="8" t="s">
        <v>1016</v>
      </c>
      <c r="F42" s="8" t="s">
        <v>1017</v>
      </c>
    </row>
    <row r="43" spans="1:6">
      <c r="A43" s="8" t="s">
        <v>1018</v>
      </c>
      <c r="B43" s="8" t="s">
        <v>261</v>
      </c>
      <c r="C43" s="8" t="s">
        <v>1019</v>
      </c>
      <c r="D43" s="8" t="s">
        <v>1020</v>
      </c>
      <c r="E43" s="8" t="s">
        <v>1021</v>
      </c>
      <c r="F43" s="8" t="s">
        <v>1022</v>
      </c>
    </row>
    <row r="44" spans="1:6">
      <c r="A44" s="8" t="s">
        <v>1023</v>
      </c>
      <c r="B44" s="8" t="s">
        <v>267</v>
      </c>
      <c r="C44" s="8" t="s">
        <v>1024</v>
      </c>
      <c r="D44" s="8" t="s">
        <v>1025</v>
      </c>
      <c r="E44" s="8" t="s">
        <v>1026</v>
      </c>
      <c r="F44" s="8" t="s">
        <v>1027</v>
      </c>
    </row>
    <row r="45" spans="1:6">
      <c r="A45" s="8" t="s">
        <v>1028</v>
      </c>
      <c r="B45" s="8" t="s">
        <v>273</v>
      </c>
      <c r="C45" s="8" t="s">
        <v>1029</v>
      </c>
      <c r="D45" s="8" t="s">
        <v>1030</v>
      </c>
      <c r="E45" s="8" t="s">
        <v>1031</v>
      </c>
      <c r="F45" s="8" t="s">
        <v>1032</v>
      </c>
    </row>
    <row r="46" spans="1:6">
      <c r="A46" s="8" t="s">
        <v>1033</v>
      </c>
      <c r="B46" s="8" t="s">
        <v>279</v>
      </c>
      <c r="C46" s="8" t="s">
        <v>1034</v>
      </c>
      <c r="D46" s="8" t="s">
        <v>1035</v>
      </c>
      <c r="E46" s="8" t="s">
        <v>1036</v>
      </c>
      <c r="F46" s="8" t="s">
        <v>1037</v>
      </c>
    </row>
    <row r="47" spans="1:6">
      <c r="A47" s="8" t="s">
        <v>1038</v>
      </c>
      <c r="B47" s="8" t="s">
        <v>285</v>
      </c>
      <c r="C47" s="8" t="s">
        <v>1039</v>
      </c>
      <c r="D47" s="8" t="s">
        <v>1040</v>
      </c>
      <c r="E47" s="8" t="s">
        <v>1041</v>
      </c>
      <c r="F47" s="8" t="s">
        <v>1042</v>
      </c>
    </row>
    <row r="48" spans="1:6">
      <c r="A48" s="8" t="s">
        <v>1043</v>
      </c>
      <c r="B48" s="8" t="s">
        <v>291</v>
      </c>
      <c r="C48" s="8" t="s">
        <v>1044</v>
      </c>
      <c r="D48" s="8" t="s">
        <v>1045</v>
      </c>
      <c r="E48" s="8" t="s">
        <v>1046</v>
      </c>
      <c r="F48" s="8" t="s">
        <v>1047</v>
      </c>
    </row>
    <row r="49" spans="1:6">
      <c r="A49" s="8" t="s">
        <v>1048</v>
      </c>
      <c r="B49" s="8" t="s">
        <v>297</v>
      </c>
      <c r="C49" s="8" t="s">
        <v>1049</v>
      </c>
      <c r="D49" s="8" t="s">
        <v>1050</v>
      </c>
      <c r="E49" s="8" t="s">
        <v>1051</v>
      </c>
      <c r="F49" s="8" t="s">
        <v>1052</v>
      </c>
    </row>
    <row r="50" spans="1:6">
      <c r="A50" s="8" t="s">
        <v>1053</v>
      </c>
      <c r="B50" s="8" t="s">
        <v>303</v>
      </c>
      <c r="C50" s="8" t="s">
        <v>1054</v>
      </c>
      <c r="D50" s="8" t="s">
        <v>1055</v>
      </c>
      <c r="E50" s="8" t="s">
        <v>1056</v>
      </c>
      <c r="F50" s="8" t="s">
        <v>1057</v>
      </c>
    </row>
    <row r="51" spans="1:6">
      <c r="A51" s="8" t="s">
        <v>1058</v>
      </c>
      <c r="B51" s="8" t="s">
        <v>309</v>
      </c>
      <c r="C51" s="8" t="s">
        <v>1059</v>
      </c>
      <c r="D51" s="8" t="s">
        <v>1060</v>
      </c>
      <c r="E51" s="8" t="s">
        <v>1061</v>
      </c>
      <c r="F51" s="8" t="s">
        <v>1062</v>
      </c>
    </row>
    <row r="52" spans="1:6">
      <c r="A52" s="8" t="s">
        <v>1063</v>
      </c>
      <c r="B52" s="8" t="s">
        <v>315</v>
      </c>
      <c r="C52" s="8" t="s">
        <v>1064</v>
      </c>
      <c r="D52" s="8" t="s">
        <v>1065</v>
      </c>
      <c r="E52" s="8" t="s">
        <v>1066</v>
      </c>
      <c r="F52" s="8" t="s">
        <v>1067</v>
      </c>
    </row>
    <row r="53" spans="1:6">
      <c r="A53" s="8" t="s">
        <v>1068</v>
      </c>
      <c r="B53" s="8" t="s">
        <v>321</v>
      </c>
      <c r="C53" s="8" t="s">
        <v>1069</v>
      </c>
      <c r="D53" s="8" t="s">
        <v>1070</v>
      </c>
      <c r="E53" s="8" t="s">
        <v>1071</v>
      </c>
      <c r="F53" s="8" t="s">
        <v>1072</v>
      </c>
    </row>
    <row r="54" spans="1:6">
      <c r="A54" s="8" t="s">
        <v>1073</v>
      </c>
      <c r="B54" s="8" t="s">
        <v>327</v>
      </c>
      <c r="C54" s="8" t="s">
        <v>1074</v>
      </c>
      <c r="D54" s="8" t="s">
        <v>1075</v>
      </c>
      <c r="E54" s="8" t="s">
        <v>1076</v>
      </c>
      <c r="F54" s="8" t="s">
        <v>1077</v>
      </c>
    </row>
    <row r="55" spans="1:6">
      <c r="A55" s="8" t="s">
        <v>1078</v>
      </c>
      <c r="B55" s="8" t="s">
        <v>333</v>
      </c>
      <c r="C55" s="8" t="s">
        <v>1079</v>
      </c>
      <c r="D55" s="8" t="s">
        <v>1080</v>
      </c>
      <c r="E55" s="8" t="s">
        <v>1081</v>
      </c>
      <c r="F55" s="8" t="s">
        <v>1082</v>
      </c>
    </row>
    <row r="56" spans="1:6">
      <c r="A56" s="8" t="s">
        <v>1083</v>
      </c>
      <c r="B56" s="8" t="s">
        <v>339</v>
      </c>
      <c r="C56" s="8" t="s">
        <v>1084</v>
      </c>
      <c r="D56" s="8" t="s">
        <v>1085</v>
      </c>
      <c r="E56" s="8" t="s">
        <v>1086</v>
      </c>
      <c r="F56" s="8" t="s">
        <v>1087</v>
      </c>
    </row>
    <row r="57" spans="1:6">
      <c r="A57" s="8" t="s">
        <v>1088</v>
      </c>
      <c r="B57" s="8" t="s">
        <v>345</v>
      </c>
      <c r="C57" s="8" t="s">
        <v>1089</v>
      </c>
      <c r="D57" s="8" t="s">
        <v>1090</v>
      </c>
      <c r="E57" s="8" t="s">
        <v>1091</v>
      </c>
      <c r="F57" s="8" t="s">
        <v>1092</v>
      </c>
    </row>
    <row r="58" spans="1:6">
      <c r="A58" s="8" t="s">
        <v>1093</v>
      </c>
      <c r="B58" s="8" t="s">
        <v>351</v>
      </c>
      <c r="C58" s="8" t="s">
        <v>1094</v>
      </c>
      <c r="D58" s="8" t="s">
        <v>1095</v>
      </c>
      <c r="E58" s="8" t="s">
        <v>1096</v>
      </c>
      <c r="F58" s="8" t="s">
        <v>1097</v>
      </c>
    </row>
    <row r="59" spans="1:6">
      <c r="A59" s="8" t="s">
        <v>1098</v>
      </c>
      <c r="B59" s="8" t="s">
        <v>357</v>
      </c>
      <c r="C59" s="8" t="s">
        <v>1099</v>
      </c>
      <c r="D59" s="8" t="s">
        <v>1100</v>
      </c>
      <c r="E59" s="8" t="s">
        <v>1101</v>
      </c>
      <c r="F59" s="8" t="s">
        <v>1102</v>
      </c>
    </row>
    <row r="60" spans="1:6">
      <c r="A60" s="8" t="s">
        <v>1103</v>
      </c>
      <c r="B60" s="8" t="s">
        <v>363</v>
      </c>
      <c r="C60" s="8" t="s">
        <v>1104</v>
      </c>
      <c r="D60" s="8" t="s">
        <v>1105</v>
      </c>
      <c r="E60" s="8" t="s">
        <v>1106</v>
      </c>
      <c r="F60" s="8" t="s">
        <v>1107</v>
      </c>
    </row>
    <row r="61" spans="1:6">
      <c r="A61" s="8" t="s">
        <v>1108</v>
      </c>
      <c r="B61" s="8" t="s">
        <v>369</v>
      </c>
      <c r="C61" s="8" t="s">
        <v>1109</v>
      </c>
      <c r="D61" s="8" t="s">
        <v>1110</v>
      </c>
      <c r="E61" s="8" t="s">
        <v>1111</v>
      </c>
      <c r="F61" s="8" t="s">
        <v>1112</v>
      </c>
    </row>
    <row r="62" spans="1:6">
      <c r="A62" s="8" t="s">
        <v>1113</v>
      </c>
      <c r="B62" s="8" t="s">
        <v>375</v>
      </c>
      <c r="C62" s="8" t="s">
        <v>1114</v>
      </c>
      <c r="D62" s="8" t="s">
        <v>1115</v>
      </c>
      <c r="E62" s="8" t="s">
        <v>1116</v>
      </c>
      <c r="F62" s="8" t="s">
        <v>1117</v>
      </c>
    </row>
    <row r="63" spans="1:6">
      <c r="A63" s="8" t="s">
        <v>1118</v>
      </c>
      <c r="B63" s="8" t="s">
        <v>381</v>
      </c>
      <c r="C63" s="8" t="s">
        <v>1119</v>
      </c>
      <c r="D63" s="8" t="s">
        <v>1120</v>
      </c>
      <c r="E63" s="8" t="s">
        <v>1121</v>
      </c>
      <c r="F63" s="8" t="s">
        <v>1122</v>
      </c>
    </row>
    <row r="64" spans="1:6">
      <c r="A64" s="8" t="s">
        <v>1123</v>
      </c>
      <c r="B64" s="8" t="s">
        <v>387</v>
      </c>
      <c r="C64" s="8" t="s">
        <v>1124</v>
      </c>
      <c r="D64" s="8" t="s">
        <v>1125</v>
      </c>
      <c r="E64" s="8" t="s">
        <v>1126</v>
      </c>
      <c r="F64" s="8" t="s">
        <v>1127</v>
      </c>
    </row>
    <row r="65" spans="1:6">
      <c r="A65" s="8" t="s">
        <v>1128</v>
      </c>
      <c r="B65" s="8" t="s">
        <v>393</v>
      </c>
      <c r="C65" s="8" t="s">
        <v>1129</v>
      </c>
      <c r="D65" s="8" t="s">
        <v>1130</v>
      </c>
      <c r="E65" s="8" t="s">
        <v>1131</v>
      </c>
      <c r="F65" s="8" t="s">
        <v>1132</v>
      </c>
    </row>
    <row r="66" spans="1:6">
      <c r="A66" s="8" t="s">
        <v>1133</v>
      </c>
      <c r="B66" s="8" t="s">
        <v>399</v>
      </c>
      <c r="C66" s="8" t="s">
        <v>1134</v>
      </c>
      <c r="D66" s="8" t="s">
        <v>1135</v>
      </c>
      <c r="E66" s="8" t="s">
        <v>1136</v>
      </c>
      <c r="F66" s="8" t="s">
        <v>1137</v>
      </c>
    </row>
    <row r="67" spans="1:6">
      <c r="A67" s="8" t="s">
        <v>1138</v>
      </c>
      <c r="B67" s="8" t="s">
        <v>405</v>
      </c>
      <c r="C67" s="8" t="s">
        <v>1139</v>
      </c>
      <c r="D67" s="8" t="s">
        <v>1140</v>
      </c>
      <c r="E67" s="8" t="s">
        <v>1141</v>
      </c>
      <c r="F67" s="8" t="s">
        <v>1142</v>
      </c>
    </row>
    <row r="68" spans="1:6">
      <c r="A68" s="8" t="s">
        <v>1143</v>
      </c>
      <c r="B68" s="8" t="s">
        <v>411</v>
      </c>
      <c r="C68" s="8" t="s">
        <v>1144</v>
      </c>
      <c r="D68" s="8" t="s">
        <v>1145</v>
      </c>
      <c r="E68" s="8" t="s">
        <v>1146</v>
      </c>
      <c r="F68" s="8" t="s">
        <v>1147</v>
      </c>
    </row>
    <row r="69" spans="1:6">
      <c r="A69" s="8" t="s">
        <v>1148</v>
      </c>
      <c r="B69" s="8" t="s">
        <v>417</v>
      </c>
      <c r="C69" s="8" t="s">
        <v>1149</v>
      </c>
      <c r="D69" s="8" t="s">
        <v>1150</v>
      </c>
      <c r="E69" s="8" t="s">
        <v>1151</v>
      </c>
      <c r="F69" s="8" t="s">
        <v>1152</v>
      </c>
    </row>
    <row r="70" spans="1:6">
      <c r="A70" s="8" t="s">
        <v>1153</v>
      </c>
      <c r="B70" s="8" t="s">
        <v>423</v>
      </c>
      <c r="C70" s="8" t="s">
        <v>1154</v>
      </c>
      <c r="D70" s="8" t="s">
        <v>1155</v>
      </c>
      <c r="E70" s="8" t="s">
        <v>1156</v>
      </c>
      <c r="F70" s="8" t="s">
        <v>1157</v>
      </c>
    </row>
    <row r="71" spans="1:6">
      <c r="A71" s="8" t="s">
        <v>1158</v>
      </c>
      <c r="B71" s="8" t="s">
        <v>429</v>
      </c>
      <c r="C71" s="8" t="s">
        <v>1159</v>
      </c>
      <c r="D71" s="8" t="s">
        <v>1160</v>
      </c>
      <c r="E71" s="8" t="s">
        <v>1161</v>
      </c>
      <c r="F71" s="8" t="s">
        <v>1162</v>
      </c>
    </row>
    <row r="72" spans="1:6">
      <c r="A72" s="8" t="s">
        <v>1163</v>
      </c>
      <c r="B72" s="8" t="s">
        <v>435</v>
      </c>
      <c r="C72" s="8" t="s">
        <v>1164</v>
      </c>
      <c r="D72" s="8" t="s">
        <v>1165</v>
      </c>
      <c r="E72" s="8" t="s">
        <v>1166</v>
      </c>
      <c r="F72" s="8" t="s">
        <v>1167</v>
      </c>
    </row>
    <row r="73" spans="1:6">
      <c r="A73" s="8" t="s">
        <v>1168</v>
      </c>
      <c r="B73" s="8" t="s">
        <v>441</v>
      </c>
      <c r="C73" s="8" t="s">
        <v>1169</v>
      </c>
      <c r="D73" s="8" t="s">
        <v>1170</v>
      </c>
      <c r="E73" s="8" t="s">
        <v>1171</v>
      </c>
      <c r="F73" s="8" t="s">
        <v>1172</v>
      </c>
    </row>
    <row r="74" spans="1:6">
      <c r="A74" s="8" t="s">
        <v>1173</v>
      </c>
      <c r="B74" s="8" t="s">
        <v>447</v>
      </c>
      <c r="C74" s="8" t="s">
        <v>1174</v>
      </c>
      <c r="D74" s="8" t="s">
        <v>1175</v>
      </c>
      <c r="E74" s="8" t="s">
        <v>1176</v>
      </c>
      <c r="F74" s="8" t="s">
        <v>1177</v>
      </c>
    </row>
    <row r="75" spans="1:6">
      <c r="A75" s="8" t="s">
        <v>1178</v>
      </c>
      <c r="B75" s="8" t="s">
        <v>453</v>
      </c>
      <c r="C75" s="8" t="s">
        <v>1179</v>
      </c>
      <c r="D75" s="8" t="s">
        <v>1180</v>
      </c>
      <c r="E75" s="8" t="s">
        <v>1181</v>
      </c>
      <c r="F75" s="8" t="s">
        <v>1182</v>
      </c>
    </row>
    <row r="76" spans="1:6">
      <c r="A76" s="8" t="s">
        <v>1183</v>
      </c>
      <c r="B76" s="8" t="s">
        <v>459</v>
      </c>
      <c r="C76" s="8" t="s">
        <v>1184</v>
      </c>
      <c r="D76" s="8" t="s">
        <v>1185</v>
      </c>
      <c r="E76" s="8" t="s">
        <v>1186</v>
      </c>
      <c r="F76" s="8" t="s">
        <v>1187</v>
      </c>
    </row>
    <row r="77" spans="1:6">
      <c r="A77" s="8" t="s">
        <v>1188</v>
      </c>
      <c r="B77" s="8" t="s">
        <v>465</v>
      </c>
      <c r="C77" s="8" t="s">
        <v>1189</v>
      </c>
      <c r="D77" s="8" t="s">
        <v>1190</v>
      </c>
      <c r="E77" s="8" t="s">
        <v>1191</v>
      </c>
      <c r="F77" s="8" t="s">
        <v>1192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7:AG167"/>
  <sheetViews>
    <sheetView tabSelected="1" topLeftCell="F52" workbookViewId="0">
      <selection activeCell="P86" sqref="P86"/>
    </sheetView>
  </sheetViews>
  <sheetFormatPr defaultRowHeight="14.4"/>
  <sheetData>
    <row r="7" spans="1:33">
      <c r="C7" s="1" t="s">
        <v>3</v>
      </c>
      <c r="I7" s="2" t="s">
        <v>4</v>
      </c>
      <c r="N7" s="1" t="s">
        <v>3</v>
      </c>
      <c r="S7" s="2" t="s">
        <v>4</v>
      </c>
    </row>
    <row r="8" spans="1:33">
      <c r="AD8" s="3" t="s">
        <v>5</v>
      </c>
    </row>
    <row r="9" spans="1:33">
      <c r="A9" t="s">
        <v>0</v>
      </c>
      <c r="B9" t="s">
        <v>1</v>
      </c>
      <c r="C9" s="8" t="s">
        <v>2</v>
      </c>
      <c r="D9" s="8" t="s">
        <v>17</v>
      </c>
      <c r="E9" s="8" t="s">
        <v>18</v>
      </c>
      <c r="F9" s="8" t="s">
        <v>19</v>
      </c>
      <c r="G9" t="s">
        <v>0</v>
      </c>
      <c r="H9" t="s">
        <v>1</v>
      </c>
      <c r="I9" t="s">
        <v>2</v>
      </c>
      <c r="J9" t="s">
        <v>17</v>
      </c>
      <c r="K9" t="s">
        <v>18</v>
      </c>
      <c r="L9" t="s">
        <v>19</v>
      </c>
      <c r="M9" t="s">
        <v>0</v>
      </c>
      <c r="N9" t="s">
        <v>1</v>
      </c>
      <c r="O9" s="8" t="s">
        <v>2</v>
      </c>
      <c r="P9" s="8" t="s">
        <v>17</v>
      </c>
      <c r="Q9" s="8" t="s">
        <v>18</v>
      </c>
      <c r="R9" s="8" t="s">
        <v>19</v>
      </c>
      <c r="U9" t="s">
        <v>1193</v>
      </c>
      <c r="AD9" s="4" t="s">
        <v>6</v>
      </c>
    </row>
    <row r="10" spans="1:33">
      <c r="A10">
        <v>6852.9210090636998</v>
      </c>
      <c r="B10">
        <v>0</v>
      </c>
      <c r="C10" s="8">
        <v>0.89962430975013297</v>
      </c>
      <c r="D10" s="8">
        <v>0.94716024124629705</v>
      </c>
      <c r="E10" s="8">
        <v>0.99643965347156205</v>
      </c>
      <c r="F10" s="8">
        <v>0.98719412637262904</v>
      </c>
      <c r="G10">
        <v>518.87726783751998</v>
      </c>
      <c r="H10">
        <v>0</v>
      </c>
      <c r="I10">
        <v>0.910087963478454</v>
      </c>
      <c r="J10" s="8">
        <v>0.952927803200326</v>
      </c>
      <c r="K10" s="8">
        <v>0.99631266189242695</v>
      </c>
      <c r="L10" s="8">
        <v>0.99018345891250703</v>
      </c>
      <c r="M10">
        <v>3987.0545864105002</v>
      </c>
      <c r="N10">
        <v>0</v>
      </c>
      <c r="O10" s="8">
        <v>0.830151302448915</v>
      </c>
      <c r="P10" s="8">
        <v>0.90719417715693196</v>
      </c>
      <c r="Q10" s="8">
        <v>0.88364409171661495</v>
      </c>
      <c r="R10" s="8">
        <v>0.99163683928121205</v>
      </c>
      <c r="S10" t="s">
        <v>0</v>
      </c>
      <c r="T10" t="s">
        <v>1</v>
      </c>
      <c r="U10" s="8" t="s">
        <v>2</v>
      </c>
      <c r="V10" s="8" t="s">
        <v>17</v>
      </c>
      <c r="W10" s="8" t="s">
        <v>18</v>
      </c>
      <c r="X10" s="8" t="s">
        <v>19</v>
      </c>
      <c r="AA10" s="5" t="s">
        <v>7</v>
      </c>
      <c r="AF10" s="2" t="s">
        <v>4</v>
      </c>
    </row>
    <row r="11" spans="1:33">
      <c r="A11">
        <v>16682.604789733999</v>
      </c>
      <c r="B11">
        <v>1</v>
      </c>
      <c r="C11" s="8">
        <v>0.90639783735075397</v>
      </c>
      <c r="D11" s="8">
        <v>0.95090103397341197</v>
      </c>
      <c r="E11" s="8">
        <v>0.99404874362365303</v>
      </c>
      <c r="F11" s="8">
        <v>0.98539120354615695</v>
      </c>
      <c r="G11">
        <v>44.306516647339002</v>
      </c>
      <c r="H11">
        <v>1</v>
      </c>
      <c r="I11" s="8">
        <v>0.92036943955767703</v>
      </c>
      <c r="J11" s="8">
        <v>0.95853372856179997</v>
      </c>
      <c r="K11" s="8">
        <v>0.99591398288087996</v>
      </c>
      <c r="L11" s="8">
        <v>0.98660771235145395</v>
      </c>
      <c r="M11">
        <v>59288.151264191001</v>
      </c>
      <c r="N11">
        <v>1</v>
      </c>
      <c r="O11" s="8">
        <v>0.82138621637541698</v>
      </c>
      <c r="P11" s="8">
        <v>0.90193525018541798</v>
      </c>
      <c r="Q11" s="8">
        <v>0.87521549199122906</v>
      </c>
      <c r="R11" s="8">
        <v>0.99157124990043899</v>
      </c>
      <c r="S11">
        <v>528.47409248352005</v>
      </c>
      <c r="T11">
        <v>0</v>
      </c>
      <c r="U11" s="8">
        <v>0.92470664034654804</v>
      </c>
      <c r="V11" s="8">
        <v>0.96088060482822701</v>
      </c>
      <c r="W11" s="8">
        <v>0.98951884993398798</v>
      </c>
      <c r="X11" s="8">
        <v>0.98952464055354095</v>
      </c>
      <c r="Z11" t="s">
        <v>0</v>
      </c>
      <c r="AA11" t="s">
        <v>1</v>
      </c>
      <c r="AB11" t="s">
        <v>2</v>
      </c>
      <c r="AE11" t="s">
        <v>0</v>
      </c>
      <c r="AF11" t="s">
        <v>1</v>
      </c>
      <c r="AG11" t="s">
        <v>2</v>
      </c>
    </row>
    <row r="12" spans="1:33">
      <c r="A12">
        <v>9257.3592662811006</v>
      </c>
      <c r="B12">
        <v>2</v>
      </c>
      <c r="C12" s="8">
        <v>0.90342800137720303</v>
      </c>
      <c r="D12" s="8">
        <v>0.94926417045828704</v>
      </c>
      <c r="E12" s="8">
        <v>0.98933650434564002</v>
      </c>
      <c r="F12" s="8">
        <v>0.98959306514703105</v>
      </c>
      <c r="G12">
        <v>26.336431503296001</v>
      </c>
      <c r="H12">
        <v>2</v>
      </c>
      <c r="I12" s="8">
        <v>0.90924168248576198</v>
      </c>
      <c r="J12" s="8">
        <v>0.95246368317494801</v>
      </c>
      <c r="K12" s="8">
        <v>0.998697754724297</v>
      </c>
      <c r="L12" s="8">
        <v>0.98525259105000695</v>
      </c>
      <c r="M12">
        <v>29597.165822982999</v>
      </c>
      <c r="N12">
        <v>2</v>
      </c>
      <c r="O12" s="8">
        <v>0.85497591208394297</v>
      </c>
      <c r="P12" s="8">
        <v>0.92181888348451202</v>
      </c>
      <c r="Q12" s="8">
        <v>0.92040768151964103</v>
      </c>
      <c r="R12" s="8">
        <v>0.98781372230366304</v>
      </c>
      <c r="S12">
        <v>41.107177734375</v>
      </c>
      <c r="T12">
        <v>1</v>
      </c>
      <c r="U12" s="8">
        <v>0.91084391694740796</v>
      </c>
      <c r="V12" s="8">
        <v>0.95334203790175598</v>
      </c>
      <c r="W12" s="8">
        <v>0.996945198716366</v>
      </c>
      <c r="X12" s="8">
        <v>0.98666512866942901</v>
      </c>
      <c r="Z12">
        <v>27154.576539992999</v>
      </c>
      <c r="AA12">
        <v>0</v>
      </c>
      <c r="AB12">
        <v>0.91264049579200002</v>
      </c>
      <c r="AE12">
        <v>708.44483375548998</v>
      </c>
      <c r="AF12">
        <v>0</v>
      </c>
      <c r="AG12">
        <v>0.91780141282197003</v>
      </c>
    </row>
    <row r="13" spans="1:33">
      <c r="A13">
        <v>11879.923343658</v>
      </c>
      <c r="B13">
        <v>3</v>
      </c>
      <c r="C13" s="8">
        <v>0.91855011344776905</v>
      </c>
      <c r="D13" s="8">
        <v>0.95754612507574299</v>
      </c>
      <c r="E13" s="8">
        <v>0.99504941895811905</v>
      </c>
      <c r="F13" s="8">
        <v>0.98972722344708397</v>
      </c>
      <c r="G13">
        <v>24.645090103148998</v>
      </c>
      <c r="H13">
        <v>3</v>
      </c>
      <c r="I13" s="8">
        <v>0.91186539237110797</v>
      </c>
      <c r="J13" s="8">
        <v>0.95390124849763303</v>
      </c>
      <c r="K13" s="8">
        <v>0.98993004999338097</v>
      </c>
      <c r="L13" s="8">
        <v>0.99115285422517496</v>
      </c>
      <c r="M13">
        <v>11892.320394516</v>
      </c>
      <c r="N13">
        <v>3</v>
      </c>
      <c r="O13" s="8">
        <v>0.82871549853715998</v>
      </c>
      <c r="P13" s="8">
        <v>0.906336167873103</v>
      </c>
      <c r="Q13" s="8">
        <v>0.87435791085728798</v>
      </c>
      <c r="R13" s="8">
        <v>0.99252061299561001</v>
      </c>
      <c r="S13">
        <v>26.023149490356001</v>
      </c>
      <c r="T13">
        <v>2</v>
      </c>
      <c r="U13" s="8">
        <v>0.92125607349170802</v>
      </c>
      <c r="V13" s="8">
        <v>0.95901435129093304</v>
      </c>
      <c r="W13" s="8">
        <v>0.99386694019028698</v>
      </c>
      <c r="X13" s="8">
        <v>0.98771840288532597</v>
      </c>
      <c r="Z13">
        <v>18388.057231903</v>
      </c>
      <c r="AA13">
        <v>1</v>
      </c>
      <c r="AB13">
        <v>0.89763580256992004</v>
      </c>
      <c r="AE13">
        <v>237.42008209228999</v>
      </c>
      <c r="AF13">
        <v>1</v>
      </c>
      <c r="AG13">
        <v>0.91729487301824997</v>
      </c>
    </row>
    <row r="14" spans="1:33">
      <c r="A14">
        <v>7096.8432426453001</v>
      </c>
      <c r="B14">
        <v>4</v>
      </c>
      <c r="C14" s="8">
        <v>0.910223841597956</v>
      </c>
      <c r="D14" s="8">
        <v>0.953002283582146</v>
      </c>
      <c r="E14" s="8">
        <v>0.99312611364086301</v>
      </c>
      <c r="F14" s="8">
        <v>0.98753010134435504</v>
      </c>
      <c r="G14">
        <v>24.981260299683001</v>
      </c>
      <c r="H14">
        <v>4</v>
      </c>
      <c r="I14" s="8">
        <v>0.897831333550142</v>
      </c>
      <c r="J14" s="8">
        <v>0.94616557085779696</v>
      </c>
      <c r="K14" s="8">
        <v>0.99197216259916599</v>
      </c>
      <c r="L14" s="8">
        <v>0.98823846358632905</v>
      </c>
      <c r="M14">
        <v>8966.7513370514007</v>
      </c>
      <c r="N14">
        <v>4</v>
      </c>
      <c r="O14" s="8">
        <v>0.83195290265898703</v>
      </c>
      <c r="P14" s="8">
        <v>0.90826887683788105</v>
      </c>
      <c r="Q14" s="8">
        <v>0.88462336915731099</v>
      </c>
      <c r="R14" s="8">
        <v>0.99141264157931996</v>
      </c>
      <c r="S14">
        <v>24.88899230957</v>
      </c>
      <c r="T14">
        <v>3</v>
      </c>
      <c r="U14" s="8">
        <v>0.90761553759419</v>
      </c>
      <c r="V14" s="8">
        <v>0.95157071192535903</v>
      </c>
      <c r="W14" s="8">
        <v>0.99701369890468805</v>
      </c>
      <c r="X14" s="8">
        <v>0.98964045670946099</v>
      </c>
      <c r="Z14">
        <v>20539.702653885</v>
      </c>
      <c r="AA14">
        <v>2</v>
      </c>
      <c r="AB14">
        <v>0.89293012117188997</v>
      </c>
      <c r="AE14">
        <v>249.03869628906</v>
      </c>
      <c r="AF14">
        <v>2</v>
      </c>
      <c r="AG14">
        <v>0.92838062030762003</v>
      </c>
    </row>
    <row r="15" spans="1:33">
      <c r="A15">
        <v>6212.7399444579996</v>
      </c>
      <c r="B15">
        <v>5</v>
      </c>
      <c r="C15" s="8">
        <v>0.91547762643052499</v>
      </c>
      <c r="D15" s="8">
        <v>0.95587399591454303</v>
      </c>
      <c r="E15" s="8">
        <v>0.99762759681969704</v>
      </c>
      <c r="F15" s="8">
        <v>0.98788059856593502</v>
      </c>
      <c r="G15">
        <v>24.793863296508999</v>
      </c>
      <c r="H15">
        <v>5</v>
      </c>
      <c r="I15" s="8">
        <v>0.91855011344776905</v>
      </c>
      <c r="J15" s="8">
        <v>0.95754612507574299</v>
      </c>
      <c r="K15" s="8">
        <v>0.99504941895811905</v>
      </c>
      <c r="L15" s="8">
        <v>0.98972722344708397</v>
      </c>
      <c r="M15">
        <v>5886.5900039672997</v>
      </c>
      <c r="N15">
        <v>5</v>
      </c>
      <c r="O15" s="8">
        <v>0.81906255250042004</v>
      </c>
      <c r="P15" s="8">
        <v>0.90053258627589805</v>
      </c>
      <c r="Q15" s="8">
        <v>0.86632255880859699</v>
      </c>
      <c r="R15" s="8">
        <v>0.99267086272941796</v>
      </c>
      <c r="S15">
        <v>25.722503662108998</v>
      </c>
      <c r="T15">
        <v>4</v>
      </c>
      <c r="U15" s="8">
        <v>0.92738034623217902</v>
      </c>
      <c r="V15" s="8">
        <v>0.96232209490473197</v>
      </c>
      <c r="W15" s="8">
        <v>0.99248704133830101</v>
      </c>
      <c r="X15" s="8">
        <v>0.98857016754956595</v>
      </c>
      <c r="Z15">
        <v>16307.573318481</v>
      </c>
      <c r="AA15">
        <v>3</v>
      </c>
      <c r="AB15">
        <v>0.94148195987828998</v>
      </c>
      <c r="AE15">
        <v>241.14251136780001</v>
      </c>
      <c r="AF15">
        <v>3</v>
      </c>
      <c r="AG15">
        <v>0.92154698822556003</v>
      </c>
    </row>
    <row r="16" spans="1:33">
      <c r="A16">
        <v>5406.8949222564997</v>
      </c>
      <c r="B16">
        <v>6</v>
      </c>
      <c r="C16" s="8">
        <v>0.92168874508397003</v>
      </c>
      <c r="D16" s="8">
        <v>0.95924873103598896</v>
      </c>
      <c r="E16" s="8">
        <v>0.99354961107949102</v>
      </c>
      <c r="F16" s="8">
        <v>0.98827795025945298</v>
      </c>
      <c r="G16">
        <v>27.779817581176999</v>
      </c>
      <c r="H16">
        <v>6</v>
      </c>
      <c r="I16" s="8">
        <v>0.92022546469677402</v>
      </c>
      <c r="J16" s="8">
        <v>0.95845564139739003</v>
      </c>
      <c r="K16" s="8">
        <v>0.995420905423133</v>
      </c>
      <c r="L16" s="8">
        <v>0.98932037055208599</v>
      </c>
      <c r="M16">
        <v>4689.4080638884998</v>
      </c>
      <c r="N16">
        <v>6</v>
      </c>
      <c r="O16" s="8">
        <v>0.77949734258174896</v>
      </c>
      <c r="P16" s="8">
        <v>0.87608711058914002</v>
      </c>
      <c r="Q16" s="8">
        <v>0.83225452761774599</v>
      </c>
      <c r="R16" s="8">
        <v>0.99255030949510004</v>
      </c>
      <c r="S16">
        <v>25.054693222046001</v>
      </c>
      <c r="T16">
        <v>5</v>
      </c>
      <c r="U16" s="8">
        <v>0.917454491832287</v>
      </c>
      <c r="V16" s="8">
        <v>0.95695047339098305</v>
      </c>
      <c r="W16" s="8">
        <v>0.99267834349737605</v>
      </c>
      <c r="X16" s="8">
        <v>0.99011498674873899</v>
      </c>
      <c r="Z16">
        <v>14554.762363434</v>
      </c>
      <c r="AA16">
        <v>4</v>
      </c>
      <c r="AB16">
        <v>0.92210831376742997</v>
      </c>
      <c r="AE16">
        <v>243.49617958069001</v>
      </c>
      <c r="AF16">
        <v>4</v>
      </c>
      <c r="AG16">
        <v>0.94142830510279996</v>
      </c>
    </row>
    <row r="17" spans="1:33">
      <c r="A17">
        <v>5321.7971324921</v>
      </c>
      <c r="B17">
        <v>7</v>
      </c>
      <c r="C17" s="8">
        <v>0.91187394485087203</v>
      </c>
      <c r="D17" s="8">
        <v>0.95390592806263597</v>
      </c>
      <c r="E17" s="8">
        <v>0.98993004999338097</v>
      </c>
      <c r="F17" s="8">
        <v>0.99115390645469104</v>
      </c>
      <c r="G17">
        <v>25.110006332396999</v>
      </c>
      <c r="H17">
        <v>7</v>
      </c>
      <c r="I17" s="8">
        <v>0.93068020008032404</v>
      </c>
      <c r="J17" s="8">
        <v>0.96409565917918805</v>
      </c>
      <c r="K17" s="8">
        <v>0.99648168128723502</v>
      </c>
      <c r="L17" s="8">
        <v>0.99017784796790098</v>
      </c>
      <c r="M17">
        <v>4206.5570354461997</v>
      </c>
      <c r="N17">
        <v>7</v>
      </c>
      <c r="O17" s="8">
        <v>0.83854694390135998</v>
      </c>
      <c r="P17" s="8">
        <v>0.91218442551374801</v>
      </c>
      <c r="Q17" s="8">
        <v>0.88694254296258801</v>
      </c>
      <c r="R17" s="8">
        <v>0.99165244842955302</v>
      </c>
      <c r="S17">
        <v>26.760339736938</v>
      </c>
      <c r="T17">
        <v>6</v>
      </c>
      <c r="U17" s="8">
        <v>0.91857895512231402</v>
      </c>
      <c r="V17" s="8">
        <v>0.95756179610940395</v>
      </c>
      <c r="W17" s="8">
        <v>0.99291732071494099</v>
      </c>
      <c r="X17" s="8">
        <v>0.98835830501633504</v>
      </c>
      <c r="Z17">
        <v>14396.610498427999</v>
      </c>
      <c r="AA17">
        <v>5</v>
      </c>
      <c r="AB17">
        <v>0.91791321938537995</v>
      </c>
      <c r="AE17">
        <v>243.15214157104</v>
      </c>
      <c r="AF17">
        <v>5</v>
      </c>
      <c r="AG17">
        <v>0.89411425274091005</v>
      </c>
    </row>
    <row r="18" spans="1:33">
      <c r="A18">
        <v>5704.3373584746996</v>
      </c>
      <c r="B18">
        <v>8</v>
      </c>
      <c r="C18" s="8">
        <v>0.91085033654015501</v>
      </c>
      <c r="D18" s="8">
        <v>0.95334555419904699</v>
      </c>
      <c r="E18" s="8">
        <v>0.996945198716366</v>
      </c>
      <c r="F18" s="8">
        <v>0.98666621687502098</v>
      </c>
      <c r="G18">
        <v>24.862289428711001</v>
      </c>
      <c r="H18">
        <v>8</v>
      </c>
      <c r="I18" s="8">
        <v>0.90805532226649699</v>
      </c>
      <c r="J18" s="8">
        <v>0.95181236274413294</v>
      </c>
      <c r="K18" s="8">
        <v>0.99757562670540401</v>
      </c>
      <c r="L18" s="8">
        <v>0.98939044717722902</v>
      </c>
      <c r="M18">
        <v>3689.0873908997</v>
      </c>
      <c r="N18">
        <v>8</v>
      </c>
      <c r="O18" s="8">
        <v>0.85760498332431001</v>
      </c>
      <c r="P18" s="8">
        <v>0.92334483490625396</v>
      </c>
      <c r="Q18" s="8">
        <v>0.91887827444465098</v>
      </c>
      <c r="R18" s="8">
        <v>0.98902340543977896</v>
      </c>
      <c r="S18">
        <v>26.602268218993999</v>
      </c>
      <c r="T18">
        <v>7</v>
      </c>
      <c r="U18" s="8">
        <v>0.91921829904364705</v>
      </c>
      <c r="V18" s="8">
        <v>0.95790906068548498</v>
      </c>
      <c r="W18" s="8">
        <v>0.98962410339153595</v>
      </c>
      <c r="X18" s="8">
        <v>0.98961534879389002</v>
      </c>
      <c r="Z18">
        <v>15602.219581604</v>
      </c>
      <c r="AA18">
        <v>6</v>
      </c>
      <c r="AB18">
        <v>0.91092802998329003</v>
      </c>
      <c r="AE18">
        <v>242.94734001160001</v>
      </c>
      <c r="AF18">
        <v>6</v>
      </c>
      <c r="AG18">
        <v>0.92310475583986995</v>
      </c>
    </row>
    <row r="19" spans="1:33">
      <c r="A19">
        <v>4657.1099758148002</v>
      </c>
      <c r="B19">
        <v>9</v>
      </c>
      <c r="C19" s="8">
        <v>0.90838056600943096</v>
      </c>
      <c r="D19" s="8">
        <v>0.95199100450799901</v>
      </c>
      <c r="E19" s="8">
        <v>0.99735036736798299</v>
      </c>
      <c r="F19" s="8">
        <v>0.98495270283650904</v>
      </c>
      <c r="G19">
        <v>24.738550186156999</v>
      </c>
      <c r="H19">
        <v>9</v>
      </c>
      <c r="I19" s="8">
        <v>0.92211274592917702</v>
      </c>
      <c r="J19" s="8">
        <v>0.95947831143840001</v>
      </c>
      <c r="K19" s="8">
        <v>0.99564692640457797</v>
      </c>
      <c r="L19" s="8">
        <v>0.98694808754691499</v>
      </c>
      <c r="M19">
        <v>3803.8053512573001</v>
      </c>
      <c r="N19">
        <v>9</v>
      </c>
      <c r="O19" s="8">
        <v>0.81423843219095404</v>
      </c>
      <c r="P19" s="8">
        <v>0.89760906586863998</v>
      </c>
      <c r="Q19" s="8">
        <v>0.86315634830101196</v>
      </c>
      <c r="R19" s="8">
        <v>0.99254764916493299</v>
      </c>
      <c r="S19">
        <v>25.592088699341002</v>
      </c>
      <c r="T19">
        <v>8</v>
      </c>
      <c r="U19" s="8">
        <v>0.92174448988501401</v>
      </c>
      <c r="V19" s="8">
        <v>0.95927892051889396</v>
      </c>
      <c r="W19" s="8">
        <v>0.996778538400655</v>
      </c>
      <c r="X19" s="8">
        <v>0.98703763893771601</v>
      </c>
      <c r="Z19">
        <v>13114.931344986</v>
      </c>
      <c r="AA19">
        <v>7</v>
      </c>
      <c r="AB19">
        <v>0.91547787345243004</v>
      </c>
      <c r="AE19">
        <v>245.44429779052999</v>
      </c>
      <c r="AF19">
        <v>7</v>
      </c>
      <c r="AG19">
        <v>0.91489639193843997</v>
      </c>
    </row>
    <row r="20" spans="1:33">
      <c r="A20">
        <v>5027.2953510283996</v>
      </c>
      <c r="B20">
        <v>10</v>
      </c>
      <c r="C20" s="8">
        <v>0.90760725786588003</v>
      </c>
      <c r="D20" s="8">
        <v>0.951566161350485</v>
      </c>
      <c r="E20" s="8">
        <v>0.99701369890468805</v>
      </c>
      <c r="F20" s="8">
        <v>0.98963940273212003</v>
      </c>
      <c r="G20">
        <v>25.869369506836001</v>
      </c>
      <c r="H20">
        <v>10</v>
      </c>
      <c r="I20" s="8">
        <v>0.91610492783261799</v>
      </c>
      <c r="J20" s="8">
        <v>0.95621582568430696</v>
      </c>
      <c r="K20" s="8">
        <v>0.99305952269297304</v>
      </c>
      <c r="L20" s="8">
        <v>0.98942115961356902</v>
      </c>
      <c r="M20">
        <v>3887.5648975372001</v>
      </c>
      <c r="N20">
        <v>10</v>
      </c>
      <c r="O20" s="8">
        <v>0.85096045674428999</v>
      </c>
      <c r="P20" s="8">
        <v>0.91947988801561997</v>
      </c>
      <c r="Q20" s="8">
        <v>0.90724207464711604</v>
      </c>
      <c r="R20" s="8">
        <v>0.99035922091403195</v>
      </c>
      <c r="S20">
        <v>27.924776077271002</v>
      </c>
      <c r="T20">
        <v>9</v>
      </c>
      <c r="U20" s="8">
        <v>0.92713778774859401</v>
      </c>
      <c r="V20" s="8">
        <v>0.962191487959702</v>
      </c>
      <c r="W20" s="8">
        <v>0.98912421724470101</v>
      </c>
      <c r="X20" s="8">
        <v>0.99029935176125194</v>
      </c>
      <c r="Z20">
        <v>15649.169206619001</v>
      </c>
      <c r="AA20">
        <v>8</v>
      </c>
      <c r="AB20">
        <v>0.93910511823137999</v>
      </c>
      <c r="AE20">
        <v>244.09079551696999</v>
      </c>
      <c r="AF20">
        <v>8</v>
      </c>
      <c r="AG20">
        <v>0.90897005951841003</v>
      </c>
    </row>
    <row r="21" spans="1:33">
      <c r="A21">
        <v>4301.6393184662002</v>
      </c>
      <c r="B21">
        <v>11</v>
      </c>
      <c r="C21" s="8">
        <v>0.93012958581970895</v>
      </c>
      <c r="D21" s="8">
        <v>0.96380014342372899</v>
      </c>
      <c r="E21" s="8">
        <v>0.99461577961698699</v>
      </c>
      <c r="F21" s="8">
        <v>0.98997873715278595</v>
      </c>
      <c r="G21">
        <v>24.765968322753999</v>
      </c>
      <c r="H21">
        <v>11</v>
      </c>
      <c r="I21" s="8">
        <v>0.89499287849304898</v>
      </c>
      <c r="J21" s="8">
        <v>0.94458706272793103</v>
      </c>
      <c r="K21" s="8">
        <v>0.99668252798069801</v>
      </c>
      <c r="L21" s="8">
        <v>0.98939367082008201</v>
      </c>
      <c r="M21">
        <v>4003.5648345947002</v>
      </c>
      <c r="N21">
        <v>11</v>
      </c>
      <c r="O21" s="8">
        <v>0.862393852313454</v>
      </c>
      <c r="P21" s="8">
        <v>0.92611329364322503</v>
      </c>
      <c r="Q21" s="8">
        <v>0.91563307759288504</v>
      </c>
      <c r="R21" s="8">
        <v>0.990025755351851</v>
      </c>
      <c r="S21">
        <v>25.401830673218001</v>
      </c>
      <c r="T21">
        <v>10</v>
      </c>
      <c r="U21" s="8">
        <v>0.910087963478454</v>
      </c>
      <c r="V21" s="8">
        <v>0.952927803200326</v>
      </c>
      <c r="W21" s="8">
        <v>0.99631266189242695</v>
      </c>
      <c r="X21" s="8">
        <v>0.99018345891250703</v>
      </c>
      <c r="Z21">
        <v>22408.123254776001</v>
      </c>
      <c r="AA21">
        <v>9</v>
      </c>
      <c r="AB21">
        <v>0.89408468669566998</v>
      </c>
      <c r="AE21">
        <v>241.32394790648999</v>
      </c>
      <c r="AF21">
        <v>9</v>
      </c>
      <c r="AG21">
        <v>0.92724374367726003</v>
      </c>
    </row>
    <row r="22" spans="1:33">
      <c r="A22">
        <v>4080.7287693024</v>
      </c>
      <c r="B22">
        <v>12</v>
      </c>
      <c r="C22" s="8">
        <v>0.91340134564703501</v>
      </c>
      <c r="D22" s="8">
        <v>0.95474098805774499</v>
      </c>
      <c r="E22" s="8">
        <v>0.99171920733956898</v>
      </c>
      <c r="F22" s="8">
        <v>0.98871366177894104</v>
      </c>
      <c r="G22">
        <v>25.532722473145</v>
      </c>
      <c r="H22">
        <v>12</v>
      </c>
      <c r="I22" s="8">
        <v>0.91498655220564395</v>
      </c>
      <c r="J22" s="8">
        <v>0.95560624292821295</v>
      </c>
      <c r="K22" s="8">
        <v>0.99712895705429405</v>
      </c>
      <c r="L22" s="8">
        <v>0.98691397820089</v>
      </c>
      <c r="M22">
        <v>4257.4207782744998</v>
      </c>
      <c r="N22">
        <v>12</v>
      </c>
      <c r="O22" s="8">
        <v>0.81428391242089004</v>
      </c>
      <c r="P22" s="8">
        <v>0.89763670045924604</v>
      </c>
      <c r="Q22" s="8">
        <v>0.86467024352580601</v>
      </c>
      <c r="R22" s="8">
        <v>0.991478317667571</v>
      </c>
      <c r="S22">
        <v>26.759386062621999</v>
      </c>
      <c r="T22">
        <v>11</v>
      </c>
      <c r="U22" s="8">
        <v>0.92388509949028796</v>
      </c>
      <c r="V22" s="8">
        <v>0.96043687820552404</v>
      </c>
      <c r="W22" s="8">
        <v>0.99178444947835198</v>
      </c>
      <c r="X22" s="8">
        <v>0.99001954064323805</v>
      </c>
      <c r="Z22">
        <v>13349.583387375</v>
      </c>
      <c r="AA22">
        <v>10</v>
      </c>
      <c r="AB22">
        <v>0.91173183465584995</v>
      </c>
      <c r="AE22">
        <v>244.93122100830001</v>
      </c>
      <c r="AF22">
        <v>10</v>
      </c>
      <c r="AG22">
        <v>0.89961278476607998</v>
      </c>
    </row>
    <row r="23" spans="1:33">
      <c r="A23">
        <v>4114.7189140319997</v>
      </c>
      <c r="B23">
        <v>13</v>
      </c>
      <c r="C23" s="8">
        <v>0.90921745848846702</v>
      </c>
      <c r="D23" s="8">
        <v>0.95245039211855598</v>
      </c>
      <c r="E23" s="8">
        <v>0.998697754724297</v>
      </c>
      <c r="F23" s="8">
        <v>0.98524820455121098</v>
      </c>
      <c r="G23">
        <v>25.86817741394</v>
      </c>
      <c r="H23">
        <v>13</v>
      </c>
      <c r="I23" s="8">
        <v>0.91546416015768595</v>
      </c>
      <c r="J23" s="8">
        <v>0.95586665540358895</v>
      </c>
      <c r="K23" s="8">
        <v>0.99762759681969704</v>
      </c>
      <c r="L23" s="8">
        <v>0.98787843361391103</v>
      </c>
      <c r="M23">
        <v>4132.8139305115001</v>
      </c>
      <c r="N23">
        <v>13</v>
      </c>
      <c r="O23" s="8">
        <v>0.81309401341952103</v>
      </c>
      <c r="P23" s="8">
        <v>0.89691324046237797</v>
      </c>
      <c r="Q23" s="8">
        <v>0.86835179430838905</v>
      </c>
      <c r="R23" s="8">
        <v>0.99105445998141595</v>
      </c>
      <c r="S23">
        <v>27.643442153931002</v>
      </c>
      <c r="T23">
        <v>12</v>
      </c>
      <c r="U23" s="8">
        <v>0.91845199638196096</v>
      </c>
      <c r="V23" s="8">
        <v>0.95749280994685704</v>
      </c>
      <c r="W23" s="8">
        <v>0.99615993721357199</v>
      </c>
      <c r="X23" s="8">
        <v>0.98667137668760396</v>
      </c>
      <c r="Z23">
        <v>13812.323093413999</v>
      </c>
      <c r="AA23">
        <v>11</v>
      </c>
      <c r="AB23">
        <v>0.93198970079020005</v>
      </c>
      <c r="AE23">
        <v>243.91722679137999</v>
      </c>
      <c r="AF23">
        <v>11</v>
      </c>
      <c r="AG23">
        <v>0.89666380969323001</v>
      </c>
    </row>
    <row r="24" spans="1:33">
      <c r="A24">
        <v>3890.0728225707999</v>
      </c>
      <c r="B24">
        <v>14</v>
      </c>
      <c r="C24" s="8">
        <v>0.92036893923686303</v>
      </c>
      <c r="D24" s="8">
        <v>0.95853345722474503</v>
      </c>
      <c r="E24" s="8">
        <v>0.99590718418350999</v>
      </c>
      <c r="F24" s="8">
        <v>0.98660882162732899</v>
      </c>
      <c r="G24">
        <v>25.681495666503999</v>
      </c>
      <c r="H24">
        <v>14</v>
      </c>
      <c r="I24" s="8">
        <v>0.90542593910484503</v>
      </c>
      <c r="J24" s="8">
        <v>0.95036592136475995</v>
      </c>
      <c r="K24" s="8">
        <v>0.99707701431839302</v>
      </c>
      <c r="L24" s="8">
        <v>0.98998272811878996</v>
      </c>
      <c r="M24">
        <v>3971.049785614</v>
      </c>
      <c r="N24">
        <v>14</v>
      </c>
      <c r="O24" s="8">
        <v>0.84068800700124502</v>
      </c>
      <c r="P24" s="8">
        <v>0.91344975770320902</v>
      </c>
      <c r="Q24" s="8">
        <v>0.88833877519082005</v>
      </c>
      <c r="R24" s="8">
        <v>0.99122465993905196</v>
      </c>
      <c r="S24">
        <v>25.014162063598999</v>
      </c>
      <c r="T24">
        <v>13</v>
      </c>
      <c r="U24" s="8">
        <v>0.92044598359012597</v>
      </c>
      <c r="V24" s="8">
        <v>0.95857523872597805</v>
      </c>
      <c r="W24" s="8">
        <v>0.99466662682821105</v>
      </c>
      <c r="X24" s="8">
        <v>0.98819834219231995</v>
      </c>
      <c r="Z24">
        <v>13916.531801224</v>
      </c>
      <c r="AA24">
        <v>12</v>
      </c>
      <c r="AB24">
        <v>0.90332067915397996</v>
      </c>
      <c r="AE24">
        <v>241.54376983642999</v>
      </c>
      <c r="AF24">
        <v>12</v>
      </c>
      <c r="AG24">
        <v>0.91097098770121998</v>
      </c>
    </row>
    <row r="25" spans="1:33">
      <c r="A25">
        <v>3832.8216075896999</v>
      </c>
      <c r="B25">
        <v>15</v>
      </c>
      <c r="C25" s="8">
        <v>0.91851216187955598</v>
      </c>
      <c r="D25" s="8">
        <v>0.957525503491929</v>
      </c>
      <c r="E25" s="8">
        <v>0.99538144136540496</v>
      </c>
      <c r="F25" s="8">
        <v>0.988367546007338</v>
      </c>
      <c r="G25">
        <v>25.143384933471999</v>
      </c>
      <c r="H25">
        <v>15</v>
      </c>
      <c r="I25" s="8">
        <v>0.92168874508397003</v>
      </c>
      <c r="J25" s="8">
        <v>0.95924873103598896</v>
      </c>
      <c r="K25" s="8">
        <v>0.99354961107949102</v>
      </c>
      <c r="L25" s="8">
        <v>0.98827795025945298</v>
      </c>
      <c r="M25">
        <v>4065.1419162749999</v>
      </c>
      <c r="N25">
        <v>15</v>
      </c>
      <c r="O25" s="8">
        <v>0.80235392776347603</v>
      </c>
      <c r="P25" s="8">
        <v>0.89034003300240705</v>
      </c>
      <c r="Q25" s="8">
        <v>0.87142040159281497</v>
      </c>
      <c r="R25" s="8">
        <v>0.99148144111210701</v>
      </c>
      <c r="S25">
        <v>28.335809707641999</v>
      </c>
      <c r="T25">
        <v>14</v>
      </c>
      <c r="U25" s="8">
        <v>0.91419224495848095</v>
      </c>
      <c r="V25" s="8">
        <v>0.95517286455030004</v>
      </c>
      <c r="W25" s="8">
        <v>0.99426492228919305</v>
      </c>
      <c r="X25" s="8">
        <v>0.99084648427048905</v>
      </c>
      <c r="Z25">
        <v>13027.921676636</v>
      </c>
      <c r="AA25">
        <v>13</v>
      </c>
      <c r="AB25">
        <v>0.92013028166189004</v>
      </c>
      <c r="AE25">
        <v>241.39285087585</v>
      </c>
      <c r="AF25">
        <v>13</v>
      </c>
      <c r="AG25">
        <v>0.91831257442022995</v>
      </c>
    </row>
    <row r="26" spans="1:33">
      <c r="A26">
        <v>3827.6836872100998</v>
      </c>
      <c r="B26">
        <v>16</v>
      </c>
      <c r="C26" s="8">
        <v>0.90449843637238303</v>
      </c>
      <c r="D26" s="8">
        <v>0.94985474295819095</v>
      </c>
      <c r="E26" s="8">
        <v>0.99142522649847598</v>
      </c>
      <c r="F26" s="8">
        <v>0.99044626390413504</v>
      </c>
      <c r="G26">
        <v>25.060653686523001</v>
      </c>
      <c r="H26">
        <v>16</v>
      </c>
      <c r="I26" s="8">
        <v>0.91419224495848095</v>
      </c>
      <c r="J26" s="8">
        <v>0.95517286455030004</v>
      </c>
      <c r="K26" s="8">
        <v>0.99426492228919305</v>
      </c>
      <c r="L26" s="8">
        <v>0.99084648427048905</v>
      </c>
      <c r="M26">
        <v>3948.5707283020001</v>
      </c>
      <c r="N26">
        <v>16</v>
      </c>
      <c r="O26" s="8">
        <v>0.83700486448922795</v>
      </c>
      <c r="P26" s="8">
        <v>0.91127125536703901</v>
      </c>
      <c r="Q26" s="8">
        <v>0.90440299978411998</v>
      </c>
      <c r="R26" s="8">
        <v>0.99089311968238902</v>
      </c>
      <c r="S26">
        <v>25.141954421996999</v>
      </c>
      <c r="T26">
        <v>15</v>
      </c>
      <c r="U26" s="8">
        <v>0.91546416015768595</v>
      </c>
      <c r="V26" s="8">
        <v>0.95586665540358895</v>
      </c>
      <c r="W26" s="8">
        <v>0.99762759681969704</v>
      </c>
      <c r="X26" s="8">
        <v>0.98787843361391103</v>
      </c>
      <c r="Z26">
        <v>13487.979650497</v>
      </c>
      <c r="AA26">
        <v>14</v>
      </c>
      <c r="AB26">
        <v>0.93646462259082996</v>
      </c>
      <c r="AE26">
        <v>244.26364898681999</v>
      </c>
      <c r="AF26">
        <v>14</v>
      </c>
      <c r="AG26">
        <v>0.90529971785437002</v>
      </c>
    </row>
    <row r="27" spans="1:33">
      <c r="A27">
        <v>3776.1502265929998</v>
      </c>
      <c r="B27">
        <v>17</v>
      </c>
      <c r="C27" s="8">
        <v>0.92247196313132096</v>
      </c>
      <c r="D27" s="8">
        <v>0.95967273471057402</v>
      </c>
      <c r="E27" s="8">
        <v>0.99251988492130605</v>
      </c>
      <c r="F27" s="8">
        <v>0.99035464468892798</v>
      </c>
      <c r="G27">
        <v>25.075674057006999</v>
      </c>
      <c r="H27">
        <v>17</v>
      </c>
      <c r="I27" s="8">
        <v>0.92713778774859401</v>
      </c>
      <c r="J27" s="8">
        <v>0.962191487959702</v>
      </c>
      <c r="K27" s="8">
        <v>0.98912421724470101</v>
      </c>
      <c r="L27" s="8">
        <v>0.99029935176125194</v>
      </c>
      <c r="M27">
        <v>5025.1007080077998</v>
      </c>
      <c r="N27">
        <v>17</v>
      </c>
      <c r="O27" s="8">
        <v>0.85129722642171801</v>
      </c>
      <c r="P27" s="8">
        <v>0.91967644554532002</v>
      </c>
      <c r="Q27" s="8">
        <v>0.91654066897062403</v>
      </c>
      <c r="R27" s="8">
        <v>0.98918867743845096</v>
      </c>
      <c r="S27">
        <v>25.549650192261002</v>
      </c>
      <c r="T27">
        <v>16</v>
      </c>
      <c r="U27" s="8">
        <v>0.89499287849304898</v>
      </c>
      <c r="V27" s="8">
        <v>0.94458706272793103</v>
      </c>
      <c r="W27" s="8">
        <v>0.99668252798069801</v>
      </c>
      <c r="X27" s="8">
        <v>0.98939367082008201</v>
      </c>
      <c r="Z27">
        <v>12907.074928284001</v>
      </c>
      <c r="AA27">
        <v>15</v>
      </c>
      <c r="AB27">
        <v>0.90383199464524999</v>
      </c>
      <c r="AE27">
        <v>238.43693733214999</v>
      </c>
      <c r="AF27">
        <v>15</v>
      </c>
      <c r="AG27">
        <v>0.91567316521594</v>
      </c>
    </row>
    <row r="28" spans="1:33">
      <c r="A28">
        <v>3706.6402435302998</v>
      </c>
      <c r="B28">
        <v>18</v>
      </c>
      <c r="C28" s="8">
        <v>0.92388509949028796</v>
      </c>
      <c r="D28" s="8">
        <v>0.96043687820552404</v>
      </c>
      <c r="E28" s="8">
        <v>0.99178444947835198</v>
      </c>
      <c r="F28" s="8">
        <v>0.99001954064323805</v>
      </c>
      <c r="G28">
        <v>25.426387786865</v>
      </c>
      <c r="H28">
        <v>18</v>
      </c>
      <c r="I28" s="8">
        <v>0.91601632236674302</v>
      </c>
      <c r="J28" s="8">
        <v>0.95616755627137995</v>
      </c>
      <c r="K28" s="8">
        <v>0.99279253132104595</v>
      </c>
      <c r="L28" s="8">
        <v>0.98658096065230905</v>
      </c>
      <c r="M28">
        <v>3858.5159778594998</v>
      </c>
      <c r="N28">
        <v>18</v>
      </c>
      <c r="O28" s="8">
        <v>0.84036168167740499</v>
      </c>
      <c r="P28" s="8">
        <v>0.91325709510692898</v>
      </c>
      <c r="Q28" s="8">
        <v>0.89506411568881705</v>
      </c>
      <c r="R28" s="8">
        <v>0.99063602794792205</v>
      </c>
      <c r="S28">
        <v>26.713132858276001</v>
      </c>
      <c r="T28">
        <v>17</v>
      </c>
      <c r="U28" s="8">
        <v>0.91849891471302902</v>
      </c>
      <c r="V28" s="8">
        <v>0.95751830524274095</v>
      </c>
      <c r="W28" s="8">
        <v>0.99538144136540496</v>
      </c>
      <c r="X28" s="8">
        <v>0.98836537354417797</v>
      </c>
      <c r="Z28">
        <v>13666.136980056999</v>
      </c>
      <c r="AA28">
        <v>16</v>
      </c>
      <c r="AB28">
        <v>0.92538372315627004</v>
      </c>
      <c r="AE28">
        <v>241.12725257874001</v>
      </c>
      <c r="AF28">
        <v>16</v>
      </c>
      <c r="AG28">
        <v>0.93141616116228998</v>
      </c>
    </row>
    <row r="29" spans="1:33">
      <c r="A29">
        <v>3993.3643341063998</v>
      </c>
      <c r="B29">
        <v>19</v>
      </c>
      <c r="C29" s="8">
        <v>0.91086923489095495</v>
      </c>
      <c r="D29" s="8">
        <v>0.953355905531583</v>
      </c>
      <c r="E29" s="8">
        <v>0.99180577688375604</v>
      </c>
      <c r="F29" s="8">
        <v>0.98907189268093099</v>
      </c>
      <c r="G29">
        <v>24.827003479003999</v>
      </c>
      <c r="H29">
        <v>19</v>
      </c>
      <c r="I29" s="8">
        <v>0.88390181543493196</v>
      </c>
      <c r="J29" s="8">
        <v>0.93837354812556095</v>
      </c>
      <c r="K29" s="8">
        <v>0.98241486525136701</v>
      </c>
      <c r="L29" s="8">
        <v>0.98715151953490199</v>
      </c>
      <c r="M29">
        <v>3800.6362915038999</v>
      </c>
      <c r="N29">
        <v>19</v>
      </c>
      <c r="O29" s="8">
        <v>0.80731317751798004</v>
      </c>
      <c r="P29" s="8">
        <v>0.89338492914291601</v>
      </c>
      <c r="Q29" s="8">
        <v>0.86770277820102504</v>
      </c>
      <c r="R29" s="8">
        <v>0.99224948980719496</v>
      </c>
      <c r="S29">
        <v>26.226758956908998</v>
      </c>
      <c r="T29">
        <v>18</v>
      </c>
      <c r="U29" s="8">
        <v>0.91937003010885499</v>
      </c>
      <c r="V29" s="8">
        <v>0.95799144061524599</v>
      </c>
      <c r="W29" s="8">
        <v>0.99658560262439899</v>
      </c>
      <c r="X29" s="8">
        <v>0.98919793947143497</v>
      </c>
      <c r="Z29">
        <v>18603.63817215</v>
      </c>
      <c r="AA29">
        <v>17</v>
      </c>
      <c r="AB29">
        <v>0.92153012204621998</v>
      </c>
      <c r="AE29">
        <v>239.51673507690001</v>
      </c>
      <c r="AF29">
        <v>17</v>
      </c>
      <c r="AG29">
        <v>0.91395767773184999</v>
      </c>
    </row>
    <row r="30" spans="1:33">
      <c r="A30">
        <v>4040.0502681732</v>
      </c>
      <c r="B30">
        <v>20</v>
      </c>
      <c r="C30" s="8">
        <v>0.89019443415176303</v>
      </c>
      <c r="D30" s="8">
        <v>0.94190779325963203</v>
      </c>
      <c r="E30" s="8">
        <v>0.99216423587714897</v>
      </c>
      <c r="F30" s="8">
        <v>0.98898137287494103</v>
      </c>
      <c r="G30">
        <v>25.275230407715</v>
      </c>
      <c r="H30">
        <v>20</v>
      </c>
      <c r="I30" s="8">
        <v>0.90838056600943096</v>
      </c>
      <c r="J30" s="8">
        <v>0.95199100450799901</v>
      </c>
      <c r="K30" s="8">
        <v>0.99735036736798299</v>
      </c>
      <c r="L30" s="8">
        <v>0.98495270283650904</v>
      </c>
      <c r="M30">
        <v>3703.1781673431001</v>
      </c>
      <c r="N30">
        <v>20</v>
      </c>
      <c r="O30" s="8">
        <v>0.80114879649890502</v>
      </c>
      <c r="P30" s="8">
        <v>0.889597570235383</v>
      </c>
      <c r="Q30" s="8">
        <v>0.86683227808369001</v>
      </c>
      <c r="R30" s="8">
        <v>0.99024405860821496</v>
      </c>
      <c r="S30">
        <v>26.793003082275</v>
      </c>
      <c r="T30">
        <v>19</v>
      </c>
      <c r="U30" s="8">
        <v>0.92296453009817803</v>
      </c>
      <c r="V30" s="8">
        <v>0.95993921432451501</v>
      </c>
      <c r="W30" s="8">
        <v>0.99307141282001998</v>
      </c>
      <c r="X30" s="8">
        <v>0.98824007515426704</v>
      </c>
      <c r="Z30">
        <v>17592.336177826</v>
      </c>
      <c r="AA30">
        <v>18</v>
      </c>
      <c r="AB30">
        <v>0.90296374879338004</v>
      </c>
      <c r="AE30">
        <v>245.59760093688999</v>
      </c>
      <c r="AF30">
        <v>18</v>
      </c>
      <c r="AG30">
        <v>0.92156318932934</v>
      </c>
    </row>
    <row r="31" spans="1:33">
      <c r="A31">
        <v>4536.2510681151998</v>
      </c>
      <c r="B31">
        <v>21</v>
      </c>
      <c r="C31" s="8">
        <v>0.90712941898816801</v>
      </c>
      <c r="D31" s="8">
        <v>0.95130347207317201</v>
      </c>
      <c r="E31" s="8">
        <v>0.99475169836076804</v>
      </c>
      <c r="F31" s="8">
        <v>0.98800294619337403</v>
      </c>
      <c r="G31">
        <v>24.807929992676002</v>
      </c>
      <c r="H31">
        <v>21</v>
      </c>
      <c r="I31" s="8">
        <v>0.89962430975013297</v>
      </c>
      <c r="J31" s="8">
        <v>0.94716024124629705</v>
      </c>
      <c r="K31" s="8">
        <v>0.99643965347156205</v>
      </c>
      <c r="L31" s="8">
        <v>0.98719412637262904</v>
      </c>
      <c r="M31">
        <v>3768.8848972320998</v>
      </c>
      <c r="N31">
        <v>21</v>
      </c>
      <c r="O31" s="8">
        <v>0.82996925343737504</v>
      </c>
      <c r="P31" s="8">
        <v>0.90708546264193102</v>
      </c>
      <c r="Q31" s="8">
        <v>0.87394126494102697</v>
      </c>
      <c r="R31" s="8">
        <v>0.99274271723596497</v>
      </c>
      <c r="S31">
        <v>25.728464126586999</v>
      </c>
      <c r="T31">
        <v>20</v>
      </c>
      <c r="U31" s="8">
        <v>0.90542593910484503</v>
      </c>
      <c r="V31" s="8">
        <v>0.95036592136475995</v>
      </c>
      <c r="W31" s="8">
        <v>0.99707701431839302</v>
      </c>
      <c r="X31" s="8">
        <v>0.98998272811878996</v>
      </c>
      <c r="Z31">
        <v>13769.920825957999</v>
      </c>
      <c r="AA31">
        <v>19</v>
      </c>
      <c r="AB31">
        <v>0.89215879503325002</v>
      </c>
      <c r="AE31">
        <v>239.57228660582999</v>
      </c>
      <c r="AF31">
        <v>19</v>
      </c>
      <c r="AG31">
        <v>0.91794417928375005</v>
      </c>
    </row>
    <row r="32" spans="1:33">
      <c r="A32">
        <v>4138.9389038086001</v>
      </c>
      <c r="B32">
        <v>22</v>
      </c>
      <c r="C32" s="8">
        <v>0.910979153506001</v>
      </c>
      <c r="D32" s="8">
        <v>0.95341610800375498</v>
      </c>
      <c r="E32" s="8">
        <v>0.99233881696653803</v>
      </c>
      <c r="F32" s="8">
        <v>0.98964010706854599</v>
      </c>
      <c r="G32">
        <v>26.246786117553999</v>
      </c>
      <c r="H32">
        <v>22</v>
      </c>
      <c r="I32" s="8">
        <v>0.90448973307930602</v>
      </c>
      <c r="J32" s="8">
        <v>0.94984994391843403</v>
      </c>
      <c r="K32" s="8">
        <v>0.99142522649847598</v>
      </c>
      <c r="L32" s="8">
        <v>0.99044521542563502</v>
      </c>
      <c r="M32">
        <v>3835.0470066070998</v>
      </c>
      <c r="N32">
        <v>22</v>
      </c>
      <c r="O32" s="8">
        <v>0.803889649625111</v>
      </c>
      <c r="P32" s="8">
        <v>0.89128472996358399</v>
      </c>
      <c r="Q32" s="8">
        <v>0.85478500809465097</v>
      </c>
      <c r="R32" s="8">
        <v>0.99345723686633403</v>
      </c>
      <c r="S32">
        <v>25.140285491943001</v>
      </c>
      <c r="T32">
        <v>21</v>
      </c>
      <c r="U32" s="8">
        <v>0.91340134564703501</v>
      </c>
      <c r="V32" s="8">
        <v>0.95474098805774499</v>
      </c>
      <c r="W32" s="8">
        <v>0.99171920733956898</v>
      </c>
      <c r="X32" s="8">
        <v>0.98871366177894104</v>
      </c>
      <c r="Z32">
        <v>13317.996025085</v>
      </c>
      <c r="AA32">
        <v>20</v>
      </c>
      <c r="AB32">
        <v>0.90282431159040999</v>
      </c>
      <c r="AE32">
        <v>240.77177047729</v>
      </c>
      <c r="AF32">
        <v>20</v>
      </c>
      <c r="AG32">
        <v>0.90565532848612995</v>
      </c>
    </row>
    <row r="33" spans="1:33">
      <c r="A33">
        <v>4026.2331962584999</v>
      </c>
      <c r="B33">
        <v>23</v>
      </c>
      <c r="C33" s="8">
        <v>0.91447159748910101</v>
      </c>
      <c r="D33" s="8">
        <v>0.955325321815652</v>
      </c>
      <c r="E33" s="8">
        <v>0.99451298753389195</v>
      </c>
      <c r="F33" s="8">
        <v>0.988190510413261</v>
      </c>
      <c r="G33">
        <v>24.896144866943001</v>
      </c>
      <c r="H33">
        <v>23</v>
      </c>
      <c r="I33" s="8">
        <v>0.91937003010885499</v>
      </c>
      <c r="J33" s="8">
        <v>0.95799144061524599</v>
      </c>
      <c r="K33" s="8">
        <v>0.99658560262439899</v>
      </c>
      <c r="L33" s="8">
        <v>0.98919793947143497</v>
      </c>
      <c r="M33">
        <v>3677.7656078339</v>
      </c>
      <c r="N33">
        <v>23</v>
      </c>
      <c r="O33" s="8">
        <v>0.82904783523876302</v>
      </c>
      <c r="P33" s="8">
        <v>0.90653488582001895</v>
      </c>
      <c r="Q33" s="8">
        <v>0.87954286715123897</v>
      </c>
      <c r="R33" s="8">
        <v>0.99255660936700596</v>
      </c>
      <c r="S33">
        <v>30.47251701355</v>
      </c>
      <c r="T33">
        <v>22</v>
      </c>
      <c r="U33" s="8">
        <v>0.91610492783261799</v>
      </c>
      <c r="V33" s="8">
        <v>0.95621582568430696</v>
      </c>
      <c r="W33" s="8">
        <v>0.99305952269297304</v>
      </c>
      <c r="X33" s="8">
        <v>0.98942115961356902</v>
      </c>
      <c r="Z33">
        <v>13707.19575882</v>
      </c>
      <c r="AA33">
        <v>21</v>
      </c>
      <c r="AB33">
        <v>0.92482364496830005</v>
      </c>
      <c r="AE33">
        <v>244.12703514098999</v>
      </c>
      <c r="AF33">
        <v>21</v>
      </c>
      <c r="AG33">
        <v>0.91375341095477003</v>
      </c>
    </row>
    <row r="34" spans="1:33">
      <c r="A34">
        <v>4194.4518089293997</v>
      </c>
      <c r="B34">
        <v>24</v>
      </c>
      <c r="C34" s="8">
        <v>0.91261212187238905</v>
      </c>
      <c r="D34" s="8">
        <v>0.95430967046153603</v>
      </c>
      <c r="E34" s="8">
        <v>0.99572873082287305</v>
      </c>
      <c r="F34" s="8">
        <v>0.98753989661572605</v>
      </c>
      <c r="G34">
        <v>25.423765182495</v>
      </c>
      <c r="H34">
        <v>24</v>
      </c>
      <c r="I34" s="8">
        <v>0.91857895512231402</v>
      </c>
      <c r="J34" s="8">
        <v>0.95756179610940395</v>
      </c>
      <c r="K34" s="8">
        <v>0.99291732071494099</v>
      </c>
      <c r="L34" s="8">
        <v>0.98835830501633504</v>
      </c>
      <c r="M34">
        <v>3951.3468742371001</v>
      </c>
      <c r="N34">
        <v>24</v>
      </c>
      <c r="O34" s="8">
        <v>0.84779190593382503</v>
      </c>
      <c r="P34" s="8">
        <v>0.91762703712610205</v>
      </c>
      <c r="Q34" s="8">
        <v>0.90729184194546597</v>
      </c>
      <c r="R34" s="8">
        <v>0.98948007926403303</v>
      </c>
      <c r="S34">
        <v>26.216745376586999</v>
      </c>
      <c r="T34">
        <v>23</v>
      </c>
      <c r="U34" s="8">
        <v>0.91500783753415904</v>
      </c>
      <c r="V34" s="8">
        <v>0.95561785137376698</v>
      </c>
      <c r="W34" s="8">
        <v>0.99566034460637398</v>
      </c>
      <c r="X34" s="8">
        <v>0.98725107168938797</v>
      </c>
      <c r="Z34">
        <v>13719.106197356999</v>
      </c>
      <c r="AA34">
        <v>22</v>
      </c>
      <c r="AB34">
        <v>0.90652235029519002</v>
      </c>
      <c r="AE34">
        <v>239.25614356995001</v>
      </c>
      <c r="AF34">
        <v>22</v>
      </c>
      <c r="AG34">
        <v>0.92512343655312002</v>
      </c>
    </row>
    <row r="35" spans="1:33">
      <c r="A35">
        <v>3950.5014419556001</v>
      </c>
      <c r="B35">
        <v>25</v>
      </c>
      <c r="C35" s="8">
        <v>0.92841732162120505</v>
      </c>
      <c r="D35" s="8">
        <v>0.96288008950333603</v>
      </c>
      <c r="E35" s="8">
        <v>0.99059240815559502</v>
      </c>
      <c r="F35" s="8">
        <v>0.98701564862550695</v>
      </c>
      <c r="G35">
        <v>24.962425231933999</v>
      </c>
      <c r="H35">
        <v>25</v>
      </c>
      <c r="I35" s="8">
        <v>0.90604144252888597</v>
      </c>
      <c r="J35" s="8">
        <v>0.950704871691324</v>
      </c>
      <c r="K35" s="8">
        <v>0.99479481786664303</v>
      </c>
      <c r="L35" s="8">
        <v>0.98920005209386597</v>
      </c>
      <c r="M35">
        <v>3991.4641380309999</v>
      </c>
      <c r="N35">
        <v>25</v>
      </c>
      <c r="O35" s="8">
        <v>0.83183630846531598</v>
      </c>
      <c r="P35" s="8">
        <v>0.90819938945550804</v>
      </c>
      <c r="Q35" s="8">
        <v>0.87806124894164195</v>
      </c>
      <c r="R35" s="8">
        <v>0.992465740072905</v>
      </c>
      <c r="S35">
        <v>25.721788406371999</v>
      </c>
      <c r="T35">
        <v>24</v>
      </c>
      <c r="U35" s="8">
        <v>0.92960867710010797</v>
      </c>
      <c r="V35" s="8">
        <v>0.96352041544211997</v>
      </c>
      <c r="W35" s="8">
        <v>0.99259999559086098</v>
      </c>
      <c r="X35" s="8">
        <v>0.98989473914925497</v>
      </c>
      <c r="Z35">
        <v>15024.798393249999</v>
      </c>
      <c r="AA35">
        <v>23</v>
      </c>
      <c r="AB35">
        <v>0.92732422270124004</v>
      </c>
      <c r="AE35">
        <v>240.07987976074</v>
      </c>
      <c r="AF35">
        <v>23</v>
      </c>
      <c r="AG35">
        <v>0.89295034067170997</v>
      </c>
    </row>
    <row r="36" spans="1:33">
      <c r="A36">
        <v>4307.2066307067998</v>
      </c>
      <c r="B36">
        <v>26</v>
      </c>
      <c r="C36" s="8">
        <v>0.92739805367974104</v>
      </c>
      <c r="D36" s="8">
        <v>0.96233162828941898</v>
      </c>
      <c r="E36" s="8">
        <v>0.99248704133830101</v>
      </c>
      <c r="F36" s="8">
        <v>0.98857349436603603</v>
      </c>
      <c r="G36">
        <v>25.172472000121999</v>
      </c>
      <c r="H36">
        <v>26</v>
      </c>
      <c r="I36" s="8">
        <v>0.93012958581970895</v>
      </c>
      <c r="J36" s="8">
        <v>0.96380014342372899</v>
      </c>
      <c r="K36" s="8">
        <v>0.99461577961698699</v>
      </c>
      <c r="L36" s="8">
        <v>0.98997873715278595</v>
      </c>
      <c r="M36">
        <v>4635.0011825561996</v>
      </c>
      <c r="N36">
        <v>26</v>
      </c>
      <c r="O36" s="8">
        <v>0.82139409622232795</v>
      </c>
      <c r="P36" s="8">
        <v>0.90194000071257996</v>
      </c>
      <c r="Q36" s="8">
        <v>0.874075288958712</v>
      </c>
      <c r="R36" s="8">
        <v>0.99203412781204403</v>
      </c>
      <c r="S36">
        <v>25.134086608886999</v>
      </c>
      <c r="T36">
        <v>25</v>
      </c>
      <c r="U36" s="8">
        <v>0.90448973307930602</v>
      </c>
      <c r="V36" s="8">
        <v>0.94984994391843403</v>
      </c>
      <c r="W36" s="8">
        <v>0.99142522649847598</v>
      </c>
      <c r="X36" s="8">
        <v>0.99044521542563502</v>
      </c>
      <c r="Z36">
        <v>14480.317354201999</v>
      </c>
      <c r="AA36">
        <v>24</v>
      </c>
      <c r="AB36">
        <v>0.92724300020437</v>
      </c>
      <c r="AE36">
        <v>244.30489540100001</v>
      </c>
      <c r="AF36">
        <v>24</v>
      </c>
      <c r="AG36">
        <v>0.90292459141738002</v>
      </c>
    </row>
    <row r="37" spans="1:33">
      <c r="A37">
        <v>3914.9935245513998</v>
      </c>
      <c r="B37">
        <v>27</v>
      </c>
      <c r="C37" s="8">
        <v>0.92471297851194301</v>
      </c>
      <c r="D37" s="8">
        <v>0.96088402669458595</v>
      </c>
      <c r="E37" s="8">
        <v>0.98951884993398798</v>
      </c>
      <c r="F37" s="8">
        <v>0.989525736761101</v>
      </c>
      <c r="G37">
        <v>24.78814125061</v>
      </c>
      <c r="H37">
        <v>27</v>
      </c>
      <c r="I37" s="8">
        <v>0.92246470842672301</v>
      </c>
      <c r="J37" s="8">
        <v>0.95966880888194295</v>
      </c>
      <c r="K37" s="8">
        <v>0.99251988492130605</v>
      </c>
      <c r="L37" s="8">
        <v>0.99035356987777201</v>
      </c>
      <c r="M37">
        <v>4025.3713130951</v>
      </c>
      <c r="N37">
        <v>27</v>
      </c>
      <c r="O37" s="8">
        <v>0.83828739397936003</v>
      </c>
      <c r="P37" s="8">
        <v>0.91203083557539999</v>
      </c>
      <c r="Q37" s="8">
        <v>0.89257062611111904</v>
      </c>
      <c r="R37" s="8">
        <v>0.99052259643031204</v>
      </c>
      <c r="S37">
        <v>25.261402130126999</v>
      </c>
      <c r="T37">
        <v>26</v>
      </c>
      <c r="U37" s="8">
        <v>0.90924168248576198</v>
      </c>
      <c r="V37" s="8">
        <v>0.95246368317494801</v>
      </c>
      <c r="W37" s="8">
        <v>0.998697754724297</v>
      </c>
      <c r="X37" s="8">
        <v>0.98525259105000695</v>
      </c>
      <c r="Z37">
        <v>13447.830438614001</v>
      </c>
      <c r="AA37">
        <v>25</v>
      </c>
      <c r="AB37">
        <v>0.92130360959292001</v>
      </c>
      <c r="AE37">
        <v>240.01336097717001</v>
      </c>
      <c r="AF37">
        <v>25</v>
      </c>
      <c r="AG37">
        <v>0.92217090785110001</v>
      </c>
    </row>
    <row r="38" spans="1:33">
      <c r="A38">
        <v>3841.5348529816001</v>
      </c>
      <c r="B38">
        <v>28</v>
      </c>
      <c r="C38" s="8">
        <v>0.92022485622320804</v>
      </c>
      <c r="D38" s="8">
        <v>0.95845531135676598</v>
      </c>
      <c r="E38" s="8">
        <v>0.99541265480227303</v>
      </c>
      <c r="F38" s="8">
        <v>0.98932144886685203</v>
      </c>
      <c r="G38">
        <v>25.002717971801999</v>
      </c>
      <c r="H38">
        <v>28</v>
      </c>
      <c r="I38" s="8">
        <v>0.91907336770479597</v>
      </c>
      <c r="J38" s="8">
        <v>0.95783036039315606</v>
      </c>
      <c r="K38" s="8">
        <v>0.99427880436836302</v>
      </c>
      <c r="L38" s="8">
        <v>0.98818349793344895</v>
      </c>
      <c r="M38">
        <v>4653.4180641173998</v>
      </c>
      <c r="N38">
        <v>28</v>
      </c>
      <c r="O38" s="8">
        <v>0.84840711764410603</v>
      </c>
      <c r="P38" s="8">
        <v>0.91798728704902</v>
      </c>
      <c r="Q38" s="8">
        <v>0.893451094616179</v>
      </c>
      <c r="R38" s="8">
        <v>0.98970611006867903</v>
      </c>
      <c r="S38">
        <v>28.221130371093999</v>
      </c>
      <c r="T38">
        <v>27</v>
      </c>
      <c r="U38" s="8">
        <v>0.91601632236674302</v>
      </c>
      <c r="V38" s="8">
        <v>0.95616755627137995</v>
      </c>
      <c r="W38" s="8">
        <v>0.99279253132104595</v>
      </c>
      <c r="X38" s="8">
        <v>0.98658096065230905</v>
      </c>
      <c r="Z38">
        <v>13689.628124237001</v>
      </c>
      <c r="AA38">
        <v>26</v>
      </c>
      <c r="AB38">
        <v>0.91065933233736995</v>
      </c>
      <c r="AE38">
        <v>242.34700202942</v>
      </c>
      <c r="AF38">
        <v>26</v>
      </c>
      <c r="AG38">
        <v>0.92378429542377005</v>
      </c>
    </row>
    <row r="39" spans="1:33">
      <c r="A39">
        <v>4538.5622978210004</v>
      </c>
      <c r="B39">
        <v>29</v>
      </c>
      <c r="C39" s="8">
        <v>0.92469522207403099</v>
      </c>
      <c r="D39" s="8">
        <v>0.96087444024263702</v>
      </c>
      <c r="E39" s="8">
        <v>0.98911742144541803</v>
      </c>
      <c r="F39" s="8">
        <v>0.98931015403366196</v>
      </c>
      <c r="G39">
        <v>24.778842926025</v>
      </c>
      <c r="H39">
        <v>29</v>
      </c>
      <c r="I39" s="8">
        <v>0.92044598359012597</v>
      </c>
      <c r="J39" s="8">
        <v>0.95857523872597805</v>
      </c>
      <c r="K39" s="8">
        <v>0.99466662682821105</v>
      </c>
      <c r="L39" s="8">
        <v>0.98819834219231995</v>
      </c>
      <c r="M39">
        <v>4292.6716804504003</v>
      </c>
      <c r="N39">
        <v>29</v>
      </c>
      <c r="O39" s="8">
        <v>0.80185813329357303</v>
      </c>
      <c r="P39" s="8">
        <v>0.89003470193058498</v>
      </c>
      <c r="Q39" s="8">
        <v>0.86230947298800398</v>
      </c>
      <c r="R39" s="8">
        <v>0.99207092845917999</v>
      </c>
      <c r="S39">
        <v>25.766611099243001</v>
      </c>
      <c r="T39">
        <v>28</v>
      </c>
      <c r="U39" s="8">
        <v>0.90936907061417704</v>
      </c>
      <c r="V39" s="8">
        <v>0.95253357206803901</v>
      </c>
      <c r="W39" s="8">
        <v>0.99865779371321794</v>
      </c>
      <c r="X39" s="8">
        <v>0.98889531705297495</v>
      </c>
      <c r="Z39">
        <v>13058.100938797001</v>
      </c>
      <c r="AA39">
        <v>27</v>
      </c>
      <c r="AB39">
        <v>0.93037834102520001</v>
      </c>
      <c r="AE39">
        <v>242.99740791321</v>
      </c>
      <c r="AF39">
        <v>27</v>
      </c>
      <c r="AG39">
        <v>0.83845038326082</v>
      </c>
    </row>
    <row r="40" spans="1:33">
      <c r="A40">
        <v>3811.1832141875998</v>
      </c>
      <c r="B40">
        <v>30</v>
      </c>
      <c r="C40" s="8">
        <v>0.91611933958924896</v>
      </c>
      <c r="D40" s="8">
        <v>0.95622367632449601</v>
      </c>
      <c r="E40" s="8">
        <v>0.99305952269297304</v>
      </c>
      <c r="F40" s="8">
        <v>0.98942330716541405</v>
      </c>
      <c r="G40">
        <v>25.134325027466002</v>
      </c>
      <c r="H40">
        <v>30</v>
      </c>
      <c r="I40" s="8">
        <v>0.89635783747143005</v>
      </c>
      <c r="J40" s="8">
        <v>0.94534672703609302</v>
      </c>
      <c r="K40" s="8">
        <v>0.99201715830071202</v>
      </c>
      <c r="L40" s="8">
        <v>0.98825326618695897</v>
      </c>
      <c r="M40">
        <v>4463.3190631866</v>
      </c>
      <c r="N40">
        <v>30</v>
      </c>
      <c r="O40" s="8">
        <v>0.85009629443553403</v>
      </c>
      <c r="P40" s="8">
        <v>0.91897518739142003</v>
      </c>
      <c r="Q40" s="8">
        <v>0.89896671275704398</v>
      </c>
      <c r="R40" s="8">
        <v>0.99064055633242798</v>
      </c>
      <c r="S40">
        <v>25.092840194701999</v>
      </c>
      <c r="T40">
        <v>29</v>
      </c>
      <c r="U40" s="8">
        <v>0.91498655220564395</v>
      </c>
      <c r="V40" s="8">
        <v>0.95560624292821295</v>
      </c>
      <c r="W40" s="8">
        <v>0.99712895705429405</v>
      </c>
      <c r="X40" s="8">
        <v>0.98691397820089</v>
      </c>
      <c r="Z40">
        <v>20828.855514526</v>
      </c>
      <c r="AA40">
        <v>28</v>
      </c>
      <c r="AB40">
        <v>0.92373171020285005</v>
      </c>
      <c r="AE40">
        <v>240.28897285460999</v>
      </c>
      <c r="AF40">
        <v>28</v>
      </c>
      <c r="AG40">
        <v>0.91478006299186998</v>
      </c>
    </row>
    <row r="41" spans="1:33">
      <c r="A41">
        <v>3908.9138507842999</v>
      </c>
      <c r="B41">
        <v>31</v>
      </c>
      <c r="C41" s="8">
        <v>0.89817836962105302</v>
      </c>
      <c r="D41" s="8">
        <v>0.94635823903141703</v>
      </c>
      <c r="E41" s="8">
        <v>0.99459170903744598</v>
      </c>
      <c r="F41" s="8">
        <v>0.98687155292639295</v>
      </c>
      <c r="G41">
        <v>25.009870529175</v>
      </c>
      <c r="H41">
        <v>31</v>
      </c>
      <c r="I41" s="8">
        <v>0.91446485210592299</v>
      </c>
      <c r="J41" s="8">
        <v>0.95532164103196304</v>
      </c>
      <c r="K41" s="8">
        <v>0.99451298753389195</v>
      </c>
      <c r="L41" s="8">
        <v>0.98818942806612697</v>
      </c>
      <c r="M41">
        <v>4087.7649784087998</v>
      </c>
      <c r="N41">
        <v>31</v>
      </c>
      <c r="O41" s="8">
        <v>0.84000133850890102</v>
      </c>
      <c r="P41" s="8">
        <v>0.91304426896734803</v>
      </c>
      <c r="Q41" s="8">
        <v>0.89980571944741095</v>
      </c>
      <c r="R41" s="8">
        <v>0.98907585302616796</v>
      </c>
      <c r="S41">
        <v>25.310277938843001</v>
      </c>
      <c r="T41">
        <v>30</v>
      </c>
      <c r="U41" s="8">
        <v>0.90435091677548396</v>
      </c>
      <c r="V41" s="8">
        <v>0.94977339397799998</v>
      </c>
      <c r="W41" s="8">
        <v>0.99693361271528502</v>
      </c>
      <c r="X41" s="8">
        <v>0.98709263789581703</v>
      </c>
      <c r="Z41">
        <v>27219.798564911001</v>
      </c>
      <c r="AA41">
        <v>29</v>
      </c>
      <c r="AB41">
        <v>0.91569593164002006</v>
      </c>
      <c r="AE41">
        <v>243.25084686279001</v>
      </c>
      <c r="AF41">
        <v>29</v>
      </c>
      <c r="AG41">
        <v>0.89937106918238996</v>
      </c>
    </row>
    <row r="42" spans="1:33">
      <c r="A42">
        <v>4161.1931324005</v>
      </c>
      <c r="B42">
        <v>32</v>
      </c>
      <c r="C42" s="8">
        <v>0.92174448988501401</v>
      </c>
      <c r="D42" s="8">
        <v>0.95927892051889396</v>
      </c>
      <c r="E42" s="8">
        <v>0.996778538400655</v>
      </c>
      <c r="F42" s="8">
        <v>0.98703763893771601</v>
      </c>
      <c r="G42">
        <v>25.348424911498999</v>
      </c>
      <c r="H42">
        <v>32</v>
      </c>
      <c r="I42" s="8">
        <v>0.91147438959084104</v>
      </c>
      <c r="J42" s="8">
        <v>0.95368726314553998</v>
      </c>
      <c r="K42" s="8">
        <v>0.99232629779321901</v>
      </c>
      <c r="L42" s="8">
        <v>0.98778385263804303</v>
      </c>
      <c r="M42">
        <v>4326.4586925507001</v>
      </c>
      <c r="N42">
        <v>32</v>
      </c>
      <c r="O42" s="8">
        <v>0.79930134593650404</v>
      </c>
      <c r="P42" s="8">
        <v>0.88845745349062899</v>
      </c>
      <c r="Q42" s="8">
        <v>0.86897661014677297</v>
      </c>
      <c r="R42" s="8">
        <v>0.99186278087690904</v>
      </c>
      <c r="S42">
        <v>25.156736373901001</v>
      </c>
      <c r="T42">
        <v>31</v>
      </c>
      <c r="U42" s="8">
        <v>0.92237429532808901</v>
      </c>
      <c r="V42" s="8">
        <v>0.95961988003035403</v>
      </c>
      <c r="W42" s="8">
        <v>0.99597878571993903</v>
      </c>
      <c r="X42" s="8">
        <v>0.98906907701415803</v>
      </c>
      <c r="Z42">
        <v>13882.433176041</v>
      </c>
      <c r="AA42">
        <v>30</v>
      </c>
      <c r="AB42">
        <v>0.91838894716450004</v>
      </c>
      <c r="AE42">
        <v>241.68562889098999</v>
      </c>
      <c r="AF42">
        <v>30</v>
      </c>
      <c r="AG42">
        <v>0.91322623405701997</v>
      </c>
    </row>
    <row r="43" spans="1:33">
      <c r="A43">
        <v>4000.5090236664</v>
      </c>
      <c r="B43">
        <v>33</v>
      </c>
      <c r="C43" s="8">
        <v>0.91748471865635395</v>
      </c>
      <c r="D43" s="8">
        <v>0.95696691580339299</v>
      </c>
      <c r="E43" s="8">
        <v>0.99749386428843001</v>
      </c>
      <c r="F43" s="8">
        <v>0.98918272838368004</v>
      </c>
      <c r="G43">
        <v>24.865865707396999</v>
      </c>
      <c r="H43">
        <v>33</v>
      </c>
      <c r="I43" s="8">
        <v>0.91228270466100403</v>
      </c>
      <c r="J43" s="8">
        <v>0.95412953580284199</v>
      </c>
      <c r="K43" s="8">
        <v>0.99506051901907699</v>
      </c>
      <c r="L43" s="8">
        <v>0.98822348020402495</v>
      </c>
      <c r="M43">
        <v>3651.9999504089001</v>
      </c>
      <c r="N43">
        <v>33</v>
      </c>
      <c r="O43" s="8">
        <v>0.82851264384315404</v>
      </c>
      <c r="P43" s="8">
        <v>0.90621483710584805</v>
      </c>
      <c r="Q43" s="8">
        <v>0.88583170621488105</v>
      </c>
      <c r="R43" s="8">
        <v>0.99128738216651402</v>
      </c>
      <c r="S43">
        <v>26.094436645508001</v>
      </c>
      <c r="T43">
        <v>32</v>
      </c>
      <c r="U43" s="8">
        <v>0.91855011344776905</v>
      </c>
      <c r="V43" s="8">
        <v>0.95754612507574299</v>
      </c>
      <c r="W43" s="8">
        <v>0.99504941895811905</v>
      </c>
      <c r="X43" s="8">
        <v>0.98972722344708397</v>
      </c>
      <c r="Z43">
        <v>17000.013113022</v>
      </c>
      <c r="AA43">
        <v>31</v>
      </c>
      <c r="AB43">
        <v>0.91535433070866001</v>
      </c>
      <c r="AE43">
        <v>239.48836326598999</v>
      </c>
      <c r="AF43">
        <v>31</v>
      </c>
      <c r="AG43">
        <v>0.91556490591203998</v>
      </c>
    </row>
    <row r="44" spans="1:33">
      <c r="A44">
        <v>4359.9541187286004</v>
      </c>
      <c r="B44">
        <v>34</v>
      </c>
      <c r="C44" s="8">
        <v>0.91228337227621703</v>
      </c>
      <c r="D44" s="8">
        <v>0.95412990093650596</v>
      </c>
      <c r="E44" s="8">
        <v>0.99506882066778402</v>
      </c>
      <c r="F44" s="8">
        <v>0.98822240275482198</v>
      </c>
      <c r="G44">
        <v>25.01392364502</v>
      </c>
      <c r="H44">
        <v>34</v>
      </c>
      <c r="I44" s="8">
        <v>0.92470664034654804</v>
      </c>
      <c r="J44" s="8">
        <v>0.96088060482822701</v>
      </c>
      <c r="K44" s="8">
        <v>0.98951884993398798</v>
      </c>
      <c r="L44" s="8">
        <v>0.98952464055354095</v>
      </c>
      <c r="M44">
        <v>3719.9063301085998</v>
      </c>
      <c r="N44">
        <v>34</v>
      </c>
      <c r="O44" s="8">
        <v>0.79844111196728096</v>
      </c>
      <c r="P44" s="8">
        <v>0.88792577822454399</v>
      </c>
      <c r="Q44" s="8">
        <v>0.89985303613974899</v>
      </c>
      <c r="R44" s="8">
        <v>0.98810127268820702</v>
      </c>
      <c r="S44">
        <v>27.351856231688998</v>
      </c>
      <c r="T44">
        <v>33</v>
      </c>
      <c r="U44" s="8">
        <v>0.90604144252888597</v>
      </c>
      <c r="V44" s="8">
        <v>0.950704871691324</v>
      </c>
      <c r="W44" s="8">
        <v>0.99479481786664303</v>
      </c>
      <c r="X44" s="8">
        <v>0.98920005209386597</v>
      </c>
      <c r="Z44">
        <v>18127.736330031999</v>
      </c>
      <c r="AA44">
        <v>32</v>
      </c>
      <c r="AB44">
        <v>0.91374415251993002</v>
      </c>
      <c r="AE44">
        <v>245.98097801207999</v>
      </c>
      <c r="AF44">
        <v>32</v>
      </c>
      <c r="AG44">
        <v>0.90386546184739003</v>
      </c>
    </row>
    <row r="45" spans="1:33">
      <c r="A45">
        <v>4099.8129844666</v>
      </c>
      <c r="B45">
        <v>35</v>
      </c>
      <c r="C45" s="8">
        <v>0.91148758177502398</v>
      </c>
      <c r="D45" s="8">
        <v>0.953694484301707</v>
      </c>
      <c r="E45" s="8">
        <v>0.99232629779321901</v>
      </c>
      <c r="F45" s="8">
        <v>0.98778602266155502</v>
      </c>
      <c r="G45">
        <v>24.940013885498001</v>
      </c>
      <c r="H45">
        <v>35</v>
      </c>
      <c r="I45" s="8">
        <v>0.91021788674534398</v>
      </c>
      <c r="J45" s="8">
        <v>0.95299901970469503</v>
      </c>
      <c r="K45" s="8">
        <v>0.99313403286477897</v>
      </c>
      <c r="L45" s="8">
        <v>0.98752793285489204</v>
      </c>
      <c r="M45">
        <v>3499.1610050201002</v>
      </c>
      <c r="N45">
        <v>35</v>
      </c>
      <c r="O45" s="8">
        <v>0.81224804168988196</v>
      </c>
      <c r="P45" s="8">
        <v>0.89639831083219501</v>
      </c>
      <c r="Q45" s="8">
        <v>0.86322352551877801</v>
      </c>
      <c r="R45" s="8">
        <v>0.99228156904659603</v>
      </c>
      <c r="S45">
        <v>25.675058364868001</v>
      </c>
      <c r="T45">
        <v>34</v>
      </c>
      <c r="U45" s="8">
        <v>0.92022546469677402</v>
      </c>
      <c r="V45" s="8">
        <v>0.95845564139739003</v>
      </c>
      <c r="W45" s="8">
        <v>0.995420905423133</v>
      </c>
      <c r="X45" s="8">
        <v>0.98932037055208599</v>
      </c>
      <c r="Z45">
        <v>18883.706808089999</v>
      </c>
      <c r="AA45">
        <v>33</v>
      </c>
      <c r="AB45">
        <v>0.90179719551772997</v>
      </c>
      <c r="AE45">
        <v>243.17216873168999</v>
      </c>
      <c r="AF45">
        <v>33</v>
      </c>
      <c r="AG45">
        <v>0.91960307440961997</v>
      </c>
    </row>
    <row r="46" spans="1:33">
      <c r="A46">
        <v>4222.1446037291998</v>
      </c>
      <c r="B46">
        <v>36</v>
      </c>
      <c r="C46" s="8">
        <v>0.91722473072573696</v>
      </c>
      <c r="D46" s="8">
        <v>0.95682547384889505</v>
      </c>
      <c r="E46" s="8">
        <v>0.99328637559819</v>
      </c>
      <c r="F46" s="8">
        <v>0.98977113613452194</v>
      </c>
      <c r="G46">
        <v>25.740385055541999</v>
      </c>
      <c r="H46">
        <v>36</v>
      </c>
      <c r="I46" s="8">
        <v>0.90712227837339998</v>
      </c>
      <c r="J46" s="8">
        <v>0.95129954556148499</v>
      </c>
      <c r="K46" s="8">
        <v>0.99475169836076804</v>
      </c>
      <c r="L46" s="8">
        <v>0.98800187407060303</v>
      </c>
      <c r="M46">
        <v>3850.6917953491002</v>
      </c>
      <c r="N46">
        <v>36</v>
      </c>
      <c r="O46" s="8">
        <v>0.84725495908260195</v>
      </c>
      <c r="P46" s="8">
        <v>0.91731242069949304</v>
      </c>
      <c r="Q46" s="8">
        <v>0.90521699147596602</v>
      </c>
      <c r="R46" s="8">
        <v>0.98933985588799001</v>
      </c>
      <c r="S46">
        <v>25.218963623046999</v>
      </c>
      <c r="T46">
        <v>35</v>
      </c>
      <c r="U46" s="8">
        <v>0.91086994769757301</v>
      </c>
      <c r="V46" s="8">
        <v>0.95335629595838201</v>
      </c>
      <c r="W46" s="8">
        <v>0.99181448487856705</v>
      </c>
      <c r="X46" s="8">
        <v>0.98907082171784599</v>
      </c>
      <c r="Z46">
        <v>15427.240371704</v>
      </c>
      <c r="AA46">
        <v>34</v>
      </c>
      <c r="AB46">
        <v>0.91726135705278999</v>
      </c>
      <c r="AE46">
        <v>239.54033851624001</v>
      </c>
      <c r="AF46">
        <v>34</v>
      </c>
      <c r="AG46">
        <v>0.93549629030257997</v>
      </c>
    </row>
    <row r="47" spans="1:33">
      <c r="A47">
        <v>4392.5588130951</v>
      </c>
      <c r="B47">
        <v>37</v>
      </c>
      <c r="C47" s="8">
        <v>0.90810400285918502</v>
      </c>
      <c r="D47" s="8">
        <v>0.95183910468029298</v>
      </c>
      <c r="E47" s="8">
        <v>0.99757562670540401</v>
      </c>
      <c r="F47" s="8">
        <v>0.98939678502240402</v>
      </c>
      <c r="G47">
        <v>24.948835372925</v>
      </c>
      <c r="H47">
        <v>37</v>
      </c>
      <c r="I47" s="8">
        <v>0.91500783753415904</v>
      </c>
      <c r="J47" s="8">
        <v>0.95561785137376698</v>
      </c>
      <c r="K47" s="8">
        <v>0.99566034460637398</v>
      </c>
      <c r="L47" s="8">
        <v>0.98725107168938797</v>
      </c>
      <c r="M47">
        <v>3551.2452125548998</v>
      </c>
      <c r="N47">
        <v>37</v>
      </c>
      <c r="O47" s="8">
        <v>0.83561472331191</v>
      </c>
      <c r="P47" s="8">
        <v>0.91044674320791097</v>
      </c>
      <c r="Q47" s="8">
        <v>0.88284183684717099</v>
      </c>
      <c r="R47" s="8">
        <v>0.99157146066553703</v>
      </c>
      <c r="S47">
        <v>25.39324760437</v>
      </c>
      <c r="T47">
        <v>36</v>
      </c>
      <c r="U47" s="8">
        <v>0.92469522207403099</v>
      </c>
      <c r="V47" s="8">
        <v>0.96087444024263702</v>
      </c>
      <c r="W47" s="8">
        <v>0.98911742144541803</v>
      </c>
      <c r="X47" s="8">
        <v>0.98931015403366196</v>
      </c>
      <c r="Z47">
        <v>15788.952589035</v>
      </c>
      <c r="AA47">
        <v>35</v>
      </c>
      <c r="AB47">
        <v>0.90960582027189996</v>
      </c>
      <c r="AE47">
        <v>242.3210144043</v>
      </c>
      <c r="AF47">
        <v>35</v>
      </c>
      <c r="AG47">
        <v>0.85381256691648999</v>
      </c>
    </row>
    <row r="48" spans="1:33">
      <c r="A48">
        <v>4464.8110866547004</v>
      </c>
      <c r="B48">
        <v>38</v>
      </c>
      <c r="C48" s="8">
        <v>0.92961507491345496</v>
      </c>
      <c r="D48" s="8">
        <v>0.96352385198394996</v>
      </c>
      <c r="E48" s="8">
        <v>0.99259999559086098</v>
      </c>
      <c r="F48" s="8">
        <v>0.98989583504567102</v>
      </c>
      <c r="G48">
        <v>26.04341506958</v>
      </c>
      <c r="H48">
        <v>38</v>
      </c>
      <c r="I48" s="8">
        <v>0.92296453009817803</v>
      </c>
      <c r="J48" s="8">
        <v>0.95993921432451501</v>
      </c>
      <c r="K48" s="8">
        <v>0.99307141282001998</v>
      </c>
      <c r="L48" s="8">
        <v>0.98824007515426704</v>
      </c>
      <c r="M48">
        <v>4376.0423660278002</v>
      </c>
      <c r="N48">
        <v>38</v>
      </c>
      <c r="O48" s="8">
        <v>0.83431069806110603</v>
      </c>
      <c r="P48" s="8">
        <v>0.90967217161518499</v>
      </c>
      <c r="Q48" s="8">
        <v>0.87875873715813602</v>
      </c>
      <c r="R48" s="8">
        <v>0.992598900370815</v>
      </c>
      <c r="S48">
        <v>26.743173599243001</v>
      </c>
      <c r="T48">
        <v>37</v>
      </c>
      <c r="U48" s="8">
        <v>0.89635783747143005</v>
      </c>
      <c r="V48" s="8">
        <v>0.94534672703609302</v>
      </c>
      <c r="W48" s="8">
        <v>0.99201715830071202</v>
      </c>
      <c r="X48" s="8">
        <v>0.98825326618695897</v>
      </c>
      <c r="Z48">
        <v>13530.999183655</v>
      </c>
      <c r="AA48">
        <v>36</v>
      </c>
      <c r="AB48">
        <v>0.91481837844060998</v>
      </c>
      <c r="AE48">
        <v>238.76094818115001</v>
      </c>
      <c r="AF48">
        <v>36</v>
      </c>
      <c r="AG48">
        <v>0.90648927549654001</v>
      </c>
    </row>
    <row r="49" spans="1:33">
      <c r="A49">
        <v>4368.3340549469003</v>
      </c>
      <c r="B49">
        <v>39</v>
      </c>
      <c r="C49" s="8">
        <v>0.91471404595920403</v>
      </c>
      <c r="D49" s="8">
        <v>0.95545760254865097</v>
      </c>
      <c r="E49" s="8">
        <v>0.99278395656362195</v>
      </c>
      <c r="F49" s="8">
        <v>0.98956962112017899</v>
      </c>
      <c r="G49">
        <v>24.901866912841999</v>
      </c>
      <c r="H49">
        <v>39</v>
      </c>
      <c r="I49" s="8">
        <v>0.89816417332479803</v>
      </c>
      <c r="J49" s="8">
        <v>0.94635035888553898</v>
      </c>
      <c r="K49" s="8">
        <v>0.99459170903744598</v>
      </c>
      <c r="L49" s="8">
        <v>0.98686941230238001</v>
      </c>
      <c r="M49">
        <v>3826.477766037</v>
      </c>
      <c r="N49">
        <v>39</v>
      </c>
      <c r="O49" s="8">
        <v>0.86608796908908003</v>
      </c>
      <c r="P49" s="8">
        <v>0.92823916496482795</v>
      </c>
      <c r="Q49" s="8">
        <v>0.91729850181492001</v>
      </c>
      <c r="R49" s="8">
        <v>0.99068519765529195</v>
      </c>
      <c r="S49">
        <v>26.322364807128999</v>
      </c>
      <c r="T49">
        <v>38</v>
      </c>
      <c r="U49" s="8">
        <v>0.91446485210592299</v>
      </c>
      <c r="V49" s="8">
        <v>0.95532164103196304</v>
      </c>
      <c r="W49" s="8">
        <v>0.99451298753389195</v>
      </c>
      <c r="X49" s="8">
        <v>0.98818942806612697</v>
      </c>
      <c r="Z49">
        <v>13671.788692474</v>
      </c>
      <c r="AA49">
        <v>37</v>
      </c>
      <c r="AB49">
        <v>0.87920101933743</v>
      </c>
      <c r="AE49">
        <v>238.07954788207999</v>
      </c>
      <c r="AF49">
        <v>37</v>
      </c>
      <c r="AG49">
        <v>0.92656902916953998</v>
      </c>
    </row>
    <row r="50" spans="1:33">
      <c r="A50">
        <v>4590.8138751983997</v>
      </c>
      <c r="B50">
        <v>40</v>
      </c>
      <c r="C50" s="8">
        <v>0.91602216285490201</v>
      </c>
      <c r="D50" s="8">
        <v>0.95617073811924502</v>
      </c>
      <c r="E50" s="8">
        <v>0.99279253132104595</v>
      </c>
      <c r="F50" s="8">
        <v>0.98658206701221896</v>
      </c>
      <c r="G50">
        <v>25.603532791138001</v>
      </c>
      <c r="H50">
        <v>40</v>
      </c>
      <c r="I50" s="8">
        <v>0.91340134564703501</v>
      </c>
      <c r="J50" s="8">
        <v>0.95474098805774499</v>
      </c>
      <c r="K50" s="8">
        <v>0.99171920733956898</v>
      </c>
      <c r="L50" s="8">
        <v>0.98871366177894104</v>
      </c>
      <c r="M50">
        <v>3669.3964004517002</v>
      </c>
      <c r="N50">
        <v>40</v>
      </c>
      <c r="O50" s="8">
        <v>0.81850359096991798</v>
      </c>
      <c r="P50" s="8">
        <v>0.90019463809071698</v>
      </c>
      <c r="Q50" s="8">
        <v>0.880462002350896</v>
      </c>
      <c r="R50" s="8">
        <v>0.99045613386971698</v>
      </c>
      <c r="S50">
        <v>25.263071060181002</v>
      </c>
      <c r="T50">
        <v>39</v>
      </c>
      <c r="U50" s="8">
        <v>0.91907336770479597</v>
      </c>
      <c r="V50" s="8">
        <v>0.95783036039315606</v>
      </c>
      <c r="W50" s="8">
        <v>0.99427880436836302</v>
      </c>
      <c r="X50" s="8">
        <v>0.98818349793344895</v>
      </c>
      <c r="Z50">
        <v>19306.549072266</v>
      </c>
      <c r="AA50">
        <v>38</v>
      </c>
      <c r="AB50">
        <v>0.90004484240065996</v>
      </c>
      <c r="AE50">
        <v>240.65732955933001</v>
      </c>
      <c r="AF50">
        <v>38</v>
      </c>
      <c r="AG50">
        <v>0.89216916836962001</v>
      </c>
    </row>
    <row r="51" spans="1:33">
      <c r="A51">
        <v>4301.7694950103996</v>
      </c>
      <c r="B51">
        <v>41</v>
      </c>
      <c r="C51" s="8">
        <v>0.92216548783270202</v>
      </c>
      <c r="D51" s="8">
        <v>0.95950686209902802</v>
      </c>
      <c r="E51" s="8">
        <v>0.99472129811935595</v>
      </c>
      <c r="F51" s="8">
        <v>0.99003915147451904</v>
      </c>
      <c r="G51">
        <v>24.934530258178999</v>
      </c>
      <c r="H51">
        <v>41</v>
      </c>
      <c r="I51" s="8">
        <v>0.91261212187238905</v>
      </c>
      <c r="J51" s="8">
        <v>0.95430967046153603</v>
      </c>
      <c r="K51" s="8">
        <v>0.99572873082287305</v>
      </c>
      <c r="L51" s="8">
        <v>0.98753989661572605</v>
      </c>
      <c r="M51">
        <v>3852.4260520934999</v>
      </c>
      <c r="N51">
        <v>41</v>
      </c>
      <c r="O51" s="8">
        <v>0.82161024099774105</v>
      </c>
      <c r="P51" s="8">
        <v>0.90207029199366495</v>
      </c>
      <c r="Q51" s="8">
        <v>0.86769298662502503</v>
      </c>
      <c r="R51" s="8">
        <v>0.99289922900389305</v>
      </c>
      <c r="S51">
        <v>25.878190994263001</v>
      </c>
      <c r="T51">
        <v>40</v>
      </c>
      <c r="U51" s="8">
        <v>0.92216487545435899</v>
      </c>
      <c r="V51" s="8">
        <v>0.959506530610574</v>
      </c>
      <c r="W51" s="8">
        <v>0.99471281146038404</v>
      </c>
      <c r="X51" s="8">
        <v>0.99004022588380902</v>
      </c>
      <c r="Z51">
        <v>12925.818920135</v>
      </c>
      <c r="AA51">
        <v>39</v>
      </c>
      <c r="AB51">
        <v>0.92596243098151998</v>
      </c>
      <c r="AE51">
        <v>242.11359024047999</v>
      </c>
      <c r="AF51">
        <v>39</v>
      </c>
      <c r="AG51">
        <v>0.90177573670111</v>
      </c>
    </row>
    <row r="52" spans="1:33">
      <c r="A52">
        <v>3616.0621643066002</v>
      </c>
      <c r="B52">
        <v>42</v>
      </c>
      <c r="C52" s="8">
        <v>0.89783901750181805</v>
      </c>
      <c r="D52" s="8">
        <v>0.94616983761211804</v>
      </c>
      <c r="E52" s="8">
        <v>0.99197216259916599</v>
      </c>
      <c r="F52" s="8">
        <v>0.98823952423529804</v>
      </c>
      <c r="G52">
        <v>25.028467178345</v>
      </c>
      <c r="H52">
        <v>42</v>
      </c>
      <c r="I52" s="8">
        <v>0.92157634547771305</v>
      </c>
      <c r="J52" s="8">
        <v>0.95918785391647299</v>
      </c>
      <c r="K52" s="8">
        <v>0.99276997599574501</v>
      </c>
      <c r="L52" s="8">
        <v>0.98818056065640802</v>
      </c>
      <c r="M52">
        <v>4383.4891319275002</v>
      </c>
      <c r="N52">
        <v>42</v>
      </c>
      <c r="O52" s="8">
        <v>0.83377762294957802</v>
      </c>
      <c r="P52" s="8">
        <v>0.90935521571963596</v>
      </c>
      <c r="Q52" s="8">
        <v>0.883192414445924</v>
      </c>
      <c r="R52" s="8">
        <v>0.99200361936881798</v>
      </c>
      <c r="S52">
        <v>26.958227157593001</v>
      </c>
      <c r="T52">
        <v>41</v>
      </c>
      <c r="U52" s="8">
        <v>0.91722473072573696</v>
      </c>
      <c r="V52" s="8">
        <v>0.95682547384889505</v>
      </c>
      <c r="W52" s="8">
        <v>0.99328637559819</v>
      </c>
      <c r="X52" s="8">
        <v>0.98977113613452194</v>
      </c>
      <c r="Z52">
        <v>13193.307638168</v>
      </c>
      <c r="AA52">
        <v>40</v>
      </c>
      <c r="AB52">
        <v>0.90563094919530995</v>
      </c>
      <c r="AE52">
        <v>238.21616172790999</v>
      </c>
      <c r="AF52">
        <v>40</v>
      </c>
      <c r="AG52">
        <v>0.90299634835676001</v>
      </c>
    </row>
    <row r="53" spans="1:33">
      <c r="A53">
        <v>4024.1510868073001</v>
      </c>
      <c r="B53">
        <v>43</v>
      </c>
      <c r="C53" s="8">
        <v>0.89635873815938105</v>
      </c>
      <c r="D53" s="8">
        <v>0.94534722795054305</v>
      </c>
      <c r="E53" s="8">
        <v>0.99202677618227797</v>
      </c>
      <c r="F53" s="8">
        <v>0.98825220754115695</v>
      </c>
      <c r="G53">
        <v>24.742364883423001</v>
      </c>
      <c r="H53">
        <v>43</v>
      </c>
      <c r="I53" s="8">
        <v>0.91722473072573696</v>
      </c>
      <c r="J53" s="8">
        <v>0.95682547384889505</v>
      </c>
      <c r="K53" s="8">
        <v>0.99328637559819</v>
      </c>
      <c r="L53" s="8">
        <v>0.98977113613452194</v>
      </c>
      <c r="M53">
        <v>4101.8712520599001</v>
      </c>
      <c r="N53">
        <v>43</v>
      </c>
      <c r="O53" s="8">
        <v>0.83657755677390999</v>
      </c>
      <c r="P53" s="8">
        <v>0.91101794605769104</v>
      </c>
      <c r="Q53" s="8">
        <v>0.89258965347844099</v>
      </c>
      <c r="R53" s="8">
        <v>0.99033135754986801</v>
      </c>
      <c r="S53">
        <v>27.319192886353001</v>
      </c>
      <c r="T53">
        <v>42</v>
      </c>
      <c r="U53" s="8">
        <v>0.89816417332479803</v>
      </c>
      <c r="V53" s="8">
        <v>0.94635035888553898</v>
      </c>
      <c r="W53" s="8">
        <v>0.99459170903744598</v>
      </c>
      <c r="X53" s="8">
        <v>0.98686941230238001</v>
      </c>
      <c r="Z53">
        <v>13180.178165436</v>
      </c>
      <c r="AA53">
        <v>41</v>
      </c>
      <c r="AB53">
        <v>0.93420951280569997</v>
      </c>
      <c r="AE53">
        <v>238.34204673766999</v>
      </c>
      <c r="AF53">
        <v>41</v>
      </c>
      <c r="AG53">
        <v>0.90279686416166005</v>
      </c>
    </row>
    <row r="54" spans="1:33">
      <c r="A54">
        <v>3849.9879837036001</v>
      </c>
      <c r="B54">
        <v>44</v>
      </c>
      <c r="C54" s="8">
        <v>0.88390085169259303</v>
      </c>
      <c r="D54" s="8">
        <v>0.93837300503203402</v>
      </c>
      <c r="E54" s="8">
        <v>0.98240563905265299</v>
      </c>
      <c r="F54" s="8">
        <v>0.98715258315083398</v>
      </c>
      <c r="G54">
        <v>25.504112243651999</v>
      </c>
      <c r="H54">
        <v>44</v>
      </c>
      <c r="I54" s="8">
        <v>0.91845199638196096</v>
      </c>
      <c r="J54" s="8">
        <v>0.95749280994685704</v>
      </c>
      <c r="K54" s="8">
        <v>0.99615993721357199</v>
      </c>
      <c r="L54" s="8">
        <v>0.98667137668760396</v>
      </c>
      <c r="M54">
        <v>4235.7981204987</v>
      </c>
      <c r="N54">
        <v>44</v>
      </c>
      <c r="O54" s="8">
        <v>0.80451541391294201</v>
      </c>
      <c r="P54" s="8">
        <v>0.891669206824248</v>
      </c>
      <c r="Q54" s="8">
        <v>0.86786057843586695</v>
      </c>
      <c r="R54" s="8">
        <v>0.99065658855597405</v>
      </c>
      <c r="S54">
        <v>26.452541351318001</v>
      </c>
      <c r="T54">
        <v>43</v>
      </c>
      <c r="U54" s="8">
        <v>0.90838056600943096</v>
      </c>
      <c r="V54" s="8">
        <v>0.95199100450799901</v>
      </c>
      <c r="W54" s="8">
        <v>0.99735036736798299</v>
      </c>
      <c r="X54" s="8">
        <v>0.98495270283650904</v>
      </c>
      <c r="Z54">
        <v>14657.440185547001</v>
      </c>
      <c r="AA54">
        <v>42</v>
      </c>
      <c r="AB54">
        <v>0.90521721913310005</v>
      </c>
      <c r="AE54">
        <v>240.64350128173999</v>
      </c>
      <c r="AF54">
        <v>42</v>
      </c>
      <c r="AG54">
        <v>0.88450018243065998</v>
      </c>
    </row>
    <row r="55" spans="1:33">
      <c r="A55">
        <v>4072.5436210632001</v>
      </c>
      <c r="B55">
        <v>45</v>
      </c>
      <c r="C55" s="8">
        <v>0.90435091677548396</v>
      </c>
      <c r="D55" s="8">
        <v>0.94977339397799998</v>
      </c>
      <c r="E55" s="8">
        <v>0.99693361271528502</v>
      </c>
      <c r="F55" s="8">
        <v>0.98709263789581703</v>
      </c>
      <c r="G55">
        <v>24.978637695311999</v>
      </c>
      <c r="H55">
        <v>45</v>
      </c>
      <c r="I55" s="8">
        <v>0.91098607683431099</v>
      </c>
      <c r="J55" s="8">
        <v>0.95341989968176699</v>
      </c>
      <c r="K55" s="8">
        <v>0.99232964189703698</v>
      </c>
      <c r="L55" s="8">
        <v>0.98964223566787402</v>
      </c>
      <c r="M55">
        <v>3875.8282661438002</v>
      </c>
      <c r="N55">
        <v>45</v>
      </c>
      <c r="O55" s="8">
        <v>0.82936838305177096</v>
      </c>
      <c r="P55" s="8">
        <v>0.90672648629491504</v>
      </c>
      <c r="Q55" s="8">
        <v>0.87435823747349395</v>
      </c>
      <c r="R55" s="8">
        <v>0.99240728439742598</v>
      </c>
      <c r="S55">
        <v>25.809764862061002</v>
      </c>
      <c r="T55">
        <v>44</v>
      </c>
      <c r="U55" s="8">
        <v>0.92246470842672301</v>
      </c>
      <c r="V55" s="8">
        <v>0.95966880888194295</v>
      </c>
      <c r="W55" s="8">
        <v>0.99251988492130605</v>
      </c>
      <c r="X55" s="8">
        <v>0.99035356987777201</v>
      </c>
      <c r="Z55">
        <v>12420.928716660001</v>
      </c>
      <c r="AA55">
        <v>43</v>
      </c>
      <c r="AB55">
        <v>0.93145360593125004</v>
      </c>
      <c r="AE55">
        <v>240.58818817138999</v>
      </c>
      <c r="AF55">
        <v>43</v>
      </c>
      <c r="AG55">
        <v>0.86992349432104998</v>
      </c>
    </row>
    <row r="56" spans="1:33">
      <c r="A56">
        <v>3922.6880073546999</v>
      </c>
      <c r="B56">
        <v>46</v>
      </c>
      <c r="C56" s="8">
        <v>0.91936940762300301</v>
      </c>
      <c r="D56" s="8">
        <v>0.95799110267321996</v>
      </c>
      <c r="E56" s="8">
        <v>0.99657723400338005</v>
      </c>
      <c r="F56" s="8">
        <v>0.98919901580269498</v>
      </c>
      <c r="G56">
        <v>26.046752929688001</v>
      </c>
      <c r="H56">
        <v>46</v>
      </c>
      <c r="I56" s="8">
        <v>0.90534733043549498</v>
      </c>
      <c r="J56" s="8">
        <v>0.95032261674679996</v>
      </c>
      <c r="K56" s="8">
        <v>0.99243016784889104</v>
      </c>
      <c r="L56" s="8">
        <v>0.98858584619323697</v>
      </c>
      <c r="M56">
        <v>4142.9650783539</v>
      </c>
      <c r="N56">
        <v>46</v>
      </c>
      <c r="O56" s="8">
        <v>0.80501519509856501</v>
      </c>
      <c r="P56" s="8">
        <v>0.89197608672164796</v>
      </c>
      <c r="Q56" s="8">
        <v>0.86698929718471296</v>
      </c>
      <c r="R56" s="8">
        <v>0.99058446527747301</v>
      </c>
      <c r="S56">
        <v>27.360200881958001</v>
      </c>
      <c r="T56">
        <v>45</v>
      </c>
      <c r="U56" s="8">
        <v>0.92036943955767703</v>
      </c>
      <c r="V56" s="8">
        <v>0.95853372856179997</v>
      </c>
      <c r="W56" s="8">
        <v>0.99591398288087996</v>
      </c>
      <c r="X56" s="8">
        <v>0.98660771235145395</v>
      </c>
      <c r="Z56">
        <v>12010.93173027</v>
      </c>
      <c r="AA56">
        <v>44</v>
      </c>
      <c r="AB56">
        <v>0.91785063621110996</v>
      </c>
      <c r="AE56">
        <v>240.68713188171</v>
      </c>
      <c r="AF56">
        <v>44</v>
      </c>
      <c r="AG56">
        <v>0.92135362989744995</v>
      </c>
    </row>
    <row r="57" spans="1:33">
      <c r="A57">
        <v>4808.6347579956</v>
      </c>
      <c r="B57">
        <v>47</v>
      </c>
      <c r="C57" s="8">
        <v>0.92211323503554299</v>
      </c>
      <c r="D57" s="8">
        <v>0.95947857621249</v>
      </c>
      <c r="E57" s="8">
        <v>0.995653706893044</v>
      </c>
      <c r="F57" s="8">
        <v>0.98694697778478102</v>
      </c>
      <c r="G57">
        <v>25.10666847229</v>
      </c>
      <c r="H57">
        <v>47</v>
      </c>
      <c r="I57" s="8">
        <v>0.88864883162914798</v>
      </c>
      <c r="J57" s="8">
        <v>0.941041888515187</v>
      </c>
      <c r="K57" s="8">
        <v>0.99373176868779001</v>
      </c>
      <c r="L57" s="8">
        <v>0.98892212633427801</v>
      </c>
      <c r="M57">
        <v>4136.2719535828001</v>
      </c>
      <c r="N57">
        <v>47</v>
      </c>
      <c r="O57" s="8">
        <v>0.80492300665535599</v>
      </c>
      <c r="P57" s="8">
        <v>0.89191949317210195</v>
      </c>
      <c r="Q57" s="8">
        <v>0.85714533863711295</v>
      </c>
      <c r="R57" s="8">
        <v>0.99199732601415402</v>
      </c>
      <c r="S57">
        <v>25.617599487305</v>
      </c>
      <c r="T57">
        <v>46</v>
      </c>
      <c r="U57" s="8">
        <v>0.90712227837339998</v>
      </c>
      <c r="V57" s="8">
        <v>0.95129954556148499</v>
      </c>
      <c r="W57" s="8">
        <v>0.99475169836076804</v>
      </c>
      <c r="X57" s="8">
        <v>0.98800187407060303</v>
      </c>
      <c r="Z57">
        <v>12089.904546738</v>
      </c>
      <c r="AA57">
        <v>45</v>
      </c>
      <c r="AB57">
        <v>0.91961011835692996</v>
      </c>
      <c r="AE57">
        <v>241.51611328125</v>
      </c>
      <c r="AF57">
        <v>45</v>
      </c>
      <c r="AG57">
        <v>0.92735212662802002</v>
      </c>
    </row>
    <row r="58" spans="1:33">
      <c r="A58">
        <v>4204.1425704956</v>
      </c>
      <c r="B58">
        <v>48</v>
      </c>
      <c r="C58" s="8">
        <v>0.90541996037928096</v>
      </c>
      <c r="D58" s="8">
        <v>0.95036262787868997</v>
      </c>
      <c r="E58" s="8">
        <v>0.99710878590188901</v>
      </c>
      <c r="F58" s="8">
        <v>0.98997853591461304</v>
      </c>
      <c r="G58">
        <v>25.479793548583999</v>
      </c>
      <c r="H58">
        <v>48</v>
      </c>
      <c r="I58" s="8">
        <v>0.89019550485105503</v>
      </c>
      <c r="J58" s="8">
        <v>0.94190839261487003</v>
      </c>
      <c r="K58" s="8">
        <v>0.992175103788553</v>
      </c>
      <c r="L58" s="8">
        <v>0.98898032746439801</v>
      </c>
      <c r="M58">
        <v>4153.7063121796</v>
      </c>
      <c r="N58">
        <v>48</v>
      </c>
      <c r="O58" s="8">
        <v>0.80120089705563102</v>
      </c>
      <c r="P58" s="8">
        <v>0.88962968913165696</v>
      </c>
      <c r="Q58" s="8">
        <v>0.86963349757562602</v>
      </c>
      <c r="R58" s="8">
        <v>0.99080801188134704</v>
      </c>
      <c r="S58">
        <v>26.685476303101002</v>
      </c>
      <c r="T58">
        <v>47</v>
      </c>
      <c r="U58" s="8">
        <v>0.90534733043549498</v>
      </c>
      <c r="V58" s="8">
        <v>0.95032261674679996</v>
      </c>
      <c r="W58" s="8">
        <v>0.99243016784889104</v>
      </c>
      <c r="X58" s="8">
        <v>0.98858584619323697</v>
      </c>
      <c r="Z58">
        <v>12551.776409149001</v>
      </c>
      <c r="AA58">
        <v>46</v>
      </c>
      <c r="AB58">
        <v>0.91615303177526997</v>
      </c>
      <c r="AE58">
        <v>239.77780342102</v>
      </c>
      <c r="AF58">
        <v>46</v>
      </c>
      <c r="AG58">
        <v>0.92592415383585003</v>
      </c>
    </row>
    <row r="59" spans="1:33">
      <c r="A59">
        <v>3825.5805969237999</v>
      </c>
      <c r="B59">
        <v>49</v>
      </c>
      <c r="C59" s="8">
        <v>0.92156300244844502</v>
      </c>
      <c r="D59" s="8">
        <v>0.959180626681711</v>
      </c>
      <c r="E59" s="8">
        <v>0.99275560219056702</v>
      </c>
      <c r="F59" s="8">
        <v>0.98818056065640802</v>
      </c>
      <c r="G59">
        <v>24.873971939086999</v>
      </c>
      <c r="H59">
        <v>49</v>
      </c>
      <c r="I59" s="8">
        <v>0.92738034623217902</v>
      </c>
      <c r="J59" s="8">
        <v>0.96232209490473197</v>
      </c>
      <c r="K59" s="8">
        <v>0.99248704133830101</v>
      </c>
      <c r="L59" s="8">
        <v>0.98857016754956595</v>
      </c>
      <c r="M59">
        <v>3592.5195217133</v>
      </c>
      <c r="N59">
        <v>49</v>
      </c>
      <c r="O59" s="8">
        <v>0.79742286427679598</v>
      </c>
      <c r="P59" s="8">
        <v>0.88729578345231996</v>
      </c>
      <c r="Q59" s="8">
        <v>0.85878782640429396</v>
      </c>
      <c r="R59" s="8">
        <v>0.99151568798315204</v>
      </c>
      <c r="S59">
        <v>28.676509857178001</v>
      </c>
      <c r="T59">
        <v>48</v>
      </c>
      <c r="U59" s="8">
        <v>0.89019550485105503</v>
      </c>
      <c r="V59" s="8">
        <v>0.94190839261487003</v>
      </c>
      <c r="W59" s="8">
        <v>0.992175103788553</v>
      </c>
      <c r="X59" s="8">
        <v>0.98898032746439801</v>
      </c>
      <c r="Z59">
        <v>12257.608652114999</v>
      </c>
      <c r="AA59">
        <v>47</v>
      </c>
      <c r="AB59">
        <v>0.86991582193685002</v>
      </c>
      <c r="AE59">
        <v>239.30692672729</v>
      </c>
      <c r="AF59">
        <v>47</v>
      </c>
      <c r="AG59">
        <v>0.92405995219095005</v>
      </c>
    </row>
    <row r="60" spans="1:33">
      <c r="A60">
        <v>4132.9963207245</v>
      </c>
      <c r="B60">
        <v>50</v>
      </c>
      <c r="C60" s="8">
        <v>0.92240387192382201</v>
      </c>
      <c r="D60" s="8">
        <v>0.95963588650155796</v>
      </c>
      <c r="E60" s="8">
        <v>0.991896519572109</v>
      </c>
      <c r="F60" s="8">
        <v>0.99044919310295898</v>
      </c>
      <c r="G60">
        <v>24.928569793701001</v>
      </c>
      <c r="H60">
        <v>50</v>
      </c>
      <c r="I60" s="8">
        <v>0.92960867710010797</v>
      </c>
      <c r="J60" s="8">
        <v>0.96352041544211997</v>
      </c>
      <c r="K60" s="8">
        <v>0.99259999559086098</v>
      </c>
      <c r="L60" s="8">
        <v>0.98989473914925497</v>
      </c>
      <c r="M60">
        <v>3929.6708106995002</v>
      </c>
      <c r="N60">
        <v>50</v>
      </c>
      <c r="O60" s="8">
        <v>0.80355264580691399</v>
      </c>
      <c r="P60" s="8">
        <v>0.89107756036409203</v>
      </c>
      <c r="Q60" s="8">
        <v>0.86214970520920098</v>
      </c>
      <c r="R60" s="8">
        <v>0.992750819648067</v>
      </c>
      <c r="S60">
        <v>25.192975997925</v>
      </c>
      <c r="T60">
        <v>49</v>
      </c>
      <c r="U60" s="8">
        <v>0.91944347384136405</v>
      </c>
      <c r="V60" s="8">
        <v>0.95803131102505501</v>
      </c>
      <c r="W60" s="8">
        <v>0.99227979239086395</v>
      </c>
      <c r="X60" s="8">
        <v>0.98720097482622005</v>
      </c>
      <c r="Z60">
        <v>12584.641695023</v>
      </c>
      <c r="AA60">
        <v>48</v>
      </c>
      <c r="AB60">
        <v>0.92656843335173</v>
      </c>
      <c r="AE60">
        <v>240.29612541199</v>
      </c>
      <c r="AF60">
        <v>48</v>
      </c>
      <c r="AG60">
        <v>0.88629348529134999</v>
      </c>
    </row>
    <row r="61" spans="1:33">
      <c r="A61">
        <v>4078.4564018249998</v>
      </c>
      <c r="B61">
        <v>51</v>
      </c>
      <c r="C61" s="8">
        <v>0.89502086342481102</v>
      </c>
      <c r="D61" s="8">
        <v>0.94460264865608701</v>
      </c>
      <c r="E61" s="8">
        <v>0.99669369792015705</v>
      </c>
      <c r="F61" s="8">
        <v>0.98939575621708897</v>
      </c>
      <c r="G61">
        <v>26.376485824585</v>
      </c>
      <c r="H61">
        <v>51</v>
      </c>
      <c r="I61" s="8">
        <v>0.91747611401681906</v>
      </c>
      <c r="J61" s="8">
        <v>0.95696223521120904</v>
      </c>
      <c r="K61" s="8">
        <v>0.99747658059386701</v>
      </c>
      <c r="L61" s="8">
        <v>0.98918380035589404</v>
      </c>
      <c r="M61">
        <v>4281.1458110808999</v>
      </c>
      <c r="N61">
        <v>51</v>
      </c>
      <c r="O61" s="8">
        <v>0.82940149451777301</v>
      </c>
      <c r="P61" s="8">
        <v>0.90674627412655695</v>
      </c>
      <c r="Q61" s="8">
        <v>0.87107231920199502</v>
      </c>
      <c r="R61" s="8">
        <v>0.99249097821177801</v>
      </c>
      <c r="S61">
        <v>27.429580688476999</v>
      </c>
      <c r="T61">
        <v>50</v>
      </c>
      <c r="U61" s="8">
        <v>0.92157634547771305</v>
      </c>
      <c r="V61" s="8">
        <v>0.95918785391647299</v>
      </c>
      <c r="W61" s="8">
        <v>0.99276997599574501</v>
      </c>
      <c r="X61" s="8">
        <v>0.98818056065640802</v>
      </c>
      <c r="Z61">
        <v>13307.241201401001</v>
      </c>
      <c r="AA61">
        <v>49</v>
      </c>
      <c r="AB61">
        <v>0.92516317467886999</v>
      </c>
      <c r="AE61">
        <v>241.41383171082001</v>
      </c>
      <c r="AF61">
        <v>49</v>
      </c>
      <c r="AG61">
        <v>0.93198923629607999</v>
      </c>
    </row>
    <row r="62" spans="1:33">
      <c r="A62">
        <v>4212.1758460998999</v>
      </c>
      <c r="B62">
        <v>52</v>
      </c>
      <c r="C62" s="8">
        <v>0.90534733043549498</v>
      </c>
      <c r="D62" s="8">
        <v>0.95032261674679996</v>
      </c>
      <c r="E62" s="8">
        <v>0.99243016784889104</v>
      </c>
      <c r="F62" s="8">
        <v>0.98858584619323697</v>
      </c>
      <c r="G62">
        <v>25.520324707031001</v>
      </c>
      <c r="H62">
        <v>52</v>
      </c>
      <c r="I62" s="8">
        <v>0.92839688270517695</v>
      </c>
      <c r="J62" s="8">
        <v>0.96286909715681701</v>
      </c>
      <c r="K62" s="8">
        <v>0.99059240815559502</v>
      </c>
      <c r="L62" s="8">
        <v>0.98701109431074996</v>
      </c>
      <c r="M62">
        <v>3725.0881195068</v>
      </c>
      <c r="N62">
        <v>52</v>
      </c>
      <c r="O62" s="8">
        <v>0.83156960747602604</v>
      </c>
      <c r="P62" s="8">
        <v>0.90804040870929403</v>
      </c>
      <c r="Q62" s="8">
        <v>0.88384668627790197</v>
      </c>
      <c r="R62" s="8">
        <v>0.992212185261244</v>
      </c>
      <c r="S62">
        <v>25.159120559691999</v>
      </c>
      <c r="T62">
        <v>51</v>
      </c>
      <c r="U62" s="8">
        <v>0.90640384296836096</v>
      </c>
      <c r="V62" s="8">
        <v>0.950904338880315</v>
      </c>
      <c r="W62" s="8">
        <v>0.99404874362365303</v>
      </c>
      <c r="X62" s="8">
        <v>0.98539230129160704</v>
      </c>
      <c r="Z62">
        <v>13663.199663162</v>
      </c>
      <c r="AA62">
        <v>50</v>
      </c>
      <c r="AB62">
        <v>0.92405086301705996</v>
      </c>
      <c r="AE62">
        <v>240.63372612000001</v>
      </c>
      <c r="AF62">
        <v>50</v>
      </c>
      <c r="AG62">
        <v>0.92017103342050999</v>
      </c>
    </row>
    <row r="63" spans="1:33">
      <c r="A63">
        <v>4471.5590476990001</v>
      </c>
      <c r="B63">
        <v>53</v>
      </c>
      <c r="C63" s="8">
        <v>0.91923875945986</v>
      </c>
      <c r="D63" s="8">
        <v>0.95792017009761199</v>
      </c>
      <c r="E63" s="8">
        <v>0.98962410339153595</v>
      </c>
      <c r="F63" s="8">
        <v>0.98961859772011995</v>
      </c>
      <c r="G63">
        <v>24.964809417725</v>
      </c>
      <c r="H63">
        <v>53</v>
      </c>
      <c r="I63" s="8">
        <v>0.90936907061417704</v>
      </c>
      <c r="J63" s="8">
        <v>0.95253357206803901</v>
      </c>
      <c r="K63" s="8">
        <v>0.99865779371321794</v>
      </c>
      <c r="L63" s="8">
        <v>0.98889531705297495</v>
      </c>
      <c r="M63">
        <v>3796.6356277466002</v>
      </c>
      <c r="N63">
        <v>53</v>
      </c>
      <c r="O63" s="8">
        <v>0.80387419836598395</v>
      </c>
      <c r="P63" s="8">
        <v>0.891275233155575</v>
      </c>
      <c r="Q63" s="8">
        <v>0.86523823482133499</v>
      </c>
      <c r="R63" s="8">
        <v>0.99143738087586197</v>
      </c>
      <c r="S63">
        <v>27.221441268921001</v>
      </c>
      <c r="T63">
        <v>52</v>
      </c>
      <c r="U63" s="8">
        <v>0.88390181543493196</v>
      </c>
      <c r="V63" s="8">
        <v>0.93837354812556095</v>
      </c>
      <c r="W63" s="8">
        <v>0.98241486525136701</v>
      </c>
      <c r="X63" s="8">
        <v>0.98715151953490199</v>
      </c>
      <c r="Z63">
        <v>13071.441411972</v>
      </c>
      <c r="AA63">
        <v>51</v>
      </c>
      <c r="AB63">
        <v>0.90247956280204</v>
      </c>
      <c r="AE63">
        <v>239.05992507934999</v>
      </c>
      <c r="AF63">
        <v>51</v>
      </c>
      <c r="AG63">
        <v>0.90959947545374997</v>
      </c>
    </row>
    <row r="64" spans="1:33">
      <c r="A64">
        <v>4094.3782329558999</v>
      </c>
      <c r="B64">
        <v>54</v>
      </c>
      <c r="C64" s="8">
        <v>0.91008712919059798</v>
      </c>
      <c r="D64" s="8">
        <v>0.95292734586013195</v>
      </c>
      <c r="E64" s="8">
        <v>0.99630250393620801</v>
      </c>
      <c r="F64" s="8">
        <v>0.99018451139895403</v>
      </c>
      <c r="G64">
        <v>26.043891906738001</v>
      </c>
      <c r="H64">
        <v>54</v>
      </c>
      <c r="I64" s="8">
        <v>0.90435091677548396</v>
      </c>
      <c r="J64" s="8">
        <v>0.94977339397799998</v>
      </c>
      <c r="K64" s="8">
        <v>0.99693361271528502</v>
      </c>
      <c r="L64" s="8">
        <v>0.98709263789581703</v>
      </c>
      <c r="M64">
        <v>3733.6356639862001</v>
      </c>
      <c r="N64">
        <v>54</v>
      </c>
      <c r="O64" s="8">
        <v>0.785636669956435</v>
      </c>
      <c r="P64" s="8">
        <v>0.87995131728068998</v>
      </c>
      <c r="Q64" s="8">
        <v>0.856478361988393</v>
      </c>
      <c r="R64" s="8">
        <v>0.99132622872328102</v>
      </c>
      <c r="S64">
        <v>25.235891342163001</v>
      </c>
      <c r="T64">
        <v>53</v>
      </c>
      <c r="U64" s="8">
        <v>0.927754553598089</v>
      </c>
      <c r="V64" s="8">
        <v>0.96252352444606204</v>
      </c>
      <c r="W64" s="8">
        <v>0.99233483975024295</v>
      </c>
      <c r="X64" s="8">
        <v>0.99055812956091704</v>
      </c>
      <c r="Z64">
        <v>15744.514942169</v>
      </c>
      <c r="AA64">
        <v>52</v>
      </c>
      <c r="AB64">
        <v>0.92836605718062004</v>
      </c>
      <c r="AE64">
        <v>241.84870719910001</v>
      </c>
      <c r="AF64">
        <v>52</v>
      </c>
      <c r="AG64">
        <v>0.90001012555690996</v>
      </c>
    </row>
    <row r="65" spans="1:33">
      <c r="A65">
        <v>4156.1508178711001</v>
      </c>
      <c r="B65">
        <v>55</v>
      </c>
      <c r="C65" s="8">
        <v>0.91844606250121097</v>
      </c>
      <c r="D65" s="8">
        <v>0.95748958540306195</v>
      </c>
      <c r="E65" s="8">
        <v>0.99615993721357199</v>
      </c>
      <c r="F65" s="8">
        <v>0.98667027277644603</v>
      </c>
      <c r="G65">
        <v>24.988651275635</v>
      </c>
      <c r="H65">
        <v>55</v>
      </c>
      <c r="I65" s="8">
        <v>0.91084391694740796</v>
      </c>
      <c r="J65" s="8">
        <v>0.95334203790175598</v>
      </c>
      <c r="K65" s="8">
        <v>0.996945198716366</v>
      </c>
      <c r="L65" s="8">
        <v>0.98666512866942901</v>
      </c>
      <c r="M65">
        <v>4280.8575630187997</v>
      </c>
      <c r="N65">
        <v>55</v>
      </c>
      <c r="O65" s="8">
        <v>0.84273542311198502</v>
      </c>
      <c r="P65" s="8">
        <v>0.914656995835881</v>
      </c>
      <c r="Q65" s="8">
        <v>0.88657645139853802</v>
      </c>
      <c r="R65" s="8">
        <v>0.99248050541831401</v>
      </c>
      <c r="S65">
        <v>27.469873428345</v>
      </c>
      <c r="T65">
        <v>54</v>
      </c>
      <c r="U65" s="8">
        <v>0.913977636420231</v>
      </c>
      <c r="V65" s="8">
        <v>0.95505571123565502</v>
      </c>
      <c r="W65" s="8">
        <v>0.990785603045509</v>
      </c>
      <c r="X65" s="8">
        <v>0.98958945161608403</v>
      </c>
      <c r="Z65">
        <v>13194.215774536</v>
      </c>
      <c r="AA65">
        <v>53</v>
      </c>
      <c r="AB65">
        <v>0.93551544575389001</v>
      </c>
      <c r="AE65">
        <v>239.02487754821999</v>
      </c>
      <c r="AF65">
        <v>53</v>
      </c>
      <c r="AG65">
        <v>0.93037776827141005</v>
      </c>
    </row>
    <row r="66" spans="1:33">
      <c r="A66">
        <v>4196.4387893677003</v>
      </c>
      <c r="B66">
        <v>56</v>
      </c>
      <c r="C66" s="8">
        <v>0.92126281001318999</v>
      </c>
      <c r="D66" s="8">
        <v>0.95901800129766201</v>
      </c>
      <c r="E66" s="8">
        <v>0.98731620930973096</v>
      </c>
      <c r="F66" s="8">
        <v>0.989964439042474</v>
      </c>
      <c r="G66">
        <v>25.410890579223999</v>
      </c>
      <c r="H66">
        <v>56</v>
      </c>
      <c r="I66" s="8">
        <v>0.92234632027807695</v>
      </c>
      <c r="J66" s="8">
        <v>0.959604739841731</v>
      </c>
      <c r="K66" s="8">
        <v>0.99190499601607096</v>
      </c>
      <c r="L66" s="8">
        <v>0.99043952194385998</v>
      </c>
      <c r="M66">
        <v>3866.1229610443002</v>
      </c>
      <c r="N66">
        <v>56</v>
      </c>
      <c r="O66" s="8">
        <v>0.80837433701833905</v>
      </c>
      <c r="P66" s="8">
        <v>0.89403429419507496</v>
      </c>
      <c r="Q66" s="8">
        <v>0.85783308186549501</v>
      </c>
      <c r="R66" s="8">
        <v>0.99224373040247005</v>
      </c>
      <c r="S66">
        <v>25.155067443848001</v>
      </c>
      <c r="T66">
        <v>55</v>
      </c>
      <c r="U66" s="8">
        <v>0.90344480542411099</v>
      </c>
      <c r="V66" s="8">
        <v>0.94927344659496204</v>
      </c>
      <c r="W66" s="8">
        <v>0.98934617206608799</v>
      </c>
      <c r="X66" s="8">
        <v>0.98959412319246098</v>
      </c>
      <c r="Z66">
        <v>12831.740140915001</v>
      </c>
      <c r="AA66">
        <v>54</v>
      </c>
      <c r="AB66">
        <v>0.91483501729997996</v>
      </c>
      <c r="AE66">
        <v>240.38195610046</v>
      </c>
      <c r="AF66">
        <v>54</v>
      </c>
      <c r="AG66">
        <v>0.90249035742996997</v>
      </c>
    </row>
    <row r="67" spans="1:33">
      <c r="A67">
        <v>6468.9283370971998</v>
      </c>
      <c r="B67">
        <v>57</v>
      </c>
      <c r="C67" s="8">
        <v>0.93067340411549004</v>
      </c>
      <c r="D67" s="8">
        <v>0.96409201279888601</v>
      </c>
      <c r="E67" s="8">
        <v>0.99648168128723502</v>
      </c>
      <c r="F67" s="8">
        <v>0.99017676180711001</v>
      </c>
      <c r="G67">
        <v>24.928092956543001</v>
      </c>
      <c r="H67">
        <v>57</v>
      </c>
      <c r="I67" s="8">
        <v>0.913977636420231</v>
      </c>
      <c r="J67" s="8">
        <v>0.95505571123565502</v>
      </c>
      <c r="K67" s="8">
        <v>0.990785603045509</v>
      </c>
      <c r="L67" s="8">
        <v>0.98958945161608403</v>
      </c>
      <c r="M67">
        <v>3714.3814563750998</v>
      </c>
      <c r="N67">
        <v>57</v>
      </c>
      <c r="O67" s="8">
        <v>0.81679828326180204</v>
      </c>
      <c r="P67" s="8">
        <v>0.89916232394865203</v>
      </c>
      <c r="Q67" s="8">
        <v>0.87307208852106999</v>
      </c>
      <c r="R67" s="8">
        <v>0.99200817382142104</v>
      </c>
      <c r="S67">
        <v>25.663137435913001</v>
      </c>
      <c r="T67">
        <v>56</v>
      </c>
      <c r="U67" s="8">
        <v>0.91186539237110797</v>
      </c>
      <c r="V67" s="8">
        <v>0.95390124849763303</v>
      </c>
      <c r="W67" s="8">
        <v>0.98993004999338097</v>
      </c>
      <c r="X67" s="8">
        <v>0.99115285422517496</v>
      </c>
      <c r="Z67">
        <v>12764.136075974</v>
      </c>
      <c r="AA67">
        <v>55</v>
      </c>
      <c r="AB67">
        <v>0.92155079558574005</v>
      </c>
      <c r="AE67">
        <v>238.73090744019001</v>
      </c>
      <c r="AF67">
        <v>55</v>
      </c>
      <c r="AG67">
        <v>0.91551357294835001</v>
      </c>
    </row>
    <row r="68" spans="1:33">
      <c r="A68">
        <v>5302.1492958069002</v>
      </c>
      <c r="B68">
        <v>58</v>
      </c>
      <c r="C68" s="8">
        <v>0.91397034175618896</v>
      </c>
      <c r="D68" s="8">
        <v>0.95505172866739696</v>
      </c>
      <c r="E68" s="8">
        <v>0.990785603045509</v>
      </c>
      <c r="F68" s="8">
        <v>0.98958837980012704</v>
      </c>
      <c r="G68">
        <v>25.448799133301002</v>
      </c>
      <c r="H68">
        <v>58</v>
      </c>
      <c r="I68" s="8">
        <v>0.90344480542411099</v>
      </c>
      <c r="J68" s="8">
        <v>0.94927344659496204</v>
      </c>
      <c r="K68" s="8">
        <v>0.98934617206608799</v>
      </c>
      <c r="L68" s="8">
        <v>0.98959412319246098</v>
      </c>
      <c r="M68">
        <v>3970.4368114470999</v>
      </c>
      <c r="N68">
        <v>58</v>
      </c>
      <c r="O68" s="8">
        <v>0.77214830858085803</v>
      </c>
      <c r="P68" s="8">
        <v>0.87142628508242204</v>
      </c>
      <c r="Q68" s="8">
        <v>0.828890918652605</v>
      </c>
      <c r="R68" s="8">
        <v>0.991528299097309</v>
      </c>
      <c r="S68">
        <v>27.061223983765</v>
      </c>
      <c r="T68">
        <v>57</v>
      </c>
      <c r="U68" s="8">
        <v>0.91261212187238905</v>
      </c>
      <c r="V68" s="8">
        <v>0.95430967046153603</v>
      </c>
      <c r="W68" s="8">
        <v>0.99572873082287305</v>
      </c>
      <c r="X68" s="8">
        <v>0.98753989661572605</v>
      </c>
      <c r="Z68">
        <v>13037.597417831001</v>
      </c>
      <c r="AA68">
        <v>56</v>
      </c>
      <c r="AB68">
        <v>0.83848085321488997</v>
      </c>
      <c r="AE68">
        <v>240.56506156921</v>
      </c>
      <c r="AF68">
        <v>56</v>
      </c>
      <c r="AG68">
        <v>0.93911348860695998</v>
      </c>
    </row>
    <row r="69" spans="1:33">
      <c r="A69">
        <v>4822.8967189789</v>
      </c>
      <c r="B69">
        <v>59</v>
      </c>
      <c r="C69" s="8">
        <v>0.91498025836096197</v>
      </c>
      <c r="D69" s="8">
        <v>0.955602810385206</v>
      </c>
      <c r="E69" s="8">
        <v>0.99712895705429405</v>
      </c>
      <c r="F69" s="8">
        <v>0.98691288551369905</v>
      </c>
      <c r="G69">
        <v>25.53391456604</v>
      </c>
      <c r="H69">
        <v>59</v>
      </c>
      <c r="I69" s="8">
        <v>0.92124220901579901</v>
      </c>
      <c r="J69" s="8">
        <v>0.95900683910929296</v>
      </c>
      <c r="K69" s="8">
        <v>0.98730844213845703</v>
      </c>
      <c r="L69" s="8">
        <v>0.98996226472529103</v>
      </c>
      <c r="M69">
        <v>4160.4173183440998</v>
      </c>
      <c r="N69">
        <v>59</v>
      </c>
      <c r="O69" s="8">
        <v>0.85094005723178801</v>
      </c>
      <c r="P69" s="8">
        <v>0.91946797942709102</v>
      </c>
      <c r="Q69" s="8">
        <v>0.91942745555389804</v>
      </c>
      <c r="R69" s="8">
        <v>0.98682712347435397</v>
      </c>
      <c r="S69">
        <v>25.658845901488998</v>
      </c>
      <c r="T69">
        <v>58</v>
      </c>
      <c r="U69" s="8">
        <v>0.90805532226649699</v>
      </c>
      <c r="V69" s="8">
        <v>0.95181236274413294</v>
      </c>
      <c r="W69" s="8">
        <v>0.99757562670540401</v>
      </c>
      <c r="X69" s="8">
        <v>0.98939044717722902</v>
      </c>
      <c r="Z69">
        <v>14149.664640427</v>
      </c>
      <c r="AA69">
        <v>57</v>
      </c>
      <c r="AB69">
        <v>0.91553624344262996</v>
      </c>
      <c r="AE69">
        <v>237.90788650512999</v>
      </c>
      <c r="AF69">
        <v>57</v>
      </c>
      <c r="AG69">
        <v>0.90336239622878001</v>
      </c>
    </row>
    <row r="70" spans="1:33">
      <c r="A70">
        <v>4698.9235877990996</v>
      </c>
      <c r="B70">
        <v>60</v>
      </c>
      <c r="C70" s="8">
        <v>0.92045234606132598</v>
      </c>
      <c r="D70" s="8">
        <v>0.958578688973033</v>
      </c>
      <c r="E70" s="8">
        <v>0.99466662682821105</v>
      </c>
      <c r="F70" s="8">
        <v>0.98819943544454902</v>
      </c>
      <c r="G70">
        <v>25.413990020751999</v>
      </c>
      <c r="H70">
        <v>60</v>
      </c>
      <c r="I70" s="8">
        <v>0.92174448988501401</v>
      </c>
      <c r="J70" s="8">
        <v>0.95927892051889396</v>
      </c>
      <c r="K70" s="8">
        <v>0.996778538400655</v>
      </c>
      <c r="L70" s="8">
        <v>0.98703763893771601</v>
      </c>
      <c r="M70">
        <v>3835.7150554657001</v>
      </c>
      <c r="N70">
        <v>60</v>
      </c>
      <c r="O70" s="8">
        <v>0.83385021209852705</v>
      </c>
      <c r="P70" s="8">
        <v>0.90939838662649397</v>
      </c>
      <c r="Q70" s="8">
        <v>0.88029865125240803</v>
      </c>
      <c r="R70" s="8">
        <v>0.99191776453732095</v>
      </c>
      <c r="S70">
        <v>25.208234786986999</v>
      </c>
      <c r="T70">
        <v>59</v>
      </c>
      <c r="U70" s="8">
        <v>0.91098607683431099</v>
      </c>
      <c r="V70" s="8">
        <v>0.95341989968176699</v>
      </c>
      <c r="W70" s="8">
        <v>0.99232964189703698</v>
      </c>
      <c r="X70" s="8">
        <v>0.98964223566787402</v>
      </c>
      <c r="Z70">
        <v>14531.705617905</v>
      </c>
      <c r="AA70">
        <v>58</v>
      </c>
      <c r="AB70">
        <v>0.90300635285879005</v>
      </c>
      <c r="AE70">
        <v>239.23158645629999</v>
      </c>
      <c r="AF70">
        <v>58</v>
      </c>
      <c r="AG70">
        <v>0.92335763267352999</v>
      </c>
    </row>
    <row r="71" spans="1:33">
      <c r="A71">
        <v>3915.5497550964001</v>
      </c>
      <c r="B71">
        <v>61</v>
      </c>
      <c r="C71" s="8">
        <v>0.91420918982039201</v>
      </c>
      <c r="D71" s="8">
        <v>0.95518211351411497</v>
      </c>
      <c r="E71" s="8">
        <v>0.99426492228919305</v>
      </c>
      <c r="F71" s="8">
        <v>0.99084859094844702</v>
      </c>
      <c r="G71">
        <v>25.012969970703001</v>
      </c>
      <c r="H71">
        <v>61</v>
      </c>
      <c r="I71" s="8">
        <v>0.91471335780852803</v>
      </c>
      <c r="J71" s="8">
        <v>0.95545722713864301</v>
      </c>
      <c r="K71" s="8">
        <v>0.99277519922935398</v>
      </c>
      <c r="L71" s="8">
        <v>0.98957069134169395</v>
      </c>
      <c r="M71">
        <v>4070.3201293944999</v>
      </c>
      <c r="N71">
        <v>61</v>
      </c>
      <c r="O71" s="8">
        <v>0.85345374961159604</v>
      </c>
      <c r="P71" s="8">
        <v>0.92093341934261197</v>
      </c>
      <c r="Q71" s="8">
        <v>0.90804358137729801</v>
      </c>
      <c r="R71" s="8">
        <v>0.99021369335212805</v>
      </c>
      <c r="S71">
        <v>25.774717330933001</v>
      </c>
      <c r="T71">
        <v>60</v>
      </c>
      <c r="U71" s="8">
        <v>0.91147438959084104</v>
      </c>
      <c r="V71" s="8">
        <v>0.95368726314553998</v>
      </c>
      <c r="W71" s="8">
        <v>0.99232629779321901</v>
      </c>
      <c r="X71" s="8">
        <v>0.98778385263804303</v>
      </c>
      <c r="Z71">
        <v>12813.697814941001</v>
      </c>
      <c r="AA71">
        <v>59</v>
      </c>
      <c r="AB71">
        <v>0.89961944530822002</v>
      </c>
      <c r="AE71">
        <v>237.99157142639001</v>
      </c>
      <c r="AF71">
        <v>59</v>
      </c>
      <c r="AG71">
        <v>0.90007053023372996</v>
      </c>
    </row>
    <row r="72" spans="1:33">
      <c r="A72">
        <v>4166.5620803832999</v>
      </c>
      <c r="B72">
        <v>62</v>
      </c>
      <c r="C72" s="8">
        <v>0.90936129842824498</v>
      </c>
      <c r="D72" s="8">
        <v>0.95252930828420601</v>
      </c>
      <c r="E72" s="8">
        <v>0.99865779371321794</v>
      </c>
      <c r="F72" s="8">
        <v>0.98889425552129095</v>
      </c>
      <c r="G72">
        <v>26.07798576355</v>
      </c>
      <c r="H72">
        <v>62</v>
      </c>
      <c r="I72" s="8">
        <v>0.91849891471302902</v>
      </c>
      <c r="J72" s="8">
        <v>0.95751830524274095</v>
      </c>
      <c r="K72" s="8">
        <v>0.99538144136540496</v>
      </c>
      <c r="L72" s="8">
        <v>0.98836537354417797</v>
      </c>
      <c r="M72">
        <v>3907.8860282897999</v>
      </c>
      <c r="N72">
        <v>62</v>
      </c>
      <c r="O72" s="8">
        <v>0.816950873426043</v>
      </c>
      <c r="P72" s="8">
        <v>0.89925477389006103</v>
      </c>
      <c r="Q72" s="8">
        <v>0.87012480499219902</v>
      </c>
      <c r="R72" s="8">
        <v>0.99215290245361998</v>
      </c>
      <c r="S72">
        <v>25.167226791381999</v>
      </c>
      <c r="T72">
        <v>61</v>
      </c>
      <c r="U72" s="8">
        <v>0.91747611401681906</v>
      </c>
      <c r="V72" s="8">
        <v>0.95696223521120904</v>
      </c>
      <c r="W72" s="8">
        <v>0.99747658059386701</v>
      </c>
      <c r="X72" s="8">
        <v>0.98918380035589404</v>
      </c>
      <c r="Z72">
        <v>12408.096790314001</v>
      </c>
      <c r="AA72">
        <v>60</v>
      </c>
      <c r="AB72">
        <v>0.88635079704271003</v>
      </c>
      <c r="AE72">
        <v>237.07294464111001</v>
      </c>
      <c r="AF72">
        <v>60</v>
      </c>
      <c r="AG72">
        <v>0.91170859045079999</v>
      </c>
    </row>
    <row r="73" spans="1:33">
      <c r="A73">
        <v>4184.5839023589997</v>
      </c>
      <c r="B73">
        <v>63</v>
      </c>
      <c r="C73" s="8">
        <v>0.91745516806343996</v>
      </c>
      <c r="D73" s="8">
        <v>0.95695084124447705</v>
      </c>
      <c r="E73" s="8">
        <v>0.99268720748829897</v>
      </c>
      <c r="F73" s="8">
        <v>0.99011391809865701</v>
      </c>
      <c r="G73">
        <v>24.883985519408998</v>
      </c>
      <c r="H73">
        <v>63</v>
      </c>
      <c r="I73" s="8">
        <v>0.92125607349170802</v>
      </c>
      <c r="J73" s="8">
        <v>0.95901435129093304</v>
      </c>
      <c r="K73" s="8">
        <v>0.99386694019028698</v>
      </c>
      <c r="L73" s="8">
        <v>0.98771840288532597</v>
      </c>
      <c r="M73">
        <v>3823.8956928253001</v>
      </c>
      <c r="N73">
        <v>63</v>
      </c>
      <c r="O73" s="8">
        <v>0.82106133657881997</v>
      </c>
      <c r="P73" s="8">
        <v>0.90173935395424498</v>
      </c>
      <c r="Q73" s="8">
        <v>0.86831184046599497</v>
      </c>
      <c r="R73" s="8">
        <v>0.99247875450331202</v>
      </c>
      <c r="S73">
        <v>25.676012039185</v>
      </c>
      <c r="T73">
        <v>62</v>
      </c>
      <c r="U73" s="8">
        <v>0.93068020008032404</v>
      </c>
      <c r="V73" s="8">
        <v>0.96409565917918805</v>
      </c>
      <c r="W73" s="8">
        <v>0.99648168128723502</v>
      </c>
      <c r="X73" s="8">
        <v>0.99017784796790098</v>
      </c>
      <c r="Z73">
        <v>12755.726099014</v>
      </c>
      <c r="AA73">
        <v>61</v>
      </c>
      <c r="AB73">
        <v>0.92870101596516996</v>
      </c>
      <c r="AE73">
        <v>241.50419235229</v>
      </c>
      <c r="AF73">
        <v>61</v>
      </c>
      <c r="AG73">
        <v>0.91062429432985004</v>
      </c>
    </row>
    <row r="74" spans="1:33">
      <c r="A74">
        <v>4449.2168426513999</v>
      </c>
      <c r="B74">
        <v>64</v>
      </c>
      <c r="C74" s="8">
        <v>0.90603351759848805</v>
      </c>
      <c r="D74" s="8">
        <v>0.95070050891869695</v>
      </c>
      <c r="E74" s="8">
        <v>0.99479481786664303</v>
      </c>
      <c r="F74" s="8">
        <v>0.98919899327544403</v>
      </c>
      <c r="G74">
        <v>25.254726409911999</v>
      </c>
      <c r="H74">
        <v>64</v>
      </c>
      <c r="I74" s="8">
        <v>0.91921829904364705</v>
      </c>
      <c r="J74" s="8">
        <v>0.95790906068548498</v>
      </c>
      <c r="K74" s="8">
        <v>0.98962410339153595</v>
      </c>
      <c r="L74" s="8">
        <v>0.98961534879389002</v>
      </c>
      <c r="M74">
        <v>5158.1170558928998</v>
      </c>
      <c r="N74">
        <v>64</v>
      </c>
      <c r="O74" s="8">
        <v>0.84679539612058896</v>
      </c>
      <c r="P74" s="8">
        <v>0.917043000972801</v>
      </c>
      <c r="Q74" s="8">
        <v>0.90612838186336497</v>
      </c>
      <c r="R74" s="8">
        <v>0.99026084765167599</v>
      </c>
      <c r="S74">
        <v>25.173902511596999</v>
      </c>
      <c r="T74">
        <v>63</v>
      </c>
      <c r="U74" s="8">
        <v>0.91228270466100403</v>
      </c>
      <c r="V74" s="8">
        <v>0.95412953580284199</v>
      </c>
      <c r="W74" s="8">
        <v>0.99506051901907699</v>
      </c>
      <c r="X74" s="8">
        <v>0.98822348020402495</v>
      </c>
      <c r="Z74">
        <v>13305.496454239001</v>
      </c>
      <c r="AA74">
        <v>62</v>
      </c>
      <c r="AB74">
        <v>0.90011871508380004</v>
      </c>
      <c r="AE74">
        <v>243.28351020813</v>
      </c>
      <c r="AF74">
        <v>62</v>
      </c>
      <c r="AG74">
        <v>0.87914196415857004</v>
      </c>
    </row>
    <row r="75" spans="1:33">
      <c r="A75">
        <v>5163.2871627807999</v>
      </c>
      <c r="B75">
        <v>65</v>
      </c>
      <c r="C75" s="8">
        <v>0.88863998407009104</v>
      </c>
      <c r="D75" s="8">
        <v>0.94103692769972802</v>
      </c>
      <c r="E75" s="8">
        <v>0.99373176868779001</v>
      </c>
      <c r="F75" s="8">
        <v>0.98892108331820905</v>
      </c>
      <c r="G75">
        <v>25.192975997925</v>
      </c>
      <c r="H75">
        <v>65</v>
      </c>
      <c r="I75" s="8">
        <v>0.91086994769757301</v>
      </c>
      <c r="J75" s="8">
        <v>0.95335629595838201</v>
      </c>
      <c r="K75" s="8">
        <v>0.99181448487856705</v>
      </c>
      <c r="L75" s="8">
        <v>0.98907082171784599</v>
      </c>
      <c r="M75">
        <v>3830.4462432861001</v>
      </c>
      <c r="N75">
        <v>65</v>
      </c>
      <c r="O75" s="8">
        <v>0.84925543753927202</v>
      </c>
      <c r="P75" s="8">
        <v>0.91848364514676295</v>
      </c>
      <c r="Q75" s="8">
        <v>0.89910073095665499</v>
      </c>
      <c r="R75" s="8">
        <v>0.99207302816169596</v>
      </c>
      <c r="S75">
        <v>25.755882263183999</v>
      </c>
      <c r="T75">
        <v>64</v>
      </c>
      <c r="U75" s="8">
        <v>0.89962430975013297</v>
      </c>
      <c r="V75" s="8">
        <v>0.94716024124629705</v>
      </c>
      <c r="W75" s="8">
        <v>0.99643965347156205</v>
      </c>
      <c r="X75" s="8">
        <v>0.98719412637262904</v>
      </c>
      <c r="Z75">
        <v>12749.435901642</v>
      </c>
      <c r="AA75">
        <v>63</v>
      </c>
      <c r="AB75">
        <v>0.85387826116051002</v>
      </c>
      <c r="AE75">
        <v>239.76135253906</v>
      </c>
      <c r="AF75">
        <v>63</v>
      </c>
      <c r="AG75">
        <v>0.92995273208546003</v>
      </c>
    </row>
    <row r="76" spans="1:33">
      <c r="A76">
        <v>4072.7252960205001</v>
      </c>
      <c r="B76">
        <v>66</v>
      </c>
      <c r="C76" s="8">
        <v>0.92297775280156003</v>
      </c>
      <c r="D76" s="8">
        <v>0.95994636594925398</v>
      </c>
      <c r="E76" s="8">
        <v>0.99308563989841803</v>
      </c>
      <c r="F76" s="8">
        <v>0.98824007515426704</v>
      </c>
      <c r="G76">
        <v>25.373697280883999</v>
      </c>
      <c r="H76">
        <v>66</v>
      </c>
      <c r="I76" s="8">
        <v>0.90761553759419</v>
      </c>
      <c r="J76" s="8">
        <v>0.95157071192535903</v>
      </c>
      <c r="K76" s="8">
        <v>0.99701369890468805</v>
      </c>
      <c r="L76" s="8">
        <v>0.98964045670946099</v>
      </c>
      <c r="M76">
        <v>3629.3406486510999</v>
      </c>
      <c r="N76">
        <v>66</v>
      </c>
      <c r="O76" s="8">
        <v>0.84512052602514498</v>
      </c>
      <c r="P76" s="8">
        <v>0.91605996909670495</v>
      </c>
      <c r="Q76" s="8">
        <v>0.89480375560042602</v>
      </c>
      <c r="R76" s="8">
        <v>0.99040809150194797</v>
      </c>
      <c r="S76">
        <v>25.146484375</v>
      </c>
      <c r="T76">
        <v>65</v>
      </c>
      <c r="U76" s="8">
        <v>0.897831333550142</v>
      </c>
      <c r="V76" s="8">
        <v>0.94616557085779696</v>
      </c>
      <c r="W76" s="8">
        <v>0.99197216259916599</v>
      </c>
      <c r="X76" s="8">
        <v>0.98823846358632905</v>
      </c>
      <c r="Z76">
        <v>13556.483745575</v>
      </c>
      <c r="AA76">
        <v>64</v>
      </c>
      <c r="AB76">
        <v>0.8487003138468</v>
      </c>
      <c r="AE76">
        <v>246.21176719665999</v>
      </c>
      <c r="AF76">
        <v>64</v>
      </c>
      <c r="AG76">
        <v>0.91618264482585998</v>
      </c>
    </row>
    <row r="77" spans="1:33">
      <c r="A77">
        <v>4044.9802875518999</v>
      </c>
      <c r="B77">
        <v>67</v>
      </c>
      <c r="C77" s="8">
        <v>0.91500783753415904</v>
      </c>
      <c r="D77" s="8">
        <v>0.95561785137376698</v>
      </c>
      <c r="E77" s="8">
        <v>0.99566034460637398</v>
      </c>
      <c r="F77" s="8">
        <v>0.98725107168938797</v>
      </c>
      <c r="G77">
        <v>24.935245513916001</v>
      </c>
      <c r="H77">
        <v>67</v>
      </c>
      <c r="I77" s="8">
        <v>0.92216487545435899</v>
      </c>
      <c r="J77" s="8">
        <v>0.959506530610574</v>
      </c>
      <c r="K77" s="8">
        <v>0.99471281146038404</v>
      </c>
      <c r="L77" s="8">
        <v>0.99004022588380902</v>
      </c>
      <c r="M77">
        <v>3544.0599918365001</v>
      </c>
      <c r="N77">
        <v>67</v>
      </c>
      <c r="O77" s="8">
        <v>0.83815839384415303</v>
      </c>
      <c r="P77" s="8">
        <v>0.91195448297717796</v>
      </c>
      <c r="Q77" s="8">
        <v>0.90290121565021897</v>
      </c>
      <c r="R77" s="8">
        <v>0.98838655886257099</v>
      </c>
      <c r="S77">
        <v>26.771306991576999</v>
      </c>
      <c r="T77">
        <v>66</v>
      </c>
      <c r="U77" s="8">
        <v>0.88864883162914798</v>
      </c>
      <c r="V77" s="8">
        <v>0.941041888515187</v>
      </c>
      <c r="W77" s="8">
        <v>0.99373176868779001</v>
      </c>
      <c r="X77" s="8">
        <v>0.98892212633427801</v>
      </c>
      <c r="Z77">
        <v>13870.06354332</v>
      </c>
      <c r="AA77">
        <v>65</v>
      </c>
      <c r="AB77">
        <v>0.92988519655740998</v>
      </c>
      <c r="AE77">
        <v>239.52937126160001</v>
      </c>
      <c r="AF77">
        <v>65</v>
      </c>
      <c r="AG77">
        <v>0.91536785994533998</v>
      </c>
    </row>
    <row r="78" spans="1:33">
      <c r="A78">
        <v>4387.5501155852999</v>
      </c>
      <c r="B78">
        <v>68</v>
      </c>
      <c r="C78" s="8">
        <v>0.92714432858775497</v>
      </c>
      <c r="D78" s="8">
        <v>0.96219501034173405</v>
      </c>
      <c r="E78" s="8">
        <v>0.98912421724470101</v>
      </c>
      <c r="F78" s="8">
        <v>0.99030044380766002</v>
      </c>
      <c r="G78">
        <v>24.913549423218001</v>
      </c>
      <c r="H78">
        <v>68</v>
      </c>
      <c r="I78" s="8">
        <v>0.90640384296836096</v>
      </c>
      <c r="J78" s="8">
        <v>0.950904338880315</v>
      </c>
      <c r="K78" s="8">
        <v>0.99404874362365303</v>
      </c>
      <c r="L78" s="8">
        <v>0.98539230129160704</v>
      </c>
      <c r="M78">
        <v>3815.5231475830001</v>
      </c>
      <c r="N78">
        <v>68</v>
      </c>
      <c r="O78" s="8">
        <v>0.84875558808920004</v>
      </c>
      <c r="P78" s="8">
        <v>0.91819123474990005</v>
      </c>
      <c r="Q78" s="8">
        <v>0.89739549861447898</v>
      </c>
      <c r="R78" s="8">
        <v>0.99082495726684805</v>
      </c>
      <c r="S78">
        <v>25.120496749878001</v>
      </c>
      <c r="T78">
        <v>67</v>
      </c>
      <c r="U78" s="8">
        <v>0.91021788674534398</v>
      </c>
      <c r="V78" s="8">
        <v>0.95299901970469503</v>
      </c>
      <c r="W78" s="8">
        <v>0.99313403286477897</v>
      </c>
      <c r="X78" s="8">
        <v>0.98752793285489204</v>
      </c>
      <c r="Z78">
        <v>14218.314170837</v>
      </c>
      <c r="AA78">
        <v>66</v>
      </c>
      <c r="AB78">
        <v>0.90895495332184995</v>
      </c>
      <c r="AE78">
        <v>242.03181266785001</v>
      </c>
      <c r="AF78">
        <v>66</v>
      </c>
      <c r="AG78">
        <v>0.92537977320585996</v>
      </c>
    </row>
    <row r="79" spans="1:33">
      <c r="A79">
        <v>4119.0178394318</v>
      </c>
      <c r="B79">
        <v>69</v>
      </c>
      <c r="C79" s="8">
        <v>0.92238105710725005</v>
      </c>
      <c r="D79" s="8">
        <v>0.95962353946124002</v>
      </c>
      <c r="E79" s="8">
        <v>0.99597878571993903</v>
      </c>
      <c r="F79" s="8">
        <v>0.98907016132355097</v>
      </c>
      <c r="G79">
        <v>25.101900100708001</v>
      </c>
      <c r="H79">
        <v>69</v>
      </c>
      <c r="I79" s="8">
        <v>0.92469522207403099</v>
      </c>
      <c r="J79" s="8">
        <v>0.96087444024263702</v>
      </c>
      <c r="K79" s="8">
        <v>0.98911742144541803</v>
      </c>
      <c r="L79" s="8">
        <v>0.98931015403366196</v>
      </c>
      <c r="M79">
        <v>3764.0020847320998</v>
      </c>
      <c r="N79">
        <v>69</v>
      </c>
      <c r="O79" s="8">
        <v>0.78727292368075097</v>
      </c>
      <c r="P79" s="8">
        <v>0.88097672521040904</v>
      </c>
      <c r="Q79" s="8">
        <v>0.84549049179693903</v>
      </c>
      <c r="R79" s="8">
        <v>0.99190701050321695</v>
      </c>
      <c r="S79">
        <v>25.807857513428001</v>
      </c>
      <c r="T79">
        <v>68</v>
      </c>
      <c r="U79" s="8">
        <v>0.91471335780852803</v>
      </c>
      <c r="V79" s="8">
        <v>0.95545722713864301</v>
      </c>
      <c r="W79" s="8">
        <v>0.99277519922935398</v>
      </c>
      <c r="X79" s="8">
        <v>0.98957069134169395</v>
      </c>
      <c r="Z79">
        <v>12413.632869720001</v>
      </c>
      <c r="AA79">
        <v>67</v>
      </c>
      <c r="AB79">
        <v>0.88452367820383004</v>
      </c>
      <c r="AE79">
        <v>238.38019371032999</v>
      </c>
      <c r="AF79">
        <v>67</v>
      </c>
      <c r="AG79">
        <v>0.89761131157443996</v>
      </c>
    </row>
    <row r="80" spans="1:33">
      <c r="A80">
        <v>4104.7441959381003</v>
      </c>
      <c r="B80">
        <v>70</v>
      </c>
      <c r="C80" s="8">
        <v>0.91857895512231402</v>
      </c>
      <c r="D80" s="8">
        <v>0.95756179610940395</v>
      </c>
      <c r="E80" s="8">
        <v>0.99291732071494099</v>
      </c>
      <c r="F80" s="8">
        <v>0.98835830501633504</v>
      </c>
      <c r="G80">
        <v>25.460958480835</v>
      </c>
      <c r="H80">
        <v>70</v>
      </c>
      <c r="I80" s="8">
        <v>0.92237429532808901</v>
      </c>
      <c r="J80" s="8">
        <v>0.95961988003035403</v>
      </c>
      <c r="K80" s="8">
        <v>0.99597878571993903</v>
      </c>
      <c r="L80" s="8">
        <v>0.98906907701415803</v>
      </c>
      <c r="M80">
        <v>3955.0132751464998</v>
      </c>
      <c r="N80">
        <v>70</v>
      </c>
      <c r="O80" s="8">
        <v>0.84817764188121003</v>
      </c>
      <c r="P80" s="8">
        <v>0.91785294082215296</v>
      </c>
      <c r="Q80" s="8">
        <v>0.90565170533789696</v>
      </c>
      <c r="R80" s="8">
        <v>0.99072945757948905</v>
      </c>
      <c r="S80">
        <v>27.316570281981999</v>
      </c>
      <c r="T80">
        <v>69</v>
      </c>
      <c r="U80" s="8">
        <v>0.93012958581970895</v>
      </c>
      <c r="V80" s="8">
        <v>0.96380014342372899</v>
      </c>
      <c r="W80" s="8">
        <v>0.99461577961698699</v>
      </c>
      <c r="X80" s="8">
        <v>0.98997873715278595</v>
      </c>
      <c r="Z80">
        <v>14240.314722061001</v>
      </c>
      <c r="AA80">
        <v>68</v>
      </c>
      <c r="AB80">
        <v>0.91325311134920995</v>
      </c>
      <c r="AE80">
        <v>243.30353736877001</v>
      </c>
      <c r="AF80">
        <v>68</v>
      </c>
      <c r="AG80">
        <v>0.93327641477519996</v>
      </c>
    </row>
    <row r="81" spans="1:33">
      <c r="A81">
        <v>3743.3664798737</v>
      </c>
      <c r="B81">
        <v>71</v>
      </c>
      <c r="C81" s="8">
        <v>0.92776147925857899</v>
      </c>
      <c r="D81" s="8">
        <v>0.96252725167576003</v>
      </c>
      <c r="E81" s="8">
        <v>0.99233483975024295</v>
      </c>
      <c r="F81" s="8">
        <v>0.99055921259262603</v>
      </c>
      <c r="G81">
        <v>24.952173233031999</v>
      </c>
      <c r="H81">
        <v>71</v>
      </c>
      <c r="I81" s="8">
        <v>0.92388509949028796</v>
      </c>
      <c r="J81" s="8">
        <v>0.96043687820552404</v>
      </c>
      <c r="K81" s="8">
        <v>0.99178444947835198</v>
      </c>
      <c r="L81" s="8">
        <v>0.99001954064323805</v>
      </c>
      <c r="M81">
        <v>3633.0542564391999</v>
      </c>
      <c r="N81">
        <v>71</v>
      </c>
      <c r="O81" s="8">
        <v>0.80403444637069399</v>
      </c>
      <c r="P81" s="8">
        <v>0.89137371848772395</v>
      </c>
      <c r="Q81" s="8">
        <v>0.86013062672606599</v>
      </c>
      <c r="R81" s="8">
        <v>0.99270878758576797</v>
      </c>
      <c r="S81">
        <v>25.593519210815</v>
      </c>
      <c r="T81">
        <v>70</v>
      </c>
      <c r="U81" s="8">
        <v>0.92211274592917702</v>
      </c>
      <c r="V81" s="8">
        <v>0.95947831143840001</v>
      </c>
      <c r="W81" s="8">
        <v>0.99564692640457797</v>
      </c>
      <c r="X81" s="8">
        <v>0.98694808754691499</v>
      </c>
      <c r="Z81">
        <v>12314.117670059</v>
      </c>
      <c r="AA81">
        <v>69</v>
      </c>
      <c r="AB81">
        <v>0.93328446928814002</v>
      </c>
      <c r="AE81">
        <v>243.51263046265001</v>
      </c>
      <c r="AF81">
        <v>69</v>
      </c>
      <c r="AG81">
        <v>0.84873148280237998</v>
      </c>
    </row>
    <row r="82" spans="1:33">
      <c r="A82">
        <v>5205.4433822632</v>
      </c>
      <c r="B82">
        <v>72</v>
      </c>
      <c r="C82" s="8">
        <v>0.91943179147051901</v>
      </c>
      <c r="D82" s="8">
        <v>0.95802496921875202</v>
      </c>
      <c r="E82" s="8">
        <v>0.99227979239086395</v>
      </c>
      <c r="F82" s="8">
        <v>0.98719875931208201</v>
      </c>
      <c r="G82">
        <v>28.146266937256001</v>
      </c>
      <c r="H82">
        <v>72</v>
      </c>
      <c r="I82" s="8">
        <v>0.917454491832287</v>
      </c>
      <c r="J82" s="8">
        <v>0.95695047339098305</v>
      </c>
      <c r="K82" s="8">
        <v>0.99267834349737605</v>
      </c>
      <c r="L82" s="8">
        <v>0.99011498674873899</v>
      </c>
      <c r="M82">
        <v>4034.3377590179002</v>
      </c>
      <c r="N82">
        <v>72</v>
      </c>
      <c r="O82" s="8">
        <v>0.79002643829172903</v>
      </c>
      <c r="P82" s="8">
        <v>0.88269806679020102</v>
      </c>
      <c r="Q82" s="8">
        <v>0.84606432225397099</v>
      </c>
      <c r="R82" s="8">
        <v>0.99125061466387099</v>
      </c>
      <c r="S82">
        <v>26.781320571898998</v>
      </c>
      <c r="T82">
        <v>71</v>
      </c>
      <c r="U82" s="8">
        <v>0.92839688270517695</v>
      </c>
      <c r="V82" s="8">
        <v>0.96286909715681701</v>
      </c>
      <c r="W82" s="8">
        <v>0.99059240815559502</v>
      </c>
      <c r="X82" s="8">
        <v>0.98701109431074996</v>
      </c>
      <c r="Z82">
        <v>12043.229341507</v>
      </c>
      <c r="AA82">
        <v>70</v>
      </c>
      <c r="AB82">
        <v>0.9233489852215</v>
      </c>
      <c r="AE82">
        <v>245.06068229675</v>
      </c>
      <c r="AF82">
        <v>70</v>
      </c>
      <c r="AG82">
        <v>0.93636480834240998</v>
      </c>
    </row>
    <row r="83" spans="1:33">
      <c r="A83">
        <v>6664.6161079407002</v>
      </c>
      <c r="B83">
        <v>73</v>
      </c>
      <c r="C83" s="8">
        <v>0.91909848606579703</v>
      </c>
      <c r="D83" s="8">
        <v>0.95784400096106903</v>
      </c>
      <c r="E83" s="8">
        <v>0.99427124664625999</v>
      </c>
      <c r="F83" s="8">
        <v>0.98818895489385605</v>
      </c>
      <c r="G83">
        <v>25.4807472229</v>
      </c>
      <c r="H83">
        <v>73</v>
      </c>
      <c r="I83" s="8">
        <v>0.91944347384136405</v>
      </c>
      <c r="J83" s="8">
        <v>0.95803131102505501</v>
      </c>
      <c r="K83" s="8">
        <v>0.99227979239086395</v>
      </c>
      <c r="L83" s="8">
        <v>0.98720097482622005</v>
      </c>
      <c r="M83">
        <v>3772.8343009948999</v>
      </c>
      <c r="N83">
        <v>73</v>
      </c>
      <c r="O83" s="8">
        <v>0.82350776206635101</v>
      </c>
      <c r="P83" s="8">
        <v>0.90321278493837998</v>
      </c>
      <c r="Q83" s="8">
        <v>0.88597109483270597</v>
      </c>
      <c r="R83" s="8">
        <v>0.98961510396280605</v>
      </c>
      <c r="S83">
        <v>25.881290435791001</v>
      </c>
      <c r="T83">
        <v>72</v>
      </c>
      <c r="U83" s="8">
        <v>0.92168874508397003</v>
      </c>
      <c r="V83" s="8">
        <v>0.95924873103598896</v>
      </c>
      <c r="W83" s="8">
        <v>0.99354961107949102</v>
      </c>
      <c r="X83" s="8">
        <v>0.98827795025945298</v>
      </c>
      <c r="Z83">
        <v>14345.021486281999</v>
      </c>
      <c r="AA83">
        <v>71</v>
      </c>
      <c r="AB83">
        <v>0.92313370191333999</v>
      </c>
      <c r="AE83">
        <v>239.37249183655001</v>
      </c>
      <c r="AF83">
        <v>71</v>
      </c>
      <c r="AG83">
        <v>0.91260542720938997</v>
      </c>
    </row>
    <row r="84" spans="1:33">
      <c r="A84">
        <v>4972.2564220428003</v>
      </c>
      <c r="B84">
        <v>74</v>
      </c>
      <c r="C84" s="8">
        <v>0.92125607349170802</v>
      </c>
      <c r="D84" s="8">
        <v>0.95901435129093304</v>
      </c>
      <c r="E84" s="8">
        <v>0.99386694019028698</v>
      </c>
      <c r="F84" s="8">
        <v>0.98771840288532597</v>
      </c>
      <c r="G84">
        <v>24.901390075683999</v>
      </c>
      <c r="H84">
        <v>74</v>
      </c>
      <c r="I84" s="8">
        <v>0.927754553598089</v>
      </c>
      <c r="J84" s="8">
        <v>0.96252352444606204</v>
      </c>
      <c r="K84" s="8">
        <v>0.99233483975024295</v>
      </c>
      <c r="L84" s="8">
        <v>0.99055812956091704</v>
      </c>
      <c r="M84">
        <v>4243.6711788176999</v>
      </c>
      <c r="N84">
        <v>74</v>
      </c>
      <c r="O84" s="8">
        <v>0.84477495001891101</v>
      </c>
      <c r="P84" s="8">
        <v>0.91585691795115798</v>
      </c>
      <c r="Q84" s="8">
        <v>0.90884913310758697</v>
      </c>
      <c r="R84" s="8">
        <v>0.988541732988787</v>
      </c>
      <c r="S84">
        <v>28.561592102051002</v>
      </c>
      <c r="T84">
        <v>73</v>
      </c>
      <c r="U84" s="8">
        <v>0.92124220901579901</v>
      </c>
      <c r="V84" s="8">
        <v>0.95900683910929296</v>
      </c>
      <c r="W84" s="8">
        <v>0.98730844213845703</v>
      </c>
      <c r="X84" s="8">
        <v>0.98996226472529103</v>
      </c>
      <c r="Z84">
        <v>14194.014787673999</v>
      </c>
      <c r="AA84">
        <v>72</v>
      </c>
      <c r="AB84">
        <v>0.89663704506311004</v>
      </c>
      <c r="AE84">
        <v>244.8627948761</v>
      </c>
      <c r="AF84">
        <v>72</v>
      </c>
      <c r="AG84">
        <v>0.92486829181176999</v>
      </c>
    </row>
    <row r="85" spans="1:33">
      <c r="B85" t="s">
        <v>8</v>
      </c>
      <c r="C85" t="s">
        <v>9</v>
      </c>
      <c r="H85" t="s">
        <v>8</v>
      </c>
      <c r="I85" t="s">
        <v>9</v>
      </c>
      <c r="N85" t="s">
        <v>8</v>
      </c>
      <c r="O85" t="s">
        <v>9</v>
      </c>
      <c r="S85">
        <v>26.592969894408998</v>
      </c>
      <c r="T85">
        <v>74</v>
      </c>
      <c r="U85" s="8">
        <v>0.92234632027807695</v>
      </c>
      <c r="V85" s="8">
        <v>0.959604739841731</v>
      </c>
      <c r="W85" s="8">
        <v>0.99190499601607096</v>
      </c>
      <c r="X85" s="8">
        <v>0.99043952194385998</v>
      </c>
      <c r="Z85">
        <v>14435.228347778</v>
      </c>
      <c r="AA85">
        <v>73</v>
      </c>
      <c r="AB85">
        <v>0.89942824057321002</v>
      </c>
      <c r="AE85">
        <v>239.16268348694001</v>
      </c>
      <c r="AF85">
        <v>73</v>
      </c>
      <c r="AG85">
        <v>0.92864822006907</v>
      </c>
    </row>
    <row r="86" spans="1:33">
      <c r="A86">
        <f>AVERAGE(A11:A84)</f>
        <v>4744.5161020433561</v>
      </c>
      <c r="C86">
        <f>AVERAGE(C10:C84)</f>
        <v>0.91420760755474206</v>
      </c>
      <c r="D86">
        <f>AVERAGE(D10:D84)</f>
        <v>0.95515349781967362</v>
      </c>
      <c r="E86">
        <f>AVERAGE(E10:E84)</f>
        <v>0.99376736277469058</v>
      </c>
      <c r="F86">
        <f>AVERAGE(F10:F84)</f>
        <v>0.98861794299879235</v>
      </c>
      <c r="G86">
        <f>AVERAGE(G11:G84)</f>
        <v>25.562863092164775</v>
      </c>
      <c r="I86">
        <f>AVERAGE(I10:I84)</f>
        <v>0.91420355330462844</v>
      </c>
      <c r="J86">
        <f>AVERAGE(J10:J84)</f>
        <v>0.95515129424284884</v>
      </c>
      <c r="K86">
        <f>AVERAGE(K10:K84)</f>
        <v>0.99376693837970875</v>
      </c>
      <c r="L86">
        <f>AVERAGE(L10:L84)</f>
        <v>0.98861736471576189</v>
      </c>
      <c r="M86">
        <f>AVERAGE(M10:M84)</f>
        <v>5272.8715769449891</v>
      </c>
      <c r="O86">
        <f>AVERAGE(O10:O84)</f>
        <v>0.82547365727133526</v>
      </c>
      <c r="P86">
        <f>AVERAGE(P10:P84)</f>
        <v>0.90424753579586747</v>
      </c>
      <c r="Q86">
        <f>AVERAGE(Q10:Q84)</f>
        <v>0.88121822756215584</v>
      </c>
      <c r="R86">
        <f>AVERAGE(R10:R84)</f>
        <v>0.99116200504630836</v>
      </c>
      <c r="T86" t="s">
        <v>8</v>
      </c>
      <c r="U86" t="s">
        <v>9</v>
      </c>
      <c r="Z86">
        <v>13229.008197784</v>
      </c>
      <c r="AA86">
        <v>74</v>
      </c>
      <c r="AB86">
        <v>0.9139514893299</v>
      </c>
      <c r="AE86">
        <v>241.36376380920001</v>
      </c>
      <c r="AF86">
        <v>74</v>
      </c>
      <c r="AG86">
        <v>0.93419152336754996</v>
      </c>
    </row>
    <row r="87" spans="1:33">
      <c r="S87" s="6">
        <f>AVERAGE(S11:S86)</f>
        <v>33.084646860758482</v>
      </c>
      <c r="U87" s="6">
        <f>AVERAGE(U11:U86)</f>
        <v>0.91420355330462821</v>
      </c>
      <c r="V87" s="6">
        <f>AVERAGE(V11:V86)</f>
        <v>0.95515129424284828</v>
      </c>
      <c r="W87" s="6">
        <f>AVERAGE(W11:W86)</f>
        <v>0.99376693837970909</v>
      </c>
      <c r="X87" s="6">
        <f>AVERAGE(X11:X86)</f>
        <v>0.98861736471576178</v>
      </c>
      <c r="Z87" t="s">
        <v>10</v>
      </c>
      <c r="AA87" t="s">
        <v>8</v>
      </c>
      <c r="AB87" t="s">
        <v>9</v>
      </c>
      <c r="AE87" t="s">
        <v>10</v>
      </c>
      <c r="AF87" t="s">
        <v>8</v>
      </c>
      <c r="AG87" t="s">
        <v>9</v>
      </c>
    </row>
    <row r="88" spans="1:33">
      <c r="A88">
        <f>STDEVA(A11:A84)</f>
        <v>1872.8569078138296</v>
      </c>
      <c r="C88">
        <f>STDEVA(C10:C84)</f>
        <v>9.9108583068152224E-3</v>
      </c>
      <c r="D88">
        <f>STDEVA(D10:D84)</f>
        <v>5.4326717176632821E-3</v>
      </c>
      <c r="E88">
        <f>STDEVA(E10:E84)</f>
        <v>2.8439018244700719E-3</v>
      </c>
      <c r="F88">
        <f>STDEVA(F10:F84)</f>
        <v>1.3818516941688488E-3</v>
      </c>
      <c r="G88">
        <v>2.2916081708983893</v>
      </c>
      <c r="I88">
        <v>9.9091580075133853E-3</v>
      </c>
      <c r="J88">
        <f>STDEVA(J10:J84)</f>
        <v>5.431765383100866E-3</v>
      </c>
      <c r="K88">
        <f>STDEVA(K10:K84)</f>
        <v>2.8426569504673292E-3</v>
      </c>
      <c r="L88">
        <f>STDEVA(L10:L84)</f>
        <v>1.3815252621857258E-3</v>
      </c>
      <c r="M88">
        <f>STDEVA(M10:M84)</f>
        <v>7059.9943218082017</v>
      </c>
      <c r="O88">
        <f>STDEVA(O10:O84)</f>
        <v>2.1201468441150891E-2</v>
      </c>
      <c r="P88">
        <f>STDEVA(P10:P84)</f>
        <v>1.2777063768225554E-2</v>
      </c>
      <c r="Q88">
        <f>STDEVA(Q10:Q84)</f>
        <v>2.0702829150970142E-2</v>
      </c>
      <c r="R88">
        <f>STDEVA(R10:R84)</f>
        <v>1.3527888257627682E-3</v>
      </c>
      <c r="Z88">
        <f>AVERAGE(Z12:Z86)</f>
        <v>14712.294597625711</v>
      </c>
      <c r="AB88">
        <f>AVERAGE(AB12:AB86)</f>
        <v>0.91146478888225169</v>
      </c>
      <c r="AE88" s="7">
        <f>AVERAGE(AE12:AE87)</f>
        <v>247.55487124125176</v>
      </c>
      <c r="AG88" s="7">
        <f>AVERAGE(AG12:AG87)</f>
        <v>0.91146189884682749</v>
      </c>
    </row>
    <row r="89" spans="1:33">
      <c r="S89">
        <f>STDEVA(S12:S85)</f>
        <v>2.0459213613987255</v>
      </c>
      <c r="U89">
        <f>STDEVA(U11:U85)</f>
        <v>9.9091580075134442E-3</v>
      </c>
      <c r="V89">
        <f>STDEVA(V11:V85)</f>
        <v>5.431765383100866E-3</v>
      </c>
      <c r="W89">
        <f>STDEVA(W11:W85)</f>
        <v>2.8426569504673292E-3</v>
      </c>
      <c r="X89">
        <f>STDEVA(X11:X85)</f>
        <v>1.3815252621857254E-3</v>
      </c>
    </row>
    <row r="92" spans="1:33">
      <c r="I92" s="9"/>
      <c r="J92" s="9"/>
      <c r="K92" s="9"/>
      <c r="L92" s="10"/>
    </row>
    <row r="93" spans="1:33">
      <c r="I93" s="11"/>
      <c r="J93" s="11"/>
      <c r="K93" s="11"/>
      <c r="L93" s="12"/>
    </row>
    <row r="94" spans="1:33">
      <c r="I94" s="9"/>
      <c r="J94" s="9"/>
      <c r="K94" s="9"/>
      <c r="L94" s="10"/>
    </row>
    <row r="95" spans="1:33">
      <c r="I95" s="11"/>
      <c r="J95" s="11"/>
      <c r="K95" s="11"/>
      <c r="L95" s="12"/>
    </row>
    <row r="96" spans="1:33">
      <c r="I96" s="9"/>
      <c r="J96" s="9"/>
      <c r="K96" s="9"/>
      <c r="L96" s="10"/>
    </row>
    <row r="97" spans="9:12">
      <c r="I97" s="11"/>
      <c r="J97" s="11"/>
      <c r="K97" s="11"/>
      <c r="L97" s="12"/>
    </row>
    <row r="98" spans="9:12">
      <c r="I98" s="9"/>
      <c r="J98" s="9"/>
      <c r="K98" s="9"/>
      <c r="L98" s="10"/>
    </row>
    <row r="99" spans="9:12">
      <c r="I99" s="11"/>
      <c r="J99" s="11"/>
      <c r="K99" s="11"/>
      <c r="L99" s="12"/>
    </row>
    <row r="100" spans="9:12">
      <c r="I100" s="9"/>
      <c r="J100" s="9"/>
      <c r="K100" s="9"/>
      <c r="L100" s="10"/>
    </row>
    <row r="101" spans="9:12">
      <c r="I101" s="11"/>
      <c r="J101" s="11"/>
      <c r="K101" s="11"/>
      <c r="L101" s="12"/>
    </row>
    <row r="102" spans="9:12">
      <c r="I102" s="9"/>
      <c r="J102" s="9"/>
      <c r="K102" s="9"/>
      <c r="L102" s="10"/>
    </row>
    <row r="103" spans="9:12">
      <c r="I103" s="11"/>
      <c r="J103" s="11"/>
      <c r="K103" s="11"/>
      <c r="L103" s="12"/>
    </row>
    <row r="104" spans="9:12">
      <c r="I104" s="9"/>
      <c r="J104" s="9"/>
      <c r="K104" s="9"/>
      <c r="L104" s="10"/>
    </row>
    <row r="105" spans="9:12">
      <c r="I105" s="11"/>
      <c r="J105" s="11"/>
      <c r="K105" s="11"/>
      <c r="L105" s="12"/>
    </row>
    <row r="106" spans="9:12">
      <c r="I106" s="9"/>
      <c r="J106" s="9"/>
      <c r="K106" s="9"/>
      <c r="L106" s="10"/>
    </row>
    <row r="107" spans="9:12">
      <c r="I107" s="11"/>
      <c r="J107" s="11"/>
      <c r="K107" s="11"/>
      <c r="L107" s="12"/>
    </row>
    <row r="108" spans="9:12">
      <c r="I108" s="9"/>
      <c r="J108" s="9"/>
      <c r="K108" s="9"/>
      <c r="L108" s="10"/>
    </row>
    <row r="109" spans="9:12">
      <c r="I109" s="11"/>
      <c r="J109" s="11"/>
      <c r="K109" s="11"/>
      <c r="L109" s="12"/>
    </row>
    <row r="110" spans="9:12">
      <c r="I110" s="9"/>
      <c r="J110" s="9"/>
      <c r="K110" s="9"/>
      <c r="L110" s="10"/>
    </row>
    <row r="111" spans="9:12">
      <c r="I111" s="11"/>
      <c r="J111" s="11"/>
      <c r="K111" s="11"/>
      <c r="L111" s="12"/>
    </row>
    <row r="112" spans="9:12">
      <c r="I112" s="9"/>
      <c r="J112" s="9"/>
      <c r="K112" s="9"/>
      <c r="L112" s="10"/>
    </row>
    <row r="113" spans="9:12">
      <c r="I113" s="11"/>
      <c r="J113" s="11"/>
      <c r="K113" s="11"/>
      <c r="L113" s="12"/>
    </row>
    <row r="114" spans="9:12">
      <c r="I114" s="9"/>
      <c r="J114" s="9"/>
      <c r="K114" s="9"/>
      <c r="L114" s="10"/>
    </row>
    <row r="115" spans="9:12">
      <c r="I115" s="11"/>
      <c r="J115" s="11"/>
      <c r="K115" s="11"/>
      <c r="L115" s="12"/>
    </row>
    <row r="116" spans="9:12">
      <c r="I116" s="9"/>
      <c r="J116" s="9"/>
      <c r="K116" s="9"/>
      <c r="L116" s="10"/>
    </row>
    <row r="117" spans="9:12">
      <c r="I117" s="11"/>
      <c r="J117" s="11"/>
      <c r="K117" s="11"/>
      <c r="L117" s="12"/>
    </row>
    <row r="118" spans="9:12">
      <c r="I118" s="9"/>
      <c r="J118" s="9"/>
      <c r="K118" s="9"/>
      <c r="L118" s="10"/>
    </row>
    <row r="119" spans="9:12">
      <c r="I119" s="11"/>
      <c r="J119" s="11"/>
      <c r="K119" s="11"/>
      <c r="L119" s="12"/>
    </row>
    <row r="120" spans="9:12">
      <c r="I120" s="9"/>
      <c r="J120" s="9"/>
      <c r="K120" s="9"/>
      <c r="L120" s="10"/>
    </row>
    <row r="121" spans="9:12">
      <c r="I121" s="11"/>
      <c r="J121" s="11"/>
      <c r="K121" s="11"/>
      <c r="L121" s="12"/>
    </row>
    <row r="122" spans="9:12">
      <c r="I122" s="9"/>
      <c r="J122" s="9"/>
      <c r="K122" s="9"/>
      <c r="L122" s="10"/>
    </row>
    <row r="123" spans="9:12">
      <c r="I123" s="11"/>
      <c r="J123" s="11"/>
      <c r="K123" s="11"/>
      <c r="L123" s="12"/>
    </row>
    <row r="124" spans="9:12">
      <c r="I124" s="9"/>
      <c r="J124" s="9"/>
      <c r="K124" s="9"/>
      <c r="L124" s="10"/>
    </row>
    <row r="125" spans="9:12">
      <c r="I125" s="11"/>
      <c r="J125" s="11"/>
      <c r="K125" s="11"/>
      <c r="L125" s="12"/>
    </row>
    <row r="126" spans="9:12">
      <c r="I126" s="9"/>
      <c r="J126" s="9"/>
      <c r="K126" s="9"/>
      <c r="L126" s="10"/>
    </row>
    <row r="127" spans="9:12">
      <c r="I127" s="11"/>
      <c r="J127" s="11"/>
      <c r="K127" s="11"/>
      <c r="L127" s="12"/>
    </row>
    <row r="128" spans="9:12">
      <c r="I128" s="9"/>
      <c r="J128" s="9"/>
      <c r="K128" s="9"/>
      <c r="L128" s="10"/>
    </row>
    <row r="129" spans="9:12">
      <c r="I129" s="11"/>
      <c r="J129" s="11"/>
      <c r="K129" s="11"/>
      <c r="L129" s="12"/>
    </row>
    <row r="130" spans="9:12">
      <c r="I130" s="9"/>
      <c r="J130" s="9"/>
      <c r="K130" s="9"/>
      <c r="L130" s="10"/>
    </row>
    <row r="131" spans="9:12">
      <c r="I131" s="11"/>
      <c r="J131" s="11"/>
      <c r="K131" s="11"/>
      <c r="L131" s="12"/>
    </row>
    <row r="132" spans="9:12">
      <c r="I132" s="9"/>
      <c r="J132" s="9"/>
      <c r="K132" s="9"/>
      <c r="L132" s="10"/>
    </row>
    <row r="133" spans="9:12">
      <c r="I133" s="11"/>
      <c r="J133" s="11"/>
      <c r="K133" s="11"/>
      <c r="L133" s="12"/>
    </row>
    <row r="134" spans="9:12">
      <c r="I134" s="9"/>
      <c r="J134" s="9"/>
      <c r="K134" s="9"/>
      <c r="L134" s="10"/>
    </row>
    <row r="135" spans="9:12">
      <c r="I135" s="11"/>
      <c r="J135" s="11"/>
      <c r="K135" s="11"/>
      <c r="L135" s="12"/>
    </row>
    <row r="136" spans="9:12">
      <c r="I136" s="9"/>
      <c r="J136" s="9"/>
      <c r="K136" s="9"/>
      <c r="L136" s="10"/>
    </row>
    <row r="137" spans="9:12">
      <c r="I137" s="11"/>
      <c r="J137" s="11"/>
      <c r="K137" s="11"/>
      <c r="L137" s="12"/>
    </row>
    <row r="138" spans="9:12">
      <c r="I138" s="9"/>
      <c r="J138" s="9"/>
      <c r="K138" s="9"/>
      <c r="L138" s="10"/>
    </row>
    <row r="139" spans="9:12">
      <c r="I139" s="11"/>
      <c r="J139" s="11"/>
      <c r="K139" s="11"/>
      <c r="L139" s="12"/>
    </row>
    <row r="140" spans="9:12">
      <c r="I140" s="9"/>
      <c r="J140" s="9"/>
      <c r="K140" s="9"/>
      <c r="L140" s="10"/>
    </row>
    <row r="141" spans="9:12">
      <c r="I141" s="11"/>
      <c r="J141" s="11"/>
      <c r="K141" s="11"/>
      <c r="L141" s="12"/>
    </row>
    <row r="142" spans="9:12">
      <c r="I142" s="9"/>
      <c r="J142" s="9"/>
      <c r="K142" s="9"/>
      <c r="L142" s="10"/>
    </row>
    <row r="143" spans="9:12">
      <c r="I143" s="11"/>
      <c r="J143" s="11"/>
      <c r="K143" s="11"/>
      <c r="L143" s="12"/>
    </row>
    <row r="144" spans="9:12">
      <c r="I144" s="9"/>
      <c r="J144" s="9"/>
      <c r="K144" s="9"/>
      <c r="L144" s="10"/>
    </row>
    <row r="145" spans="9:12">
      <c r="I145" s="11"/>
      <c r="J145" s="11"/>
      <c r="K145" s="11"/>
      <c r="L145" s="12"/>
    </row>
    <row r="146" spans="9:12">
      <c r="I146" s="9"/>
      <c r="J146" s="9"/>
      <c r="K146" s="9"/>
      <c r="L146" s="10"/>
    </row>
    <row r="147" spans="9:12">
      <c r="I147" s="11"/>
      <c r="J147" s="11"/>
      <c r="K147" s="11"/>
      <c r="L147" s="12"/>
    </row>
    <row r="148" spans="9:12">
      <c r="I148" s="9"/>
      <c r="J148" s="9"/>
      <c r="K148" s="9"/>
      <c r="L148" s="10"/>
    </row>
    <row r="149" spans="9:12">
      <c r="I149" s="11"/>
      <c r="J149" s="11"/>
      <c r="K149" s="11"/>
      <c r="L149" s="12"/>
    </row>
    <row r="150" spans="9:12">
      <c r="I150" s="9"/>
      <c r="J150" s="9"/>
      <c r="K150" s="9"/>
      <c r="L150" s="10"/>
    </row>
    <row r="151" spans="9:12">
      <c r="I151" s="11"/>
      <c r="J151" s="11"/>
      <c r="K151" s="11"/>
      <c r="L151" s="12"/>
    </row>
    <row r="152" spans="9:12">
      <c r="I152" s="9"/>
      <c r="J152" s="9"/>
      <c r="K152" s="9"/>
      <c r="L152" s="10"/>
    </row>
    <row r="153" spans="9:12">
      <c r="I153" s="11"/>
      <c r="J153" s="11"/>
      <c r="K153" s="11"/>
      <c r="L153" s="12"/>
    </row>
    <row r="154" spans="9:12">
      <c r="I154" s="9"/>
      <c r="J154" s="9"/>
      <c r="K154" s="9"/>
      <c r="L154" s="10"/>
    </row>
    <row r="155" spans="9:12">
      <c r="I155" s="11"/>
      <c r="J155" s="11"/>
      <c r="K155" s="11"/>
      <c r="L155" s="12"/>
    </row>
    <row r="156" spans="9:12">
      <c r="I156" s="9"/>
      <c r="J156" s="9"/>
      <c r="K156" s="9"/>
      <c r="L156" s="10"/>
    </row>
    <row r="157" spans="9:12">
      <c r="I157" s="11"/>
      <c r="J157" s="11"/>
      <c r="K157" s="11"/>
      <c r="L157" s="12"/>
    </row>
    <row r="158" spans="9:12">
      <c r="I158" s="9"/>
      <c r="J158" s="9"/>
      <c r="K158" s="9"/>
      <c r="L158" s="10"/>
    </row>
    <row r="159" spans="9:12">
      <c r="I159" s="11"/>
      <c r="J159" s="11"/>
      <c r="K159" s="11"/>
      <c r="L159" s="12"/>
    </row>
    <row r="160" spans="9:12">
      <c r="I160" s="9"/>
      <c r="J160" s="9"/>
      <c r="K160" s="9"/>
      <c r="L160" s="10"/>
    </row>
    <row r="161" spans="9:12">
      <c r="I161" s="11"/>
      <c r="J161" s="11"/>
      <c r="K161" s="11"/>
      <c r="L161" s="12"/>
    </row>
    <row r="162" spans="9:12">
      <c r="I162" s="9"/>
      <c r="J162" s="9"/>
      <c r="K162" s="9"/>
      <c r="L162" s="10"/>
    </row>
    <row r="163" spans="9:12">
      <c r="I163" s="11"/>
      <c r="J163" s="11"/>
      <c r="K163" s="11"/>
      <c r="L163" s="12"/>
    </row>
    <row r="164" spans="9:12">
      <c r="I164" s="9"/>
      <c r="J164" s="9"/>
      <c r="K164" s="9"/>
      <c r="L164" s="10"/>
    </row>
    <row r="165" spans="9:12">
      <c r="I165" s="11"/>
      <c r="J165" s="11"/>
      <c r="K165" s="11"/>
      <c r="L165" s="12"/>
    </row>
    <row r="166" spans="9:12">
      <c r="I166" s="9"/>
      <c r="J166" s="9"/>
      <c r="K166" s="9"/>
      <c r="L166" s="10"/>
    </row>
    <row r="167" spans="9:12">
      <c r="I167" s="11"/>
      <c r="J167" s="11"/>
      <c r="K167" s="11"/>
      <c r="L167" s="12"/>
    </row>
  </sheetData>
  <sheetProtection formatCells="0" formatColumns="0" formatRows="0" insertColumns="0" insertRows="0" insertHyperlinks="0" deleteColumns="0" deleteRows="0" sort="0" autoFilter="0" pivotTables="0"/>
  <pageMargins left="0.7" right="0.7" top="0.75" bottom="0.75" header="0.3" footer="0.3"/>
  <drawing r:id="rId1"/>
  <tableParts count="6">
    <tablePart r:id="rId2"/>
    <tablePart r:id="rId3"/>
    <tablePart r:id="rId4"/>
    <tablePart r:id="rId5"/>
    <tablePart r:id="rId6"/>
    <tablePart r:id="rId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C11D9E6-0FF1-4EF9-91BD-7AFC497582C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TimeDfBBoxAutoSam</vt:lpstr>
      <vt:lpstr>TimeDfBBoxAutoSam (2)</vt:lpstr>
      <vt:lpstr>TimeDfBBoxAutoSam (3)</vt:lpstr>
      <vt:lpstr>TimeDfBBoxAutoSam (4)</vt:lpstr>
      <vt:lpstr>Worksheet</vt:lpstr>
    </vt:vector>
  </TitlesOfParts>
  <Manager/>
  <Company>Microsoft Corporation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Untitled Spreadsheet</dc:title>
  <dc:subject/>
  <dc:creator>Unknown Creator</dc:creator>
  <cp:keywords/>
  <dc:description/>
  <cp:lastModifiedBy>Marco De Zen</cp:lastModifiedBy>
  <dcterms:created xsi:type="dcterms:W3CDTF">2025-06-26T08:24:19Z</dcterms:created>
  <dcterms:modified xsi:type="dcterms:W3CDTF">2025-07-03T17:14:20Z</dcterms:modified>
  <cp:category/>
</cp:coreProperties>
</file>