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AUTOSAM\"/>
    </mc:Choice>
  </mc:AlternateContent>
  <xr:revisionPtr revIDLastSave="0" documentId="8_{80C01CFF-D407-4364-901E-B60C3D3827B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ork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" i="1" l="1"/>
  <c r="D86" i="1"/>
  <c r="B88" i="1"/>
  <c r="B86" i="1"/>
  <c r="H86" i="1"/>
  <c r="H88" i="1"/>
  <c r="J88" i="1"/>
  <c r="J86" i="1"/>
  <c r="AG88" i="1"/>
  <c r="AE88" i="1"/>
  <c r="AB88" i="1"/>
  <c r="Z88" i="1"/>
  <c r="T88" i="1"/>
  <c r="R88" i="1"/>
  <c r="O88" i="1"/>
  <c r="M88" i="1"/>
  <c r="T86" i="1"/>
  <c r="R86" i="1"/>
  <c r="O86" i="1"/>
  <c r="M86" i="1"/>
</calcChain>
</file>

<file path=xl/sharedStrings.xml><?xml version="1.0" encoding="utf-8"?>
<sst xmlns="http://schemas.openxmlformats.org/spreadsheetml/2006/main" count="40" uniqueCount="12">
  <si>
    <t>time</t>
  </si>
  <si>
    <t>index</t>
  </si>
  <si>
    <t>iou</t>
  </si>
  <si>
    <t xml:space="preserve">CPU </t>
  </si>
  <si>
    <t>GPU</t>
  </si>
  <si>
    <t>SAM VITb</t>
  </si>
  <si>
    <t>Iou</t>
  </si>
  <si>
    <t>sam_vit_b_01ec64.pth</t>
  </si>
  <si>
    <t>CPU</t>
  </si>
  <si>
    <t>MEDIA</t>
  </si>
  <si>
    <t>IOU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</si>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</sst>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6A8759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2" fillId="0" borderId="0" xfId="0" applyFont="1" applyAlignment="1">
      <alignment vertical="center"/>
    </xf>
    <xf numFmtId="0" fontId="0" fillId="2" borderId="0" xfId="0" applyFill="1"/>
    <xf numFmtId="0" fontId="0" fillId="0" borderId="2" xfId="0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142875</xdr:colOff>
      <xdr:row>5</xdr:row>
      <xdr:rowOff>47625</xdr:rowOff>
    </xdr:from>
    <xdr:to>
      <xdr:col>19</xdr:col>
      <xdr:colOff>457200</xdr:colOff>
      <xdr:row>6</xdr:row>
      <xdr:rowOff>169193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4F54709-7CDD-4443-A0CE-8C4E9D8383DA}"/>
            </a:ext>
          </a:extLst>
        </xdr:cNvPr>
        <xdr:cNvSpPr>
          <a:spLocks noChangeArrowheads="1"/>
        </xdr:cNvSpPr>
      </xdr:nvSpPr>
      <xdr:spPr bwMode="auto">
        <a:xfrm>
          <a:off x="4227195" y="592455"/>
          <a:ext cx="1535430" cy="304448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it-IT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autoSamKlnmJ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endParaRPr kumimoji="0" lang="it-IT" altLang="it-IT" sz="12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64770</xdr:colOff>
      <xdr:row>1</xdr:row>
      <xdr:rowOff>83820</xdr:rowOff>
    </xdr:from>
    <xdr:to>
      <xdr:col>10</xdr:col>
      <xdr:colOff>287655</xdr:colOff>
      <xdr:row>3</xdr:row>
      <xdr:rowOff>30128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646159F3-C001-4379-AD39-2633C20F64DC}"/>
            </a:ext>
          </a:extLst>
        </xdr:cNvPr>
        <xdr:cNvSpPr>
          <a:spLocks noChangeArrowheads="1"/>
        </xdr:cNvSpPr>
      </xdr:nvSpPr>
      <xdr:spPr bwMode="auto">
        <a:xfrm>
          <a:off x="3722370" y="264795"/>
          <a:ext cx="2661285" cy="308258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12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autoSamFineVitBpParR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F8357-C190-4CEC-A368-9740043D741B}" name="Tabella1" displayName="Tabella1" ref="H9:J86" totalsRowShown="0">
  <autoFilter ref="H9:J86" xr:uid="{4F1F8357-C190-4CEC-A368-9740043D741B}"/>
  <tableColumns count="3">
    <tableColumn id="1" xr3:uid="{AC49D561-D2D9-4FDA-9A64-FEB034F4635A}" name="time"/>
    <tableColumn id="2" xr3:uid="{4D1B96FA-9E4D-45A1-9725-8EE724B2C578}" name="index"/>
    <tableColumn id="3" xr3:uid="{15AB82F5-F306-4FA6-A332-8619109E90B6}" name="iou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70493-C585-41CC-BA06-E96E53840424}" name="Tabella2" displayName="Tabella2" ref="Z11:AB88" totalsRowCount="1">
  <autoFilter ref="Z11:AB87" xr:uid="{F2A70493-C585-41CC-BA06-E96E53840424}"/>
  <tableColumns count="3">
    <tableColumn id="1" xr3:uid="{D7CB7C17-0E0F-466C-839F-CDF41CFBFF0D}" name="time" totalsRowFunction="custom">
      <totalsRowFormula>AVERAGE(Z12:Z86)</totalsRowFormula>
    </tableColumn>
    <tableColumn id="2" xr3:uid="{64D8D6E2-D682-46DD-9640-40CC7231EB9C}" name="index"/>
    <tableColumn id="3" xr3:uid="{37FD7ECF-7025-43CA-8AED-560EB47DA595}" name="iou" totalsRowFunction="custom">
      <totalsRowFormula>AVERAGE(AB12:AB86)</totalsRowFormula>
    </tableColumn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052D07-614D-4B4A-B14A-31606D43AD8E}" name="Tabella4" displayName="Tabella4" ref="AE11:AG87" totalsRowShown="0">
  <autoFilter ref="AE11:AG87" xr:uid="{1F052D07-614D-4B4A-B14A-31606D43AD8E}"/>
  <tableColumns count="3">
    <tableColumn id="1" xr3:uid="{4E53CCA5-5553-4FA7-BEE6-19DE67E087C1}" name="time"/>
    <tableColumn id="2" xr3:uid="{8A794E3C-2ED1-432C-A4BF-5CA30D29DDE5}" name="index"/>
    <tableColumn id="3" xr3:uid="{67A0C5E8-29FF-4C17-8031-F0ED8E1F0584}" name="iou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9BAFA5-CA33-4BF0-9CF7-2EF272EA9FF9}" name="Tabella3" displayName="Tabella3" ref="M9:O86" totalsRowCount="1">
  <autoFilter ref="M9:O85" xr:uid="{D49BAFA5-CA33-4BF0-9CF7-2EF272EA9FF9}"/>
  <tableColumns count="3">
    <tableColumn id="1" xr3:uid="{0236CCB1-7E2B-41D5-A1FC-E67EC1946078}" name="time" totalsRowFunction="custom">
      <totalsRowFormula>AVERAGE(M10:M84)</totalsRowFormula>
    </tableColumn>
    <tableColumn id="2" xr3:uid="{198ACB2F-360A-4E1F-94DE-833772CAB461}" name="index"/>
    <tableColumn id="3" xr3:uid="{5F3D1980-0E0C-467F-B593-117C1FA51821}" name="Iou" totalsRowFunction="custom">
      <totalsRowFormula>AVERAGE(O10:O84)</totalsRow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62ED6E-4929-463A-835F-3F10CEB7A9A7}" name="Tabella5" displayName="Tabella5" ref="R9:T85" totalsRowShown="0">
  <autoFilter ref="R9:T85" xr:uid="{1962ED6E-4929-463A-835F-3F10CEB7A9A7}"/>
  <tableColumns count="3">
    <tableColumn id="1" xr3:uid="{B0D98F10-AA96-4CF6-A9BF-B823A2352C90}" name="time"/>
    <tableColumn id="2" xr3:uid="{013FEEF3-FBB0-49A2-B7F9-3868B9A67E90}" name="index"/>
    <tableColumn id="3" xr3:uid="{EDFC36F7-B056-404E-A474-ADED12BC9B88}" name="iou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F1C7B4-3680-44BA-920B-66AC4D524479}" name="Tabella6" displayName="Tabella6" ref="B9:D88" totalsRowShown="0">
  <autoFilter ref="B9:D88" xr:uid="{ACF1C7B4-3680-44BA-920B-66AC4D524479}"/>
  <tableColumns count="3">
    <tableColumn id="1" xr3:uid="{213814CA-DEF7-40AB-9CCB-1F13B4963DF6}" name="time"/>
    <tableColumn id="2" xr3:uid="{B4AED67A-C962-4A03-9021-F8FA4EA40AA2}" name="index"/>
    <tableColumn id="3" xr3:uid="{04416C69-2764-40BB-B49B-8D0D1709364E}" name="iou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AG88"/>
  <sheetViews>
    <sheetView tabSelected="1" topLeftCell="A57" workbookViewId="0">
      <selection activeCell="H95" sqref="H95"/>
    </sheetView>
  </sheetViews>
  <sheetFormatPr defaultRowHeight="14.4"/>
  <sheetData>
    <row r="7" spans="2:33">
      <c r="C7" s="1" t="s">
        <v>3</v>
      </c>
      <c r="I7" s="2" t="s">
        <v>4</v>
      </c>
      <c r="N7" s="1" t="s">
        <v>3</v>
      </c>
      <c r="S7" s="2" t="s">
        <v>4</v>
      </c>
    </row>
    <row r="8" spans="2:33">
      <c r="AD8" s="3" t="s">
        <v>5</v>
      </c>
    </row>
    <row r="9" spans="2:33">
      <c r="B9" t="s">
        <v>0</v>
      </c>
      <c r="C9" t="s">
        <v>1</v>
      </c>
      <c r="D9" t="s">
        <v>2</v>
      </c>
      <c r="H9" t="s">
        <v>0</v>
      </c>
      <c r="I9" t="s">
        <v>1</v>
      </c>
      <c r="J9" t="s">
        <v>2</v>
      </c>
      <c r="M9" t="s">
        <v>0</v>
      </c>
      <c r="N9" t="s">
        <v>1</v>
      </c>
      <c r="O9" t="s">
        <v>6</v>
      </c>
      <c r="R9" t="s">
        <v>0</v>
      </c>
      <c r="S9" t="s">
        <v>1</v>
      </c>
      <c r="T9" t="s">
        <v>2</v>
      </c>
      <c r="AD9" s="4" t="s">
        <v>7</v>
      </c>
    </row>
    <row r="10" spans="2:33">
      <c r="B10">
        <v>6852.9210090636998</v>
      </c>
      <c r="C10">
        <v>0</v>
      </c>
      <c r="D10">
        <v>0.92216548783270003</v>
      </c>
      <c r="H10">
        <v>518.87726783751998</v>
      </c>
      <c r="I10">
        <v>0</v>
      </c>
      <c r="J10">
        <v>0.89635783747143005</v>
      </c>
      <c r="M10">
        <v>3987.0545864105002</v>
      </c>
      <c r="N10">
        <v>0</v>
      </c>
      <c r="O10">
        <v>0.80501519509857</v>
      </c>
      <c r="R10">
        <v>528.47409248352005</v>
      </c>
      <c r="S10">
        <v>0</v>
      </c>
      <c r="T10">
        <v>0.80508674277821002</v>
      </c>
      <c r="AA10" s="5" t="s">
        <v>8</v>
      </c>
      <c r="AF10" s="2" t="s">
        <v>4</v>
      </c>
    </row>
    <row r="11" spans="2:33">
      <c r="B11">
        <v>16682.604789733999</v>
      </c>
      <c r="C11">
        <v>1</v>
      </c>
      <c r="D11">
        <v>0.91602216285490001</v>
      </c>
      <c r="H11">
        <v>44.306516647339002</v>
      </c>
      <c r="I11">
        <v>1</v>
      </c>
      <c r="J11">
        <v>0.91008796347845</v>
      </c>
      <c r="M11">
        <v>59288.151264191001</v>
      </c>
      <c r="N11">
        <v>1</v>
      </c>
      <c r="O11">
        <v>0.83156960747603004</v>
      </c>
      <c r="R11">
        <v>41.107177734375</v>
      </c>
      <c r="S11">
        <v>1</v>
      </c>
      <c r="T11">
        <v>0.84273808583795995</v>
      </c>
      <c r="Z11" t="s">
        <v>0</v>
      </c>
      <c r="AA11" t="s">
        <v>1</v>
      </c>
      <c r="AB11" t="s">
        <v>2</v>
      </c>
      <c r="AE11" t="s">
        <v>0</v>
      </c>
      <c r="AF11" t="s">
        <v>1</v>
      </c>
      <c r="AG11" t="s">
        <v>2</v>
      </c>
    </row>
    <row r="12" spans="2:33">
      <c r="B12">
        <v>9257.3592662811006</v>
      </c>
      <c r="C12">
        <v>2</v>
      </c>
      <c r="D12">
        <v>0.92961507491345996</v>
      </c>
      <c r="H12">
        <v>26.336431503296001</v>
      </c>
      <c r="I12">
        <v>2</v>
      </c>
      <c r="J12">
        <v>0.91084391694740996</v>
      </c>
      <c r="M12">
        <v>29597.165822982999</v>
      </c>
      <c r="N12">
        <v>2</v>
      </c>
      <c r="O12">
        <v>0.83700486448922995</v>
      </c>
      <c r="R12">
        <v>26.023149490356001</v>
      </c>
      <c r="S12">
        <v>2</v>
      </c>
      <c r="T12">
        <v>0.79840175431664995</v>
      </c>
      <c r="Z12">
        <v>27154.576539992999</v>
      </c>
      <c r="AA12">
        <v>0</v>
      </c>
      <c r="AB12">
        <v>0.91264049579200002</v>
      </c>
      <c r="AE12">
        <v>708.44483375548998</v>
      </c>
      <c r="AF12">
        <v>0</v>
      </c>
      <c r="AG12">
        <v>0.91780141282197003</v>
      </c>
    </row>
    <row r="13" spans="2:33">
      <c r="B13">
        <v>11879.923343658</v>
      </c>
      <c r="C13">
        <v>3</v>
      </c>
      <c r="D13">
        <v>0.92240387192382001</v>
      </c>
      <c r="H13">
        <v>24.645090103148998</v>
      </c>
      <c r="I13">
        <v>3</v>
      </c>
      <c r="J13">
        <v>0.92738034623218002</v>
      </c>
      <c r="M13">
        <v>11892.320394516</v>
      </c>
      <c r="N13">
        <v>3</v>
      </c>
      <c r="O13">
        <v>0.80355264580690999</v>
      </c>
      <c r="R13">
        <v>24.88899230957</v>
      </c>
      <c r="S13">
        <v>3</v>
      </c>
      <c r="T13">
        <v>0.80840322709482004</v>
      </c>
      <c r="Z13">
        <v>18388.057231903</v>
      </c>
      <c r="AA13">
        <v>1</v>
      </c>
      <c r="AB13">
        <v>0.89763580256992004</v>
      </c>
      <c r="AE13">
        <v>237.42008209228999</v>
      </c>
      <c r="AF13">
        <v>1</v>
      </c>
      <c r="AG13">
        <v>0.91729487301824997</v>
      </c>
    </row>
    <row r="14" spans="2:33">
      <c r="B14">
        <v>7096.8432426453001</v>
      </c>
      <c r="C14">
        <v>4</v>
      </c>
      <c r="D14">
        <v>0.90838056600942996</v>
      </c>
      <c r="H14">
        <v>24.981260299683001</v>
      </c>
      <c r="I14">
        <v>4</v>
      </c>
      <c r="J14">
        <v>0.90712227837339998</v>
      </c>
      <c r="M14">
        <v>8966.7513370514007</v>
      </c>
      <c r="N14">
        <v>4</v>
      </c>
      <c r="O14">
        <v>0.82161024099774005</v>
      </c>
      <c r="R14">
        <v>25.722503662108998</v>
      </c>
      <c r="S14">
        <v>4</v>
      </c>
      <c r="T14">
        <v>0.82876194508286005</v>
      </c>
      <c r="Z14">
        <v>20539.702653885</v>
      </c>
      <c r="AA14">
        <v>2</v>
      </c>
      <c r="AB14">
        <v>0.89293012117188997</v>
      </c>
      <c r="AE14">
        <v>249.03869628906</v>
      </c>
      <c r="AF14">
        <v>2</v>
      </c>
      <c r="AG14">
        <v>0.92838062030762003</v>
      </c>
    </row>
    <row r="15" spans="2:33">
      <c r="B15">
        <v>6212.7399444579996</v>
      </c>
      <c r="C15">
        <v>5</v>
      </c>
      <c r="D15">
        <v>0.91228337227622003</v>
      </c>
      <c r="H15">
        <v>24.793863296508999</v>
      </c>
      <c r="I15">
        <v>5</v>
      </c>
      <c r="J15">
        <v>0.92296453009818002</v>
      </c>
      <c r="M15">
        <v>5886.5900039672997</v>
      </c>
      <c r="N15">
        <v>5</v>
      </c>
      <c r="O15">
        <v>0.83015130244891999</v>
      </c>
      <c r="R15">
        <v>25.054693222046001</v>
      </c>
      <c r="S15">
        <v>5</v>
      </c>
      <c r="T15">
        <v>0.83003563320353002</v>
      </c>
      <c r="Z15">
        <v>16307.573318481</v>
      </c>
      <c r="AA15">
        <v>3</v>
      </c>
      <c r="AB15">
        <v>0.94148195987828998</v>
      </c>
      <c r="AE15">
        <v>241.14251136780001</v>
      </c>
      <c r="AF15">
        <v>3</v>
      </c>
      <c r="AG15">
        <v>0.92154698822556003</v>
      </c>
    </row>
    <row r="16" spans="2:33">
      <c r="B16">
        <v>5406.8949222564997</v>
      </c>
      <c r="C16">
        <v>6</v>
      </c>
      <c r="D16">
        <v>0.89962430975012997</v>
      </c>
      <c r="H16">
        <v>27.779817581176999</v>
      </c>
      <c r="I16">
        <v>6</v>
      </c>
      <c r="J16">
        <v>0.91845199638195996</v>
      </c>
      <c r="M16">
        <v>4689.4080638884998</v>
      </c>
      <c r="N16">
        <v>6</v>
      </c>
      <c r="O16">
        <v>0.84068800700125002</v>
      </c>
      <c r="R16">
        <v>26.760339736938</v>
      </c>
      <c r="S16">
        <v>6</v>
      </c>
      <c r="T16">
        <v>0.83660704799008001</v>
      </c>
      <c r="Z16">
        <v>14554.762363434</v>
      </c>
      <c r="AA16">
        <v>4</v>
      </c>
      <c r="AB16">
        <v>0.92210831376742997</v>
      </c>
      <c r="AE16">
        <v>243.49617958069001</v>
      </c>
      <c r="AF16">
        <v>4</v>
      </c>
      <c r="AG16">
        <v>0.94142830510279996</v>
      </c>
    </row>
    <row r="17" spans="2:33">
      <c r="B17">
        <v>5321.7971324921</v>
      </c>
      <c r="C17">
        <v>7</v>
      </c>
      <c r="D17">
        <v>0.90936129842824998</v>
      </c>
      <c r="H17">
        <v>25.110006332396999</v>
      </c>
      <c r="I17">
        <v>7</v>
      </c>
      <c r="J17">
        <v>0.92246470842672001</v>
      </c>
      <c r="M17">
        <v>4206.5570354461997</v>
      </c>
      <c r="N17">
        <v>7</v>
      </c>
      <c r="O17">
        <v>0.79002643829173003</v>
      </c>
      <c r="R17">
        <v>26.602268218993999</v>
      </c>
      <c r="S17">
        <v>7</v>
      </c>
      <c r="T17">
        <v>0.83560081239741002</v>
      </c>
      <c r="Z17">
        <v>14396.610498427999</v>
      </c>
      <c r="AA17">
        <v>5</v>
      </c>
      <c r="AB17">
        <v>0.91791321938537995</v>
      </c>
      <c r="AE17">
        <v>243.15214157104</v>
      </c>
      <c r="AF17">
        <v>5</v>
      </c>
      <c r="AG17">
        <v>0.89411425274091005</v>
      </c>
    </row>
    <row r="18" spans="2:33">
      <c r="B18">
        <v>5704.3373584746996</v>
      </c>
      <c r="C18">
        <v>8</v>
      </c>
      <c r="D18">
        <v>0.92036893923686003</v>
      </c>
      <c r="H18">
        <v>24.862289428711001</v>
      </c>
      <c r="I18">
        <v>8</v>
      </c>
      <c r="J18">
        <v>0.92234632027807995</v>
      </c>
      <c r="M18">
        <v>3689.0873908997</v>
      </c>
      <c r="N18">
        <v>8</v>
      </c>
      <c r="O18">
        <v>0.85129722642172001</v>
      </c>
      <c r="R18">
        <v>25.592088699341002</v>
      </c>
      <c r="S18">
        <v>8</v>
      </c>
      <c r="T18">
        <v>0.82139931048468995</v>
      </c>
      <c r="Z18">
        <v>15602.219581604</v>
      </c>
      <c r="AA18">
        <v>6</v>
      </c>
      <c r="AB18">
        <v>0.91092802998329003</v>
      </c>
      <c r="AE18">
        <v>242.94734001160001</v>
      </c>
      <c r="AF18">
        <v>6</v>
      </c>
      <c r="AG18">
        <v>0.92310475583986995</v>
      </c>
    </row>
    <row r="19" spans="2:33">
      <c r="B19">
        <v>4657.1099758148002</v>
      </c>
      <c r="C19">
        <v>9</v>
      </c>
      <c r="D19">
        <v>0.90639783735074997</v>
      </c>
      <c r="H19">
        <v>24.738550186156999</v>
      </c>
      <c r="I19">
        <v>9</v>
      </c>
      <c r="J19">
        <v>0.90805532226649999</v>
      </c>
      <c r="M19">
        <v>3803.8053512573001</v>
      </c>
      <c r="N19">
        <v>9</v>
      </c>
      <c r="O19">
        <v>0.85497591208393997</v>
      </c>
      <c r="R19">
        <v>27.924776077271002</v>
      </c>
      <c r="S19">
        <v>9</v>
      </c>
      <c r="T19">
        <v>0.78561886912832002</v>
      </c>
      <c r="Z19">
        <v>13114.931344986</v>
      </c>
      <c r="AA19">
        <v>7</v>
      </c>
      <c r="AB19">
        <v>0.91547787345243004</v>
      </c>
      <c r="AE19">
        <v>245.44429779052999</v>
      </c>
      <c r="AF19">
        <v>7</v>
      </c>
      <c r="AG19">
        <v>0.91489639193843997</v>
      </c>
    </row>
    <row r="20" spans="2:33">
      <c r="B20">
        <v>5027.2953510283996</v>
      </c>
      <c r="C20">
        <v>10</v>
      </c>
      <c r="D20">
        <v>0.92776147925857999</v>
      </c>
      <c r="H20">
        <v>25.869369506836001</v>
      </c>
      <c r="I20">
        <v>10</v>
      </c>
      <c r="J20">
        <v>0.91086994769757001</v>
      </c>
      <c r="M20">
        <v>3887.5648975372001</v>
      </c>
      <c r="N20">
        <v>10</v>
      </c>
      <c r="O20">
        <v>0.82138621637541998</v>
      </c>
      <c r="R20">
        <v>25.401830673218001</v>
      </c>
      <c r="S20">
        <v>10</v>
      </c>
      <c r="T20">
        <v>0.84537783828212998</v>
      </c>
      <c r="Z20">
        <v>15649.169206619001</v>
      </c>
      <c r="AA20">
        <v>8</v>
      </c>
      <c r="AB20">
        <v>0.93910511823137999</v>
      </c>
      <c r="AE20">
        <v>244.09079551696999</v>
      </c>
      <c r="AF20">
        <v>8</v>
      </c>
      <c r="AG20">
        <v>0.90897005951841003</v>
      </c>
    </row>
    <row r="21" spans="2:33">
      <c r="B21">
        <v>4301.6393184662002</v>
      </c>
      <c r="C21">
        <v>11</v>
      </c>
      <c r="D21">
        <v>0.92297775280156003</v>
      </c>
      <c r="H21">
        <v>24.765968322753999</v>
      </c>
      <c r="I21">
        <v>11</v>
      </c>
      <c r="J21">
        <v>0.90604144252888996</v>
      </c>
      <c r="M21">
        <v>4003.5648345947002</v>
      </c>
      <c r="N21">
        <v>11</v>
      </c>
      <c r="O21">
        <v>0.84679539612058996</v>
      </c>
      <c r="R21">
        <v>26.759386062621999</v>
      </c>
      <c r="S21">
        <v>11</v>
      </c>
      <c r="T21">
        <v>0.80488222628213002</v>
      </c>
      <c r="Z21">
        <v>22408.123254776001</v>
      </c>
      <c r="AA21">
        <v>9</v>
      </c>
      <c r="AB21">
        <v>0.89408468669566998</v>
      </c>
      <c r="AE21">
        <v>241.32394790648999</v>
      </c>
      <c r="AF21">
        <v>9</v>
      </c>
      <c r="AG21">
        <v>0.92724374367726003</v>
      </c>
    </row>
    <row r="22" spans="2:33">
      <c r="B22">
        <v>4080.7287693024</v>
      </c>
      <c r="C22">
        <v>12</v>
      </c>
      <c r="D22">
        <v>0.92125607349171001</v>
      </c>
      <c r="H22">
        <v>25.532722473145</v>
      </c>
      <c r="I22">
        <v>12</v>
      </c>
      <c r="J22">
        <v>0.91907336770479997</v>
      </c>
      <c r="M22">
        <v>4257.4207782744998</v>
      </c>
      <c r="N22">
        <v>12</v>
      </c>
      <c r="O22">
        <v>0.83183630846531997</v>
      </c>
      <c r="R22">
        <v>27.643442153931002</v>
      </c>
      <c r="S22">
        <v>12</v>
      </c>
      <c r="T22">
        <v>0.84037478462699999</v>
      </c>
      <c r="Z22">
        <v>13349.583387375</v>
      </c>
      <c r="AA22">
        <v>10</v>
      </c>
      <c r="AB22">
        <v>0.91173183465584995</v>
      </c>
      <c r="AE22">
        <v>244.93122100830001</v>
      </c>
      <c r="AF22">
        <v>10</v>
      </c>
      <c r="AG22">
        <v>0.89961278476607998</v>
      </c>
    </row>
    <row r="23" spans="2:33">
      <c r="B23">
        <v>4114.7189140319997</v>
      </c>
      <c r="C23">
        <v>13</v>
      </c>
      <c r="D23">
        <v>0.92238105710725005</v>
      </c>
      <c r="H23">
        <v>25.86817741394</v>
      </c>
      <c r="I23">
        <v>13</v>
      </c>
      <c r="J23">
        <v>0.91546416015769005</v>
      </c>
      <c r="M23">
        <v>4132.8139305115001</v>
      </c>
      <c r="N23">
        <v>13</v>
      </c>
      <c r="O23">
        <v>0.83561472331191</v>
      </c>
      <c r="R23">
        <v>25.014162063598999</v>
      </c>
      <c r="S23">
        <v>13</v>
      </c>
      <c r="T23">
        <v>0.81227416117006002</v>
      </c>
      <c r="Z23">
        <v>13812.323093413999</v>
      </c>
      <c r="AA23">
        <v>11</v>
      </c>
      <c r="AB23">
        <v>0.93198970079020005</v>
      </c>
      <c r="AE23">
        <v>243.91722679137999</v>
      </c>
      <c r="AF23">
        <v>11</v>
      </c>
      <c r="AG23">
        <v>0.89666380969323001</v>
      </c>
    </row>
    <row r="24" spans="2:33">
      <c r="B24">
        <v>3890.0728225707999</v>
      </c>
      <c r="C24">
        <v>14</v>
      </c>
      <c r="D24">
        <v>0.90435091677547996</v>
      </c>
      <c r="H24">
        <v>25.681495666503999</v>
      </c>
      <c r="I24">
        <v>14</v>
      </c>
      <c r="J24">
        <v>0.92237429532809001</v>
      </c>
      <c r="M24">
        <v>3971.049785614</v>
      </c>
      <c r="N24">
        <v>14</v>
      </c>
      <c r="O24">
        <v>0.82940149451777001</v>
      </c>
      <c r="R24">
        <v>28.335809707641999</v>
      </c>
      <c r="S24">
        <v>14</v>
      </c>
      <c r="T24">
        <v>0.82108194981899996</v>
      </c>
      <c r="Z24">
        <v>13916.531801224</v>
      </c>
      <c r="AA24">
        <v>12</v>
      </c>
      <c r="AB24">
        <v>0.90332067915397996</v>
      </c>
      <c r="AE24">
        <v>241.54376983642999</v>
      </c>
      <c r="AF24">
        <v>12</v>
      </c>
      <c r="AG24">
        <v>0.91097098770121998</v>
      </c>
    </row>
    <row r="25" spans="2:33">
      <c r="B25">
        <v>3832.8216075896999</v>
      </c>
      <c r="C25">
        <v>15</v>
      </c>
      <c r="D25">
        <v>0.89817836962105002</v>
      </c>
      <c r="H25">
        <v>25.143384933471999</v>
      </c>
      <c r="I25">
        <v>15</v>
      </c>
      <c r="J25">
        <v>0.91855011344777004</v>
      </c>
      <c r="M25">
        <v>4065.1419162749999</v>
      </c>
      <c r="N25">
        <v>15</v>
      </c>
      <c r="O25">
        <v>0.83377762294958002</v>
      </c>
      <c r="R25">
        <v>25.141954421996999</v>
      </c>
      <c r="S25">
        <v>15</v>
      </c>
      <c r="T25">
        <v>0.81903634312775997</v>
      </c>
      <c r="Z25">
        <v>13027.921676636</v>
      </c>
      <c r="AA25">
        <v>13</v>
      </c>
      <c r="AB25">
        <v>0.92013028166189004</v>
      </c>
      <c r="AE25">
        <v>241.39285087585</v>
      </c>
      <c r="AF25">
        <v>13</v>
      </c>
      <c r="AG25">
        <v>0.91831257442022995</v>
      </c>
    </row>
    <row r="26" spans="2:33">
      <c r="B26">
        <v>3827.6836872100998</v>
      </c>
      <c r="C26">
        <v>16</v>
      </c>
      <c r="D26">
        <v>0.91498025836095997</v>
      </c>
      <c r="H26">
        <v>25.060653686523001</v>
      </c>
      <c r="I26">
        <v>16</v>
      </c>
      <c r="J26">
        <v>0.91610492783261999</v>
      </c>
      <c r="M26">
        <v>3948.5707283020001</v>
      </c>
      <c r="N26">
        <v>16</v>
      </c>
      <c r="O26">
        <v>0.86239385231345</v>
      </c>
      <c r="R26">
        <v>25.549650192261002</v>
      </c>
      <c r="S26">
        <v>16</v>
      </c>
      <c r="T26">
        <v>0.82944220575603</v>
      </c>
      <c r="Z26">
        <v>13487.979650497</v>
      </c>
      <c r="AA26">
        <v>14</v>
      </c>
      <c r="AB26">
        <v>0.93646462259082996</v>
      </c>
      <c r="AE26">
        <v>244.26364898681999</v>
      </c>
      <c r="AF26">
        <v>14</v>
      </c>
      <c r="AG26">
        <v>0.90529971785437002</v>
      </c>
    </row>
    <row r="27" spans="2:33">
      <c r="B27">
        <v>3776.1502265929998</v>
      </c>
      <c r="C27">
        <v>17</v>
      </c>
      <c r="D27">
        <v>0.90603351759849005</v>
      </c>
      <c r="H27">
        <v>25.075674057006999</v>
      </c>
      <c r="I27">
        <v>17</v>
      </c>
      <c r="J27">
        <v>0.92713778774859001</v>
      </c>
      <c r="M27">
        <v>5025.1007080077998</v>
      </c>
      <c r="N27">
        <v>17</v>
      </c>
      <c r="O27">
        <v>0.81428391242089004</v>
      </c>
      <c r="R27">
        <v>26.713132858276001</v>
      </c>
      <c r="S27">
        <v>17</v>
      </c>
      <c r="T27">
        <v>0.82161971038716997</v>
      </c>
      <c r="Z27">
        <v>12907.074928284001</v>
      </c>
      <c r="AA27">
        <v>15</v>
      </c>
      <c r="AB27">
        <v>0.90383199464524999</v>
      </c>
      <c r="AE27">
        <v>238.43693733214999</v>
      </c>
      <c r="AF27">
        <v>15</v>
      </c>
      <c r="AG27">
        <v>0.91567316521594</v>
      </c>
    </row>
    <row r="28" spans="2:33">
      <c r="B28">
        <v>3706.6402435302998</v>
      </c>
      <c r="C28">
        <v>18</v>
      </c>
      <c r="D28">
        <v>0.91936940762300001</v>
      </c>
      <c r="H28">
        <v>25.426387786865</v>
      </c>
      <c r="I28">
        <v>18</v>
      </c>
      <c r="J28">
        <v>0.89499287849304998</v>
      </c>
      <c r="M28">
        <v>3858.5159778594998</v>
      </c>
      <c r="N28">
        <v>18</v>
      </c>
      <c r="O28">
        <v>0.82871549853715998</v>
      </c>
      <c r="R28">
        <v>26.226758956908998</v>
      </c>
      <c r="S28">
        <v>18</v>
      </c>
      <c r="T28">
        <v>0.81860796579301998</v>
      </c>
      <c r="Z28">
        <v>13666.136980056999</v>
      </c>
      <c r="AA28">
        <v>16</v>
      </c>
      <c r="AB28">
        <v>0.92538372315627004</v>
      </c>
      <c r="AE28">
        <v>241.12725257874001</v>
      </c>
      <c r="AF28">
        <v>16</v>
      </c>
      <c r="AG28">
        <v>0.93141616116228998</v>
      </c>
    </row>
    <row r="29" spans="2:33">
      <c r="B29">
        <v>3993.3643341063998</v>
      </c>
      <c r="C29">
        <v>19</v>
      </c>
      <c r="D29">
        <v>0.91611933958924996</v>
      </c>
      <c r="H29">
        <v>24.827003479003999</v>
      </c>
      <c r="I29">
        <v>19</v>
      </c>
      <c r="J29">
        <v>0.91857895512231003</v>
      </c>
      <c r="M29">
        <v>3800.6362915038999</v>
      </c>
      <c r="N29">
        <v>19</v>
      </c>
      <c r="O29">
        <v>0.83195290265899002</v>
      </c>
      <c r="R29">
        <v>26.793003082275</v>
      </c>
      <c r="S29">
        <v>19</v>
      </c>
      <c r="T29">
        <v>0.83181360716149999</v>
      </c>
      <c r="Z29">
        <v>18603.63817215</v>
      </c>
      <c r="AA29">
        <v>17</v>
      </c>
      <c r="AB29">
        <v>0.92153012204621998</v>
      </c>
      <c r="AE29">
        <v>239.51673507690001</v>
      </c>
      <c r="AF29">
        <v>17</v>
      </c>
      <c r="AG29">
        <v>0.91395767773184999</v>
      </c>
    </row>
    <row r="30" spans="2:33">
      <c r="B30">
        <v>4040.0502681732</v>
      </c>
      <c r="C30">
        <v>20</v>
      </c>
      <c r="D30">
        <v>0.88863998407009004</v>
      </c>
      <c r="H30">
        <v>25.275230407715</v>
      </c>
      <c r="I30">
        <v>20</v>
      </c>
      <c r="J30">
        <v>0.89816417332480003</v>
      </c>
      <c r="M30">
        <v>3703.1781673431001</v>
      </c>
      <c r="N30">
        <v>20</v>
      </c>
      <c r="O30">
        <v>0.83431069806111002</v>
      </c>
      <c r="R30">
        <v>25.728464126586999</v>
      </c>
      <c r="S30">
        <v>20</v>
      </c>
      <c r="T30">
        <v>0.81426137428973999</v>
      </c>
      <c r="Z30">
        <v>17592.336177826</v>
      </c>
      <c r="AA30">
        <v>18</v>
      </c>
      <c r="AB30">
        <v>0.90296374879338004</v>
      </c>
      <c r="AE30">
        <v>245.59760093688999</v>
      </c>
      <c r="AF30">
        <v>18</v>
      </c>
      <c r="AG30">
        <v>0.92156318932934</v>
      </c>
    </row>
    <row r="31" spans="2:33">
      <c r="B31">
        <v>4536.2510681151998</v>
      </c>
      <c r="C31">
        <v>21</v>
      </c>
      <c r="D31">
        <v>0.91547762643052999</v>
      </c>
      <c r="H31">
        <v>24.807929992676002</v>
      </c>
      <c r="I31">
        <v>21</v>
      </c>
      <c r="J31">
        <v>0.90435091677547996</v>
      </c>
      <c r="M31">
        <v>3768.8848972320998</v>
      </c>
      <c r="N31">
        <v>21</v>
      </c>
      <c r="O31">
        <v>0.81423843219095005</v>
      </c>
      <c r="R31">
        <v>25.140285491943001</v>
      </c>
      <c r="S31">
        <v>21</v>
      </c>
      <c r="T31">
        <v>0.86238425477509995</v>
      </c>
      <c r="Z31">
        <v>13769.920825957999</v>
      </c>
      <c r="AA31">
        <v>19</v>
      </c>
      <c r="AB31">
        <v>0.89215879503325002</v>
      </c>
      <c r="AE31">
        <v>239.57228660582999</v>
      </c>
      <c r="AF31">
        <v>19</v>
      </c>
      <c r="AG31">
        <v>0.91794417928375005</v>
      </c>
    </row>
    <row r="32" spans="2:33">
      <c r="B32">
        <v>4138.9389038086001</v>
      </c>
      <c r="C32">
        <v>22</v>
      </c>
      <c r="D32">
        <v>0.91923875945986</v>
      </c>
      <c r="H32">
        <v>26.246786117553999</v>
      </c>
      <c r="I32">
        <v>22</v>
      </c>
      <c r="J32">
        <v>0.90542593910485003</v>
      </c>
      <c r="M32">
        <v>3835.0470066070998</v>
      </c>
      <c r="N32">
        <v>22</v>
      </c>
      <c r="O32">
        <v>0.85345374961160003</v>
      </c>
      <c r="R32">
        <v>30.47251701355</v>
      </c>
      <c r="S32">
        <v>22</v>
      </c>
      <c r="T32">
        <v>0.83388109819130996</v>
      </c>
      <c r="Z32">
        <v>13317.996025085</v>
      </c>
      <c r="AA32">
        <v>20</v>
      </c>
      <c r="AB32">
        <v>0.90282431159040999</v>
      </c>
      <c r="AE32">
        <v>240.77177047729</v>
      </c>
      <c r="AF32">
        <v>20</v>
      </c>
      <c r="AG32">
        <v>0.90565532848612995</v>
      </c>
    </row>
    <row r="33" spans="2:33">
      <c r="B33">
        <v>4026.2331962584999</v>
      </c>
      <c r="C33">
        <v>23</v>
      </c>
      <c r="D33">
        <v>0.91844606250120997</v>
      </c>
      <c r="H33">
        <v>24.896144866943001</v>
      </c>
      <c r="I33">
        <v>23</v>
      </c>
      <c r="J33">
        <v>0.92044598359012997</v>
      </c>
      <c r="M33">
        <v>3677.7656078339</v>
      </c>
      <c r="N33">
        <v>23</v>
      </c>
      <c r="O33">
        <v>0.81695087342604</v>
      </c>
      <c r="R33">
        <v>26.216745376586999</v>
      </c>
      <c r="S33">
        <v>23</v>
      </c>
      <c r="T33">
        <v>0.83998554449083995</v>
      </c>
      <c r="Z33">
        <v>13707.19575882</v>
      </c>
      <c r="AA33">
        <v>21</v>
      </c>
      <c r="AB33">
        <v>0.92482364496830005</v>
      </c>
      <c r="AE33">
        <v>244.12703514098999</v>
      </c>
      <c r="AF33">
        <v>21</v>
      </c>
      <c r="AG33">
        <v>0.91375341095477003</v>
      </c>
    </row>
    <row r="34" spans="2:33">
      <c r="B34">
        <v>4194.4518089293997</v>
      </c>
      <c r="C34">
        <v>24</v>
      </c>
      <c r="D34">
        <v>0.92126281001318999</v>
      </c>
      <c r="H34">
        <v>25.423765182495</v>
      </c>
      <c r="I34">
        <v>24</v>
      </c>
      <c r="J34">
        <v>0.91601632236674002</v>
      </c>
      <c r="M34">
        <v>3951.3468742371001</v>
      </c>
      <c r="N34">
        <v>24</v>
      </c>
      <c r="O34">
        <v>0.85760498332431001</v>
      </c>
      <c r="R34">
        <v>25.721788406371999</v>
      </c>
      <c r="S34">
        <v>24</v>
      </c>
      <c r="T34">
        <v>0.80355457691097998</v>
      </c>
      <c r="Z34">
        <v>13719.106197356999</v>
      </c>
      <c r="AA34">
        <v>22</v>
      </c>
      <c r="AB34">
        <v>0.90652235029519002</v>
      </c>
      <c r="AE34">
        <v>239.25614356995001</v>
      </c>
      <c r="AF34">
        <v>22</v>
      </c>
      <c r="AG34">
        <v>0.92512343655312002</v>
      </c>
    </row>
    <row r="35" spans="2:33">
      <c r="B35">
        <v>3950.5014419556001</v>
      </c>
      <c r="C35">
        <v>25</v>
      </c>
      <c r="D35">
        <v>0.91855011344777004</v>
      </c>
      <c r="H35">
        <v>24.962425231933999</v>
      </c>
      <c r="I35">
        <v>25</v>
      </c>
      <c r="J35">
        <v>0.90640384296835996</v>
      </c>
      <c r="M35">
        <v>3991.4641380309999</v>
      </c>
      <c r="N35">
        <v>25</v>
      </c>
      <c r="O35">
        <v>0.79844111196727996</v>
      </c>
      <c r="R35">
        <v>25.134086608886999</v>
      </c>
      <c r="S35">
        <v>25</v>
      </c>
      <c r="T35">
        <v>0.85496394897393002</v>
      </c>
      <c r="Z35">
        <v>15024.798393249999</v>
      </c>
      <c r="AA35">
        <v>23</v>
      </c>
      <c r="AB35">
        <v>0.92732422270124004</v>
      </c>
      <c r="AE35">
        <v>240.07987976074</v>
      </c>
      <c r="AF35">
        <v>23</v>
      </c>
      <c r="AG35">
        <v>0.89295034067170997</v>
      </c>
    </row>
    <row r="36" spans="2:33">
      <c r="B36">
        <v>4307.2066307067998</v>
      </c>
      <c r="C36">
        <v>26</v>
      </c>
      <c r="D36">
        <v>0.90342800137720003</v>
      </c>
      <c r="H36">
        <v>25.172472000121999</v>
      </c>
      <c r="I36">
        <v>26</v>
      </c>
      <c r="J36">
        <v>0.93012958581970995</v>
      </c>
      <c r="M36">
        <v>4635.0011825561996</v>
      </c>
      <c r="N36">
        <v>26</v>
      </c>
      <c r="O36">
        <v>0.82350776206635001</v>
      </c>
      <c r="R36">
        <v>25.261402130126999</v>
      </c>
      <c r="S36">
        <v>26</v>
      </c>
      <c r="T36">
        <v>0.77217953346054002</v>
      </c>
      <c r="Z36">
        <v>14480.317354201999</v>
      </c>
      <c r="AA36">
        <v>24</v>
      </c>
      <c r="AB36">
        <v>0.92724300020437</v>
      </c>
      <c r="AE36">
        <v>244.30489540100001</v>
      </c>
      <c r="AF36">
        <v>24</v>
      </c>
      <c r="AG36">
        <v>0.90292459141738002</v>
      </c>
    </row>
    <row r="37" spans="2:33">
      <c r="B37">
        <v>3914.9935245513998</v>
      </c>
      <c r="C37">
        <v>27</v>
      </c>
      <c r="D37">
        <v>0.89635873815938005</v>
      </c>
      <c r="H37">
        <v>24.78814125061</v>
      </c>
      <c r="I37">
        <v>27</v>
      </c>
      <c r="J37">
        <v>0.91261212187239005</v>
      </c>
      <c r="M37">
        <v>4025.3713130951</v>
      </c>
      <c r="N37">
        <v>27</v>
      </c>
      <c r="O37">
        <v>0.83385021209853005</v>
      </c>
      <c r="R37">
        <v>28.221130371093999</v>
      </c>
      <c r="S37">
        <v>27</v>
      </c>
      <c r="T37">
        <v>0.79001832838629005</v>
      </c>
      <c r="Z37">
        <v>13447.830438614001</v>
      </c>
      <c r="AA37">
        <v>25</v>
      </c>
      <c r="AB37">
        <v>0.92130360959292001</v>
      </c>
      <c r="AE37">
        <v>240.01336097717001</v>
      </c>
      <c r="AF37">
        <v>25</v>
      </c>
      <c r="AG37">
        <v>0.92217090785110001</v>
      </c>
    </row>
    <row r="38" spans="2:33">
      <c r="B38">
        <v>3841.5348529816001</v>
      </c>
      <c r="C38">
        <v>28</v>
      </c>
      <c r="D38">
        <v>0.91745516806343996</v>
      </c>
      <c r="H38">
        <v>25.002717971801999</v>
      </c>
      <c r="I38">
        <v>28</v>
      </c>
      <c r="J38">
        <v>0.92124220901580001</v>
      </c>
      <c r="M38">
        <v>4653.4180641173998</v>
      </c>
      <c r="N38">
        <v>28</v>
      </c>
      <c r="O38">
        <v>0.80492300665535998</v>
      </c>
      <c r="R38">
        <v>25.766611099243001</v>
      </c>
      <c r="S38">
        <v>28</v>
      </c>
      <c r="T38">
        <v>0.79927674700527995</v>
      </c>
      <c r="Z38">
        <v>13689.628124237001</v>
      </c>
      <c r="AA38">
        <v>26</v>
      </c>
      <c r="AB38">
        <v>0.91065933233736995</v>
      </c>
      <c r="AE38">
        <v>242.34700202942</v>
      </c>
      <c r="AF38">
        <v>26</v>
      </c>
      <c r="AG38">
        <v>0.92378429542377005</v>
      </c>
    </row>
    <row r="39" spans="2:33">
      <c r="B39">
        <v>4538.5622978210004</v>
      </c>
      <c r="C39">
        <v>29</v>
      </c>
      <c r="D39">
        <v>0.91471404595920003</v>
      </c>
      <c r="H39">
        <v>24.778842926025</v>
      </c>
      <c r="I39">
        <v>29</v>
      </c>
      <c r="J39">
        <v>0.91021788674533999</v>
      </c>
      <c r="M39">
        <v>4292.6716804504003</v>
      </c>
      <c r="N39">
        <v>29</v>
      </c>
      <c r="O39">
        <v>0.82106133657881997</v>
      </c>
      <c r="R39">
        <v>25.092840194701999</v>
      </c>
      <c r="S39">
        <v>29</v>
      </c>
      <c r="T39">
        <v>0.83702526147538003</v>
      </c>
      <c r="Z39">
        <v>13058.100938797001</v>
      </c>
      <c r="AA39">
        <v>27</v>
      </c>
      <c r="AB39">
        <v>0.93037834102520001</v>
      </c>
      <c r="AE39">
        <v>242.99740791321</v>
      </c>
      <c r="AF39">
        <v>27</v>
      </c>
      <c r="AG39">
        <v>0.83845038326082</v>
      </c>
    </row>
    <row r="40" spans="2:33">
      <c r="B40">
        <v>3811.1832141875998</v>
      </c>
      <c r="C40">
        <v>30</v>
      </c>
      <c r="D40">
        <v>0.92841732162121005</v>
      </c>
      <c r="H40">
        <v>25.134325027466002</v>
      </c>
      <c r="I40">
        <v>30</v>
      </c>
      <c r="J40">
        <v>0.92022546469677002</v>
      </c>
      <c r="M40">
        <v>4463.3190631866</v>
      </c>
      <c r="N40">
        <v>30</v>
      </c>
      <c r="O40">
        <v>0.80388964962511</v>
      </c>
      <c r="R40">
        <v>25.310277938843001</v>
      </c>
      <c r="S40">
        <v>30</v>
      </c>
      <c r="T40">
        <v>0.85098334259135999</v>
      </c>
      <c r="Z40">
        <v>20828.855514526</v>
      </c>
      <c r="AA40">
        <v>28</v>
      </c>
      <c r="AB40">
        <v>0.92373171020285005</v>
      </c>
      <c r="AE40">
        <v>240.28897285460999</v>
      </c>
      <c r="AF40">
        <v>28</v>
      </c>
      <c r="AG40">
        <v>0.91478006299186998</v>
      </c>
    </row>
    <row r="41" spans="2:33">
      <c r="B41">
        <v>3908.9138507842999</v>
      </c>
      <c r="C41">
        <v>31</v>
      </c>
      <c r="D41">
        <v>0.91340134564704001</v>
      </c>
      <c r="H41">
        <v>25.009870529175</v>
      </c>
      <c r="I41">
        <v>31</v>
      </c>
      <c r="J41">
        <v>0.91471335780853003</v>
      </c>
      <c r="M41">
        <v>4087.7649784087998</v>
      </c>
      <c r="N41">
        <v>31</v>
      </c>
      <c r="O41">
        <v>0.81850359096991998</v>
      </c>
      <c r="R41">
        <v>25.156736373901001</v>
      </c>
      <c r="S41">
        <v>31</v>
      </c>
      <c r="T41">
        <v>0.82136265462399005</v>
      </c>
      <c r="Z41">
        <v>27219.798564911001</v>
      </c>
      <c r="AA41">
        <v>29</v>
      </c>
      <c r="AB41">
        <v>0.91569593164002006</v>
      </c>
      <c r="AE41">
        <v>243.25084686279001</v>
      </c>
      <c r="AF41">
        <v>29</v>
      </c>
      <c r="AG41">
        <v>0.89937106918238996</v>
      </c>
    </row>
    <row r="42" spans="2:33">
      <c r="B42">
        <v>4161.1931324005</v>
      </c>
      <c r="C42">
        <v>32</v>
      </c>
      <c r="D42">
        <v>0.91943179147052001</v>
      </c>
      <c r="H42">
        <v>25.348424911498999</v>
      </c>
      <c r="I42">
        <v>32</v>
      </c>
      <c r="J42">
        <v>0.92839688270517995</v>
      </c>
      <c r="M42">
        <v>4326.4586925507001</v>
      </c>
      <c r="N42">
        <v>32</v>
      </c>
      <c r="O42">
        <v>0.82936838305176996</v>
      </c>
      <c r="R42">
        <v>26.094436645508001</v>
      </c>
      <c r="S42">
        <v>32</v>
      </c>
      <c r="T42">
        <v>0.79751915034020004</v>
      </c>
      <c r="Z42">
        <v>13882.433176041</v>
      </c>
      <c r="AA42">
        <v>30</v>
      </c>
      <c r="AB42">
        <v>0.91838894716450004</v>
      </c>
      <c r="AE42">
        <v>241.68562889098999</v>
      </c>
      <c r="AF42">
        <v>30</v>
      </c>
      <c r="AG42">
        <v>0.91322623405701997</v>
      </c>
    </row>
    <row r="43" spans="2:33">
      <c r="B43">
        <v>4000.5090236664</v>
      </c>
      <c r="C43">
        <v>33</v>
      </c>
      <c r="D43">
        <v>0.92211323503553999</v>
      </c>
      <c r="H43">
        <v>24.865865707396999</v>
      </c>
      <c r="I43">
        <v>33</v>
      </c>
      <c r="J43">
        <v>0.91500783753416004</v>
      </c>
      <c r="M43">
        <v>3651.9999504089001</v>
      </c>
      <c r="N43">
        <v>33</v>
      </c>
      <c r="O43">
        <v>0.84725495908259996</v>
      </c>
      <c r="R43">
        <v>27.351856231688998</v>
      </c>
      <c r="S43">
        <v>33</v>
      </c>
      <c r="T43">
        <v>0.86610031559515999</v>
      </c>
      <c r="Z43">
        <v>17000.013113022</v>
      </c>
      <c r="AA43">
        <v>31</v>
      </c>
      <c r="AB43">
        <v>0.91535433070866001</v>
      </c>
      <c r="AE43">
        <v>239.48836326598999</v>
      </c>
      <c r="AF43">
        <v>31</v>
      </c>
      <c r="AG43">
        <v>0.91556490591203998</v>
      </c>
    </row>
    <row r="44" spans="2:33">
      <c r="B44">
        <v>4359.9541187286004</v>
      </c>
      <c r="C44">
        <v>34</v>
      </c>
      <c r="D44">
        <v>0.91857895512231003</v>
      </c>
      <c r="H44">
        <v>25.01392364502</v>
      </c>
      <c r="I44">
        <v>34</v>
      </c>
      <c r="J44">
        <v>0.92174448988501001</v>
      </c>
      <c r="M44">
        <v>3719.9063301085998</v>
      </c>
      <c r="N44">
        <v>34</v>
      </c>
      <c r="O44">
        <v>0.78727292368074997</v>
      </c>
      <c r="R44">
        <v>25.675058364868001</v>
      </c>
      <c r="S44">
        <v>34</v>
      </c>
      <c r="T44">
        <v>0.85762122781807004</v>
      </c>
      <c r="Z44">
        <v>18127.736330031999</v>
      </c>
      <c r="AA44">
        <v>32</v>
      </c>
      <c r="AB44">
        <v>0.91374415251993002</v>
      </c>
      <c r="AE44">
        <v>245.98097801207999</v>
      </c>
      <c r="AF44">
        <v>32</v>
      </c>
      <c r="AG44">
        <v>0.90386546184739003</v>
      </c>
    </row>
    <row r="45" spans="2:33">
      <c r="B45">
        <v>4099.8129844666</v>
      </c>
      <c r="C45">
        <v>35</v>
      </c>
      <c r="D45">
        <v>0.89783901750182005</v>
      </c>
      <c r="H45">
        <v>24.940013885498001</v>
      </c>
      <c r="I45">
        <v>35</v>
      </c>
      <c r="J45">
        <v>0.91397763642023</v>
      </c>
      <c r="M45">
        <v>3499.1610050201002</v>
      </c>
      <c r="N45">
        <v>35</v>
      </c>
      <c r="O45">
        <v>0.81906255250042004</v>
      </c>
      <c r="R45">
        <v>25.218963623046999</v>
      </c>
      <c r="S45">
        <v>35</v>
      </c>
      <c r="T45">
        <v>0.80393565067508999</v>
      </c>
      <c r="Z45">
        <v>18883.706808089999</v>
      </c>
      <c r="AA45">
        <v>33</v>
      </c>
      <c r="AB45">
        <v>0.90179719551772997</v>
      </c>
      <c r="AE45">
        <v>243.17216873168999</v>
      </c>
      <c r="AF45">
        <v>33</v>
      </c>
      <c r="AG45">
        <v>0.91960307440961997</v>
      </c>
    </row>
    <row r="46" spans="2:33">
      <c r="B46">
        <v>4222.1446037291998</v>
      </c>
      <c r="C46">
        <v>36</v>
      </c>
      <c r="D46">
        <v>0.91420918982039001</v>
      </c>
      <c r="H46">
        <v>25.740385055541999</v>
      </c>
      <c r="I46">
        <v>36</v>
      </c>
      <c r="J46">
        <v>0.90924168248575998</v>
      </c>
      <c r="M46">
        <v>3850.6917953491002</v>
      </c>
      <c r="N46">
        <v>36</v>
      </c>
      <c r="O46">
        <v>0.77214830858086003</v>
      </c>
      <c r="R46">
        <v>25.39324760437</v>
      </c>
      <c r="S46">
        <v>36</v>
      </c>
      <c r="T46">
        <v>0.85131659083581002</v>
      </c>
      <c r="Z46">
        <v>15427.240371704</v>
      </c>
      <c r="AA46">
        <v>34</v>
      </c>
      <c r="AB46">
        <v>0.91726135705278999</v>
      </c>
      <c r="AE46">
        <v>239.54033851624001</v>
      </c>
      <c r="AF46">
        <v>34</v>
      </c>
      <c r="AG46">
        <v>0.93549629030257997</v>
      </c>
    </row>
    <row r="47" spans="2:33">
      <c r="B47">
        <v>4392.5588130951</v>
      </c>
      <c r="C47">
        <v>37</v>
      </c>
      <c r="D47">
        <v>0.92714432858775997</v>
      </c>
      <c r="H47">
        <v>24.948835372925</v>
      </c>
      <c r="I47">
        <v>37</v>
      </c>
      <c r="J47">
        <v>0.90534733043549998</v>
      </c>
      <c r="M47">
        <v>3551.2452125548998</v>
      </c>
      <c r="N47">
        <v>37</v>
      </c>
      <c r="O47">
        <v>0.85009629443553003</v>
      </c>
      <c r="R47">
        <v>26.743173599243001</v>
      </c>
      <c r="S47">
        <v>37</v>
      </c>
      <c r="T47">
        <v>0.85349229937854998</v>
      </c>
      <c r="Z47">
        <v>15788.952589035</v>
      </c>
      <c r="AA47">
        <v>35</v>
      </c>
      <c r="AB47">
        <v>0.90960582027189996</v>
      </c>
      <c r="AE47">
        <v>242.3210144043</v>
      </c>
      <c r="AF47">
        <v>35</v>
      </c>
      <c r="AG47">
        <v>0.85381256691648999</v>
      </c>
    </row>
    <row r="48" spans="2:33">
      <c r="B48">
        <v>4464.8110866547004</v>
      </c>
      <c r="C48">
        <v>38</v>
      </c>
      <c r="D48">
        <v>0.91722473072573996</v>
      </c>
      <c r="H48">
        <v>26.04341506958</v>
      </c>
      <c r="I48">
        <v>38</v>
      </c>
      <c r="J48">
        <v>0.92125607349171001</v>
      </c>
      <c r="M48">
        <v>4376.0423660278002</v>
      </c>
      <c r="N48">
        <v>38</v>
      </c>
      <c r="O48">
        <v>0.84273542311199001</v>
      </c>
      <c r="R48">
        <v>26.322364807128999</v>
      </c>
      <c r="S48">
        <v>38</v>
      </c>
      <c r="T48">
        <v>0.84925958451940997</v>
      </c>
      <c r="Z48">
        <v>13530.999183655</v>
      </c>
      <c r="AA48">
        <v>36</v>
      </c>
      <c r="AB48">
        <v>0.91481837844060998</v>
      </c>
      <c r="AE48">
        <v>238.76094818115001</v>
      </c>
      <c r="AF48">
        <v>36</v>
      </c>
      <c r="AG48">
        <v>0.90648927549654001</v>
      </c>
    </row>
    <row r="49" spans="2:33">
      <c r="B49">
        <v>4368.3340549469003</v>
      </c>
      <c r="C49">
        <v>39</v>
      </c>
      <c r="D49">
        <v>0.91851216187955997</v>
      </c>
      <c r="H49">
        <v>24.901866912841999</v>
      </c>
      <c r="I49">
        <v>39</v>
      </c>
      <c r="J49">
        <v>0.89783133355014</v>
      </c>
      <c r="M49">
        <v>3826.477766037</v>
      </c>
      <c r="N49">
        <v>39</v>
      </c>
      <c r="O49">
        <v>0.83657755677390999</v>
      </c>
      <c r="R49">
        <v>25.263071060181002</v>
      </c>
      <c r="S49">
        <v>39</v>
      </c>
      <c r="T49">
        <v>0.83855155190867003</v>
      </c>
      <c r="Z49">
        <v>13671.788692474</v>
      </c>
      <c r="AA49">
        <v>37</v>
      </c>
      <c r="AB49">
        <v>0.87920101933743</v>
      </c>
      <c r="AE49">
        <v>238.07954788207999</v>
      </c>
      <c r="AF49">
        <v>37</v>
      </c>
      <c r="AG49">
        <v>0.92656902916953998</v>
      </c>
    </row>
    <row r="50" spans="2:33">
      <c r="B50">
        <v>4590.8138751983997</v>
      </c>
      <c r="C50">
        <v>40</v>
      </c>
      <c r="D50">
        <v>0.92045234606132997</v>
      </c>
      <c r="H50">
        <v>25.603532791138001</v>
      </c>
      <c r="I50">
        <v>40</v>
      </c>
      <c r="J50">
        <v>0.91147438959084004</v>
      </c>
      <c r="M50">
        <v>3669.3964004517002</v>
      </c>
      <c r="N50">
        <v>40</v>
      </c>
      <c r="O50">
        <v>0.80120089705563002</v>
      </c>
      <c r="R50">
        <v>25.878190994263001</v>
      </c>
      <c r="S50">
        <v>40</v>
      </c>
      <c r="T50">
        <v>0.78727100868704003</v>
      </c>
      <c r="Z50">
        <v>19306.549072266</v>
      </c>
      <c r="AA50">
        <v>38</v>
      </c>
      <c r="AB50">
        <v>0.90004484240065996</v>
      </c>
      <c r="AE50">
        <v>240.65732955933001</v>
      </c>
      <c r="AF50">
        <v>38</v>
      </c>
      <c r="AG50">
        <v>0.89216916836962001</v>
      </c>
    </row>
    <row r="51" spans="2:33">
      <c r="B51">
        <v>4301.7694950103996</v>
      </c>
      <c r="C51">
        <v>41</v>
      </c>
      <c r="D51">
        <v>0.92168874508397003</v>
      </c>
      <c r="H51">
        <v>24.934530258178999</v>
      </c>
      <c r="I51">
        <v>41</v>
      </c>
      <c r="J51">
        <v>0.88390181543492996</v>
      </c>
      <c r="M51">
        <v>3852.4260520934999</v>
      </c>
      <c r="N51">
        <v>41</v>
      </c>
      <c r="O51">
        <v>0.80837433701834005</v>
      </c>
      <c r="R51">
        <v>26.958227157593001</v>
      </c>
      <c r="S51">
        <v>41</v>
      </c>
      <c r="T51">
        <v>0.82357703829648998</v>
      </c>
      <c r="Z51">
        <v>12925.818920135</v>
      </c>
      <c r="AA51">
        <v>39</v>
      </c>
      <c r="AB51">
        <v>0.92596243098151998</v>
      </c>
      <c r="AE51">
        <v>242.11359024047999</v>
      </c>
      <c r="AF51">
        <v>39</v>
      </c>
      <c r="AG51">
        <v>0.90177573670111</v>
      </c>
    </row>
    <row r="52" spans="2:33">
      <c r="B52">
        <v>3616.0621643066002</v>
      </c>
      <c r="C52">
        <v>42</v>
      </c>
      <c r="D52">
        <v>0.92174448988501001</v>
      </c>
      <c r="H52">
        <v>25.028467178345</v>
      </c>
      <c r="I52">
        <v>42</v>
      </c>
      <c r="J52">
        <v>0.91944347384136005</v>
      </c>
      <c r="M52">
        <v>4383.4891319275002</v>
      </c>
      <c r="N52">
        <v>42</v>
      </c>
      <c r="O52">
        <v>0.84840711764411003</v>
      </c>
      <c r="R52">
        <v>27.319192886353001</v>
      </c>
      <c r="S52">
        <v>42</v>
      </c>
      <c r="T52">
        <v>0.85017648271241997</v>
      </c>
      <c r="Z52">
        <v>13193.307638168</v>
      </c>
      <c r="AA52">
        <v>40</v>
      </c>
      <c r="AB52">
        <v>0.90563094919530995</v>
      </c>
      <c r="AE52">
        <v>238.21616172790999</v>
      </c>
      <c r="AF52">
        <v>40</v>
      </c>
      <c r="AG52">
        <v>0.90299634835676001</v>
      </c>
    </row>
    <row r="53" spans="2:33">
      <c r="B53">
        <v>4024.1510868073001</v>
      </c>
      <c r="C53">
        <v>43</v>
      </c>
      <c r="D53">
        <v>0.92471297851194001</v>
      </c>
      <c r="H53">
        <v>24.742364883423001</v>
      </c>
      <c r="I53">
        <v>43</v>
      </c>
      <c r="J53">
        <v>0.90448973307931002</v>
      </c>
      <c r="M53">
        <v>4101.8712520599001</v>
      </c>
      <c r="N53">
        <v>43</v>
      </c>
      <c r="O53">
        <v>0.80235392776348002</v>
      </c>
      <c r="R53">
        <v>26.452541351318001</v>
      </c>
      <c r="S53">
        <v>43</v>
      </c>
      <c r="T53">
        <v>0.83208686249774999</v>
      </c>
      <c r="Z53">
        <v>13180.178165436</v>
      </c>
      <c r="AA53">
        <v>41</v>
      </c>
      <c r="AB53">
        <v>0.93420951280569997</v>
      </c>
      <c r="AE53">
        <v>238.34204673766999</v>
      </c>
      <c r="AF53">
        <v>41</v>
      </c>
      <c r="AG53">
        <v>0.90279686416166005</v>
      </c>
    </row>
    <row r="54" spans="2:33">
      <c r="B54">
        <v>3849.9879837036001</v>
      </c>
      <c r="C54">
        <v>44</v>
      </c>
      <c r="D54">
        <v>0.92247196313131996</v>
      </c>
      <c r="H54">
        <v>25.504112243651999</v>
      </c>
      <c r="I54">
        <v>44</v>
      </c>
      <c r="J54">
        <v>0.91186539237110997</v>
      </c>
      <c r="M54">
        <v>4235.7981204987</v>
      </c>
      <c r="N54">
        <v>44</v>
      </c>
      <c r="O54">
        <v>0.81224804168987996</v>
      </c>
      <c r="R54">
        <v>25.809764862061002</v>
      </c>
      <c r="S54">
        <v>44</v>
      </c>
      <c r="T54">
        <v>0.84061151539223</v>
      </c>
      <c r="Z54">
        <v>14657.440185547001</v>
      </c>
      <c r="AA54">
        <v>42</v>
      </c>
      <c r="AB54">
        <v>0.90521721913310005</v>
      </c>
      <c r="AE54">
        <v>240.64350128173999</v>
      </c>
      <c r="AF54">
        <v>42</v>
      </c>
      <c r="AG54">
        <v>0.88450018243065998</v>
      </c>
    </row>
    <row r="55" spans="2:33">
      <c r="B55">
        <v>4072.5436210632001</v>
      </c>
      <c r="C55">
        <v>45</v>
      </c>
      <c r="D55">
        <v>0.91397034175618996</v>
      </c>
      <c r="H55">
        <v>24.978637695311999</v>
      </c>
      <c r="I55">
        <v>45</v>
      </c>
      <c r="J55">
        <v>0.91228270466100003</v>
      </c>
      <c r="M55">
        <v>3875.8282661438002</v>
      </c>
      <c r="N55">
        <v>45</v>
      </c>
      <c r="O55">
        <v>0.80114879649891002</v>
      </c>
      <c r="R55">
        <v>27.360200881958001</v>
      </c>
      <c r="S55">
        <v>45</v>
      </c>
      <c r="T55">
        <v>0.81698497898722999</v>
      </c>
      <c r="Z55">
        <v>12420.928716660001</v>
      </c>
      <c r="AA55">
        <v>43</v>
      </c>
      <c r="AB55">
        <v>0.93145360593125004</v>
      </c>
      <c r="AE55">
        <v>240.58818817138999</v>
      </c>
      <c r="AF55">
        <v>43</v>
      </c>
      <c r="AG55">
        <v>0.86992349432104998</v>
      </c>
    </row>
    <row r="56" spans="2:33">
      <c r="B56">
        <v>3922.6880073546999</v>
      </c>
      <c r="C56">
        <v>46</v>
      </c>
      <c r="D56">
        <v>0.91097915350600001</v>
      </c>
      <c r="H56">
        <v>26.046752929688001</v>
      </c>
      <c r="I56">
        <v>46</v>
      </c>
      <c r="J56">
        <v>0.89962430975012997</v>
      </c>
      <c r="M56">
        <v>4142.9650783539</v>
      </c>
      <c r="N56">
        <v>46</v>
      </c>
      <c r="O56">
        <v>0.83815839384415003</v>
      </c>
      <c r="R56">
        <v>25.617599487305</v>
      </c>
      <c r="S56">
        <v>46</v>
      </c>
      <c r="T56">
        <v>0.77950528762138005</v>
      </c>
      <c r="Z56">
        <v>12010.93173027</v>
      </c>
      <c r="AA56">
        <v>44</v>
      </c>
      <c r="AB56">
        <v>0.91785063621110996</v>
      </c>
      <c r="AE56">
        <v>240.68713188171</v>
      </c>
      <c r="AF56">
        <v>44</v>
      </c>
      <c r="AG56">
        <v>0.92135362989744995</v>
      </c>
    </row>
    <row r="57" spans="2:33">
      <c r="B57">
        <v>4808.6347579956</v>
      </c>
      <c r="C57">
        <v>47</v>
      </c>
      <c r="D57">
        <v>0.90921745848847002</v>
      </c>
      <c r="H57">
        <v>25.10666847229</v>
      </c>
      <c r="I57">
        <v>47</v>
      </c>
      <c r="J57">
        <v>0.91747611401682005</v>
      </c>
      <c r="M57">
        <v>4136.2719535828001</v>
      </c>
      <c r="N57">
        <v>47</v>
      </c>
      <c r="O57">
        <v>0.78563666995643999</v>
      </c>
      <c r="R57">
        <v>26.685476303101002</v>
      </c>
      <c r="S57">
        <v>47</v>
      </c>
      <c r="T57">
        <v>0.83016557608467001</v>
      </c>
      <c r="Z57">
        <v>12089.904546738</v>
      </c>
      <c r="AA57">
        <v>45</v>
      </c>
      <c r="AB57">
        <v>0.91961011835692996</v>
      </c>
      <c r="AE57">
        <v>241.51611328125</v>
      </c>
      <c r="AF57">
        <v>45</v>
      </c>
      <c r="AG57">
        <v>0.92735212662802002</v>
      </c>
    </row>
    <row r="58" spans="2:33">
      <c r="B58">
        <v>4204.1425704956</v>
      </c>
      <c r="C58">
        <v>48</v>
      </c>
      <c r="D58">
        <v>0.92739805367974004</v>
      </c>
      <c r="H58">
        <v>25.479793548583999</v>
      </c>
      <c r="I58">
        <v>48</v>
      </c>
      <c r="J58">
        <v>0.90838056600942996</v>
      </c>
      <c r="M58">
        <v>4153.7063121796</v>
      </c>
      <c r="N58">
        <v>48</v>
      </c>
      <c r="O58">
        <v>0.84477495001891001</v>
      </c>
      <c r="R58">
        <v>28.676509857178001</v>
      </c>
      <c r="S58">
        <v>48</v>
      </c>
      <c r="T58">
        <v>0.82935022837778005</v>
      </c>
      <c r="Z58">
        <v>12551.776409149001</v>
      </c>
      <c r="AA58">
        <v>46</v>
      </c>
      <c r="AB58">
        <v>0.91615303177526997</v>
      </c>
      <c r="AE58">
        <v>239.77780342102</v>
      </c>
      <c r="AF58">
        <v>46</v>
      </c>
      <c r="AG58">
        <v>0.92592415383585003</v>
      </c>
    </row>
    <row r="59" spans="2:33">
      <c r="B59">
        <v>3825.5805969237999</v>
      </c>
      <c r="C59">
        <v>49</v>
      </c>
      <c r="D59">
        <v>0.90534733043549998</v>
      </c>
      <c r="H59">
        <v>24.873971939086999</v>
      </c>
      <c r="I59">
        <v>49</v>
      </c>
      <c r="J59">
        <v>0.91745449183229</v>
      </c>
      <c r="M59">
        <v>3592.5195217133</v>
      </c>
      <c r="N59">
        <v>49</v>
      </c>
      <c r="O59">
        <v>0.86608796908908003</v>
      </c>
      <c r="R59">
        <v>25.192975997925</v>
      </c>
      <c r="S59">
        <v>49</v>
      </c>
      <c r="T59">
        <v>0.81680529446604999</v>
      </c>
      <c r="Z59">
        <v>12257.608652114999</v>
      </c>
      <c r="AA59">
        <v>47</v>
      </c>
      <c r="AB59">
        <v>0.86991582193685002</v>
      </c>
      <c r="AE59">
        <v>239.30692672729</v>
      </c>
      <c r="AF59">
        <v>47</v>
      </c>
      <c r="AG59">
        <v>0.92405995219095005</v>
      </c>
    </row>
    <row r="60" spans="2:33">
      <c r="B60">
        <v>4132.9963207245</v>
      </c>
      <c r="C60">
        <v>50</v>
      </c>
      <c r="D60">
        <v>0.91748471865634995</v>
      </c>
      <c r="H60">
        <v>24.928569793701001</v>
      </c>
      <c r="I60">
        <v>50</v>
      </c>
      <c r="J60">
        <v>0.92168874508397003</v>
      </c>
      <c r="M60">
        <v>3929.6708106995002</v>
      </c>
      <c r="N60">
        <v>50</v>
      </c>
      <c r="O60">
        <v>0.80185813329357003</v>
      </c>
      <c r="R60">
        <v>27.429580688476999</v>
      </c>
      <c r="S60">
        <v>50</v>
      </c>
      <c r="T60">
        <v>0.83156009605601</v>
      </c>
      <c r="Z60">
        <v>12584.641695023</v>
      </c>
      <c r="AA60">
        <v>48</v>
      </c>
      <c r="AB60">
        <v>0.92656843335173</v>
      </c>
      <c r="AE60">
        <v>240.29612541199</v>
      </c>
      <c r="AF60">
        <v>48</v>
      </c>
      <c r="AG60">
        <v>0.88629348529134999</v>
      </c>
    </row>
    <row r="61" spans="2:33">
      <c r="B61">
        <v>4078.4564018249998</v>
      </c>
      <c r="C61">
        <v>51</v>
      </c>
      <c r="D61">
        <v>0.91909848606580002</v>
      </c>
      <c r="H61">
        <v>26.376485824585</v>
      </c>
      <c r="I61">
        <v>51</v>
      </c>
      <c r="J61">
        <v>0.90344480542410999</v>
      </c>
      <c r="M61">
        <v>4281.1458110808999</v>
      </c>
      <c r="N61">
        <v>51</v>
      </c>
      <c r="O61">
        <v>0.79930134593650004</v>
      </c>
      <c r="R61">
        <v>25.159120559691999</v>
      </c>
      <c r="S61">
        <v>51</v>
      </c>
      <c r="T61">
        <v>0.83389627699858004</v>
      </c>
      <c r="Z61">
        <v>13307.241201401001</v>
      </c>
      <c r="AA61">
        <v>49</v>
      </c>
      <c r="AB61">
        <v>0.92516317467886999</v>
      </c>
      <c r="AE61">
        <v>241.41383171082001</v>
      </c>
      <c r="AF61">
        <v>49</v>
      </c>
      <c r="AG61">
        <v>0.93198923629607999</v>
      </c>
    </row>
    <row r="62" spans="2:33">
      <c r="B62">
        <v>4212.1758460998999</v>
      </c>
      <c r="C62">
        <v>52</v>
      </c>
      <c r="D62">
        <v>0.91261212187239005</v>
      </c>
      <c r="H62">
        <v>25.520324707031001</v>
      </c>
      <c r="I62">
        <v>52</v>
      </c>
      <c r="J62">
        <v>0.92470664034655004</v>
      </c>
      <c r="M62">
        <v>3725.0881195068</v>
      </c>
      <c r="N62">
        <v>52</v>
      </c>
      <c r="O62">
        <v>0.79742286427679998</v>
      </c>
      <c r="R62">
        <v>27.221441268921001</v>
      </c>
      <c r="S62">
        <v>52</v>
      </c>
      <c r="T62">
        <v>0.80253137402123997</v>
      </c>
      <c r="Z62">
        <v>13663.199663162</v>
      </c>
      <c r="AA62">
        <v>50</v>
      </c>
      <c r="AB62">
        <v>0.92405086301705996</v>
      </c>
      <c r="AE62">
        <v>240.63372612000001</v>
      </c>
      <c r="AF62">
        <v>50</v>
      </c>
      <c r="AG62">
        <v>0.92017103342050999</v>
      </c>
    </row>
    <row r="63" spans="2:33">
      <c r="B63">
        <v>4471.5590476990001</v>
      </c>
      <c r="C63">
        <v>53</v>
      </c>
      <c r="D63">
        <v>0.90810400285919002</v>
      </c>
      <c r="H63">
        <v>24.964809417725</v>
      </c>
      <c r="I63">
        <v>53</v>
      </c>
      <c r="J63">
        <v>0.91921829904365004</v>
      </c>
      <c r="M63">
        <v>3796.6356277466002</v>
      </c>
      <c r="N63">
        <v>53</v>
      </c>
      <c r="O63">
        <v>0.84512052602514998</v>
      </c>
      <c r="R63">
        <v>25.235891342163001</v>
      </c>
      <c r="S63">
        <v>53</v>
      </c>
      <c r="T63">
        <v>0.85090146908397002</v>
      </c>
      <c r="Z63">
        <v>13071.441411972</v>
      </c>
      <c r="AA63">
        <v>51</v>
      </c>
      <c r="AB63">
        <v>0.90247956280204</v>
      </c>
      <c r="AE63">
        <v>239.05992507934999</v>
      </c>
      <c r="AF63">
        <v>51</v>
      </c>
      <c r="AG63">
        <v>0.90959947545374997</v>
      </c>
    </row>
    <row r="64" spans="2:33">
      <c r="B64">
        <v>4094.3782329558999</v>
      </c>
      <c r="C64">
        <v>54</v>
      </c>
      <c r="D64">
        <v>0.90712941898817001</v>
      </c>
      <c r="H64">
        <v>26.043891906738001</v>
      </c>
      <c r="I64">
        <v>54</v>
      </c>
      <c r="J64">
        <v>0.91340134564704001</v>
      </c>
      <c r="M64">
        <v>3733.6356639862001</v>
      </c>
      <c r="N64">
        <v>54</v>
      </c>
      <c r="O64">
        <v>0.84817764188121003</v>
      </c>
      <c r="R64">
        <v>27.469873428345</v>
      </c>
      <c r="S64">
        <v>54</v>
      </c>
      <c r="T64">
        <v>0.80126779158301997</v>
      </c>
      <c r="Z64">
        <v>15744.514942169</v>
      </c>
      <c r="AA64">
        <v>52</v>
      </c>
      <c r="AB64">
        <v>0.92836605718062004</v>
      </c>
      <c r="AE64">
        <v>241.84870719910001</v>
      </c>
      <c r="AF64">
        <v>52</v>
      </c>
      <c r="AG64">
        <v>0.90001012555690996</v>
      </c>
    </row>
    <row r="65" spans="2:33">
      <c r="B65">
        <v>4156.1508178711001</v>
      </c>
      <c r="C65">
        <v>55</v>
      </c>
      <c r="D65">
        <v>0.92022485622321004</v>
      </c>
      <c r="H65">
        <v>24.988651275635</v>
      </c>
      <c r="I65">
        <v>55</v>
      </c>
      <c r="J65">
        <v>0.92211274592918002</v>
      </c>
      <c r="M65">
        <v>4280.8575630187997</v>
      </c>
      <c r="N65">
        <v>55</v>
      </c>
      <c r="O65">
        <v>0.85096045674428999</v>
      </c>
      <c r="R65">
        <v>25.155067443848001</v>
      </c>
      <c r="S65">
        <v>55</v>
      </c>
      <c r="T65">
        <v>0.84720300323761999</v>
      </c>
      <c r="Z65">
        <v>13194.215774536</v>
      </c>
      <c r="AA65">
        <v>53</v>
      </c>
      <c r="AB65">
        <v>0.93551544575389001</v>
      </c>
      <c r="AE65">
        <v>239.02487754821999</v>
      </c>
      <c r="AF65">
        <v>53</v>
      </c>
      <c r="AG65">
        <v>0.93037776827141005</v>
      </c>
    </row>
    <row r="66" spans="2:33">
      <c r="B66">
        <v>4196.4387893677003</v>
      </c>
      <c r="C66">
        <v>56</v>
      </c>
      <c r="D66">
        <v>0.91187394485087003</v>
      </c>
      <c r="H66">
        <v>25.410890579223999</v>
      </c>
      <c r="I66">
        <v>56</v>
      </c>
      <c r="J66">
        <v>0.93068020008032004</v>
      </c>
      <c r="M66">
        <v>3866.1229610443002</v>
      </c>
      <c r="N66">
        <v>56</v>
      </c>
      <c r="O66">
        <v>0.82904783523876002</v>
      </c>
      <c r="R66">
        <v>25.663137435913001</v>
      </c>
      <c r="S66">
        <v>56</v>
      </c>
      <c r="T66">
        <v>0.80387419836597995</v>
      </c>
      <c r="Z66">
        <v>12831.740140915001</v>
      </c>
      <c r="AA66">
        <v>54</v>
      </c>
      <c r="AB66">
        <v>0.91483501729997996</v>
      </c>
      <c r="AE66">
        <v>240.38195610046</v>
      </c>
      <c r="AF66">
        <v>54</v>
      </c>
      <c r="AG66">
        <v>0.90249035742996997</v>
      </c>
    </row>
    <row r="67" spans="2:33">
      <c r="B67">
        <v>6468.9283370971998</v>
      </c>
      <c r="C67">
        <v>57</v>
      </c>
      <c r="D67">
        <v>0.91085033654016001</v>
      </c>
      <c r="H67">
        <v>24.928092956543001</v>
      </c>
      <c r="I67">
        <v>57</v>
      </c>
      <c r="J67">
        <v>0.92157634547770995</v>
      </c>
      <c r="M67">
        <v>3714.3814563750998</v>
      </c>
      <c r="N67">
        <v>57</v>
      </c>
      <c r="O67">
        <v>0.83828739397936003</v>
      </c>
      <c r="R67">
        <v>27.061223983765</v>
      </c>
      <c r="S67">
        <v>57</v>
      </c>
      <c r="T67">
        <v>0.84679651498221997</v>
      </c>
      <c r="Z67">
        <v>12764.136075974</v>
      </c>
      <c r="AA67">
        <v>55</v>
      </c>
      <c r="AB67">
        <v>0.92155079558574005</v>
      </c>
      <c r="AE67">
        <v>238.73090744019001</v>
      </c>
      <c r="AF67">
        <v>55</v>
      </c>
      <c r="AG67">
        <v>0.91551357294835001</v>
      </c>
    </row>
    <row r="68" spans="2:33">
      <c r="B68">
        <v>5302.1492958069002</v>
      </c>
      <c r="C68">
        <v>58</v>
      </c>
      <c r="D68">
        <v>0.91008712919059997</v>
      </c>
      <c r="H68">
        <v>25.448799133301002</v>
      </c>
      <c r="I68">
        <v>58</v>
      </c>
      <c r="J68">
        <v>0.91098607683430999</v>
      </c>
      <c r="M68">
        <v>3970.4368114470999</v>
      </c>
      <c r="N68">
        <v>58</v>
      </c>
      <c r="O68">
        <v>0.84036168167740999</v>
      </c>
      <c r="R68">
        <v>25.658845901488998</v>
      </c>
      <c r="S68">
        <v>58</v>
      </c>
      <c r="T68">
        <v>0.80451867223374995</v>
      </c>
      <c r="Z68">
        <v>13037.597417831001</v>
      </c>
      <c r="AA68">
        <v>56</v>
      </c>
      <c r="AB68">
        <v>0.83848085321488997</v>
      </c>
      <c r="AE68">
        <v>240.56506156921</v>
      </c>
      <c r="AF68">
        <v>56</v>
      </c>
      <c r="AG68">
        <v>0.93911348860695998</v>
      </c>
    </row>
    <row r="69" spans="2:33">
      <c r="B69">
        <v>4822.8967189789</v>
      </c>
      <c r="C69">
        <v>59</v>
      </c>
      <c r="D69">
        <v>0.93067340411549004</v>
      </c>
      <c r="H69">
        <v>25.53391456604</v>
      </c>
      <c r="I69">
        <v>59</v>
      </c>
      <c r="J69">
        <v>0.92960867710010997</v>
      </c>
      <c r="M69">
        <v>4160.4173183440998</v>
      </c>
      <c r="N69">
        <v>59</v>
      </c>
      <c r="O69">
        <v>0.83854694390135998</v>
      </c>
      <c r="R69">
        <v>25.208234786986999</v>
      </c>
      <c r="S69">
        <v>59</v>
      </c>
      <c r="T69">
        <v>0.84843584453243004</v>
      </c>
      <c r="Z69">
        <v>14149.664640427</v>
      </c>
      <c r="AA69">
        <v>57</v>
      </c>
      <c r="AB69">
        <v>0.91553624344262996</v>
      </c>
      <c r="AE69">
        <v>237.90788650512999</v>
      </c>
      <c r="AF69">
        <v>57</v>
      </c>
      <c r="AG69">
        <v>0.90336239622878001</v>
      </c>
    </row>
    <row r="70" spans="2:33">
      <c r="B70">
        <v>4698.9235877990996</v>
      </c>
      <c r="C70">
        <v>60</v>
      </c>
      <c r="D70">
        <v>0.91500783753416004</v>
      </c>
      <c r="H70">
        <v>25.413990020751999</v>
      </c>
      <c r="I70">
        <v>60</v>
      </c>
      <c r="J70">
        <v>0.90936907061418004</v>
      </c>
      <c r="M70">
        <v>3835.7150554657001</v>
      </c>
      <c r="N70">
        <v>60</v>
      </c>
      <c r="O70">
        <v>0.82851264384315004</v>
      </c>
      <c r="R70">
        <v>25.774717330933001</v>
      </c>
      <c r="S70">
        <v>60</v>
      </c>
      <c r="T70">
        <v>0.84818619010865004</v>
      </c>
      <c r="Z70">
        <v>14531.705617905</v>
      </c>
      <c r="AA70">
        <v>58</v>
      </c>
      <c r="AB70">
        <v>0.90300635285879005</v>
      </c>
      <c r="AE70">
        <v>239.23158645629999</v>
      </c>
      <c r="AF70">
        <v>58</v>
      </c>
      <c r="AG70">
        <v>0.92335763267352999</v>
      </c>
    </row>
    <row r="71" spans="2:33">
      <c r="B71">
        <v>3915.5497550964001</v>
      </c>
      <c r="C71">
        <v>61</v>
      </c>
      <c r="D71">
        <v>0.88390085169259003</v>
      </c>
      <c r="H71">
        <v>25.012969970703001</v>
      </c>
      <c r="I71">
        <v>61</v>
      </c>
      <c r="J71">
        <v>0.92469522207402999</v>
      </c>
      <c r="M71">
        <v>4070.3201293944999</v>
      </c>
      <c r="N71">
        <v>61</v>
      </c>
      <c r="O71">
        <v>0.84925543753927002</v>
      </c>
      <c r="R71">
        <v>25.167226791381999</v>
      </c>
      <c r="S71">
        <v>61</v>
      </c>
      <c r="T71">
        <v>0.80111729065305004</v>
      </c>
      <c r="Z71">
        <v>12813.697814941001</v>
      </c>
      <c r="AA71">
        <v>59</v>
      </c>
      <c r="AB71">
        <v>0.89961944530822002</v>
      </c>
      <c r="AE71">
        <v>237.99157142639001</v>
      </c>
      <c r="AF71">
        <v>59</v>
      </c>
      <c r="AG71">
        <v>0.90007053023372996</v>
      </c>
    </row>
    <row r="72" spans="2:33">
      <c r="B72">
        <v>4166.5620803832999</v>
      </c>
      <c r="C72">
        <v>62</v>
      </c>
      <c r="D72">
        <v>0.91148758177501998</v>
      </c>
      <c r="H72">
        <v>26.07798576355</v>
      </c>
      <c r="I72">
        <v>62</v>
      </c>
      <c r="J72">
        <v>0.91446485210591999</v>
      </c>
      <c r="M72">
        <v>3907.8860282897999</v>
      </c>
      <c r="N72">
        <v>62</v>
      </c>
      <c r="O72">
        <v>0.80731317751798004</v>
      </c>
      <c r="R72">
        <v>25.676012039185</v>
      </c>
      <c r="S72">
        <v>62</v>
      </c>
      <c r="T72">
        <v>0.80730702351251005</v>
      </c>
      <c r="Z72">
        <v>12408.096790314001</v>
      </c>
      <c r="AA72">
        <v>60</v>
      </c>
      <c r="AB72">
        <v>0.88635079704271003</v>
      </c>
      <c r="AE72">
        <v>237.07294464111001</v>
      </c>
      <c r="AF72">
        <v>60</v>
      </c>
      <c r="AG72">
        <v>0.91170859045079999</v>
      </c>
    </row>
    <row r="73" spans="2:33">
      <c r="B73">
        <v>4184.5839023589997</v>
      </c>
      <c r="C73">
        <v>63</v>
      </c>
      <c r="D73">
        <v>0.92388509949028996</v>
      </c>
      <c r="H73">
        <v>24.883985519408998</v>
      </c>
      <c r="I73">
        <v>63</v>
      </c>
      <c r="J73">
        <v>0.91419224495847995</v>
      </c>
      <c r="M73">
        <v>3823.8956928253001</v>
      </c>
      <c r="N73">
        <v>63</v>
      </c>
      <c r="O73">
        <v>0.84779190593383003</v>
      </c>
      <c r="R73">
        <v>25.173902511596999</v>
      </c>
      <c r="S73">
        <v>63</v>
      </c>
      <c r="T73">
        <v>0.84474013035696005</v>
      </c>
      <c r="Z73">
        <v>12755.726099014</v>
      </c>
      <c r="AA73">
        <v>61</v>
      </c>
      <c r="AB73">
        <v>0.92870101596516996</v>
      </c>
      <c r="AE73">
        <v>241.50419235229</v>
      </c>
      <c r="AF73">
        <v>61</v>
      </c>
      <c r="AG73">
        <v>0.91062429432985004</v>
      </c>
    </row>
    <row r="74" spans="2:33">
      <c r="B74">
        <v>4449.2168426513999</v>
      </c>
      <c r="C74">
        <v>64</v>
      </c>
      <c r="D74">
        <v>0.91086923489095994</v>
      </c>
      <c r="H74">
        <v>25.254726409911999</v>
      </c>
      <c r="I74">
        <v>64</v>
      </c>
      <c r="J74">
        <v>0.90761553759419</v>
      </c>
      <c r="M74">
        <v>5158.1170558928998</v>
      </c>
      <c r="N74">
        <v>64</v>
      </c>
      <c r="O74">
        <v>0.82996925343738004</v>
      </c>
      <c r="R74">
        <v>25.755882263183999</v>
      </c>
      <c r="S74">
        <v>64</v>
      </c>
      <c r="T74">
        <v>0.84881083871980001</v>
      </c>
      <c r="Z74">
        <v>13305.496454239001</v>
      </c>
      <c r="AA74">
        <v>62</v>
      </c>
      <c r="AB74">
        <v>0.90011871508380004</v>
      </c>
      <c r="AE74">
        <v>243.28351020813</v>
      </c>
      <c r="AF74">
        <v>62</v>
      </c>
      <c r="AG74">
        <v>0.87914196415857004</v>
      </c>
    </row>
    <row r="75" spans="2:33">
      <c r="B75">
        <v>5163.2871627807999</v>
      </c>
      <c r="C75">
        <v>65</v>
      </c>
      <c r="D75">
        <v>0.92469522207402999</v>
      </c>
      <c r="H75">
        <v>25.192975997925</v>
      </c>
      <c r="I75">
        <v>65</v>
      </c>
      <c r="J75">
        <v>0.91937003010885998</v>
      </c>
      <c r="M75">
        <v>3830.4462432861001</v>
      </c>
      <c r="N75">
        <v>65</v>
      </c>
      <c r="O75">
        <v>0.84875558808920004</v>
      </c>
      <c r="R75">
        <v>25.146484375</v>
      </c>
      <c r="S75">
        <v>65</v>
      </c>
      <c r="T75">
        <v>0.83428715641955997</v>
      </c>
      <c r="Z75">
        <v>12749.435901642</v>
      </c>
      <c r="AA75">
        <v>63</v>
      </c>
      <c r="AB75">
        <v>0.85387826116051002</v>
      </c>
      <c r="AE75">
        <v>239.76135253906</v>
      </c>
      <c r="AF75">
        <v>63</v>
      </c>
      <c r="AG75">
        <v>0.92995273208546003</v>
      </c>
    </row>
    <row r="76" spans="2:33">
      <c r="B76">
        <v>4072.7252960205001</v>
      </c>
      <c r="C76">
        <v>66</v>
      </c>
      <c r="D76">
        <v>0.89502086342481002</v>
      </c>
      <c r="H76">
        <v>25.373697280883999</v>
      </c>
      <c r="I76">
        <v>66</v>
      </c>
      <c r="J76">
        <v>0.88864883162914998</v>
      </c>
      <c r="M76">
        <v>3629.3406486510999</v>
      </c>
      <c r="N76">
        <v>66</v>
      </c>
      <c r="O76">
        <v>0.80451541391294001</v>
      </c>
      <c r="R76">
        <v>26.771306991576999</v>
      </c>
      <c r="S76">
        <v>66</v>
      </c>
      <c r="T76">
        <v>0.83823967703478997</v>
      </c>
      <c r="Z76">
        <v>13556.483745575</v>
      </c>
      <c r="AA76">
        <v>64</v>
      </c>
      <c r="AB76">
        <v>0.8487003138468</v>
      </c>
      <c r="AE76">
        <v>246.21176719665999</v>
      </c>
      <c r="AF76">
        <v>64</v>
      </c>
      <c r="AG76">
        <v>0.91618264482585998</v>
      </c>
    </row>
    <row r="77" spans="2:33">
      <c r="B77">
        <v>4044.9802875518999</v>
      </c>
      <c r="C77">
        <v>67</v>
      </c>
      <c r="D77">
        <v>0.90760725786588003</v>
      </c>
      <c r="H77">
        <v>24.935245513916001</v>
      </c>
      <c r="I77">
        <v>67</v>
      </c>
      <c r="J77">
        <v>0.91498655220563996</v>
      </c>
      <c r="M77">
        <v>3544.0599918365001</v>
      </c>
      <c r="N77">
        <v>67</v>
      </c>
      <c r="O77">
        <v>0.81309401341952003</v>
      </c>
      <c r="R77">
        <v>25.120496749878001</v>
      </c>
      <c r="S77">
        <v>67</v>
      </c>
      <c r="T77">
        <v>0.83837994078772005</v>
      </c>
      <c r="Z77">
        <v>13870.06354332</v>
      </c>
      <c r="AA77">
        <v>65</v>
      </c>
      <c r="AB77">
        <v>0.92988519655740998</v>
      </c>
      <c r="AE77">
        <v>239.52937126160001</v>
      </c>
      <c r="AF77">
        <v>65</v>
      </c>
      <c r="AG77">
        <v>0.91536785994533998</v>
      </c>
    </row>
    <row r="78" spans="2:33">
      <c r="B78">
        <v>4387.5501155852999</v>
      </c>
      <c r="C78">
        <v>68</v>
      </c>
      <c r="D78">
        <v>0.91447159748910001</v>
      </c>
      <c r="H78">
        <v>24.913549423218001</v>
      </c>
      <c r="I78">
        <v>68</v>
      </c>
      <c r="J78">
        <v>0.92216487545435999</v>
      </c>
      <c r="M78">
        <v>3815.5231475830001</v>
      </c>
      <c r="N78">
        <v>68</v>
      </c>
      <c r="O78">
        <v>0.82139409622232995</v>
      </c>
      <c r="R78">
        <v>25.807857513428001</v>
      </c>
      <c r="S78">
        <v>68</v>
      </c>
      <c r="T78">
        <v>0.80192151783135002</v>
      </c>
      <c r="Z78">
        <v>14218.314170837</v>
      </c>
      <c r="AA78">
        <v>66</v>
      </c>
      <c r="AB78">
        <v>0.90895495332184995</v>
      </c>
      <c r="AE78">
        <v>242.03181266785001</v>
      </c>
      <c r="AF78">
        <v>66</v>
      </c>
      <c r="AG78">
        <v>0.92537977320585996</v>
      </c>
    </row>
    <row r="79" spans="2:33">
      <c r="B79">
        <v>4119.0178394318</v>
      </c>
      <c r="C79">
        <v>69</v>
      </c>
      <c r="D79">
        <v>0.90449843637238003</v>
      </c>
      <c r="H79">
        <v>25.101900100708001</v>
      </c>
      <c r="I79">
        <v>69</v>
      </c>
      <c r="J79">
        <v>0.89019550485106003</v>
      </c>
      <c r="M79">
        <v>3764.0020847320998</v>
      </c>
      <c r="N79">
        <v>69</v>
      </c>
      <c r="O79">
        <v>0.77949734258174996</v>
      </c>
      <c r="R79">
        <v>27.316570281981999</v>
      </c>
      <c r="S79">
        <v>69</v>
      </c>
      <c r="T79">
        <v>0.82903958066779004</v>
      </c>
      <c r="Z79">
        <v>12413.632869720001</v>
      </c>
      <c r="AA79">
        <v>67</v>
      </c>
      <c r="AB79">
        <v>0.88452367820383004</v>
      </c>
      <c r="AE79">
        <v>238.38019371032999</v>
      </c>
      <c r="AF79">
        <v>67</v>
      </c>
      <c r="AG79">
        <v>0.89761131157443996</v>
      </c>
    </row>
    <row r="80" spans="2:33">
      <c r="B80">
        <v>4104.7441959381003</v>
      </c>
      <c r="C80">
        <v>70</v>
      </c>
      <c r="D80">
        <v>0.92156300244845002</v>
      </c>
      <c r="H80">
        <v>25.460958480835</v>
      </c>
      <c r="I80">
        <v>70</v>
      </c>
      <c r="J80">
        <v>0.92388509949028996</v>
      </c>
      <c r="M80">
        <v>3955.0132751464998</v>
      </c>
      <c r="N80">
        <v>70</v>
      </c>
      <c r="O80">
        <v>0.84000133850890002</v>
      </c>
      <c r="R80">
        <v>25.593519210815</v>
      </c>
      <c r="S80">
        <v>70</v>
      </c>
      <c r="T80">
        <v>0.84775192950554001</v>
      </c>
      <c r="Z80">
        <v>14240.314722061001</v>
      </c>
      <c r="AA80">
        <v>68</v>
      </c>
      <c r="AB80">
        <v>0.91325311134920995</v>
      </c>
      <c r="AE80">
        <v>243.30353736877001</v>
      </c>
      <c r="AF80">
        <v>68</v>
      </c>
      <c r="AG80">
        <v>0.93327641477519996</v>
      </c>
    </row>
    <row r="81" spans="2:33">
      <c r="B81">
        <v>3743.3664798737</v>
      </c>
      <c r="C81">
        <v>71</v>
      </c>
      <c r="D81">
        <v>0.90541996037927996</v>
      </c>
      <c r="H81">
        <v>24.952173233031999</v>
      </c>
      <c r="I81">
        <v>71</v>
      </c>
      <c r="J81">
        <v>0.91849891471303002</v>
      </c>
      <c r="M81">
        <v>3633.0542564391999</v>
      </c>
      <c r="N81">
        <v>71</v>
      </c>
      <c r="O81">
        <v>0.80387419836597995</v>
      </c>
      <c r="R81">
        <v>26.781320571898998</v>
      </c>
      <c r="S81">
        <v>71</v>
      </c>
      <c r="T81">
        <v>0.82852449080498003</v>
      </c>
      <c r="Z81">
        <v>12314.117670059</v>
      </c>
      <c r="AA81">
        <v>69</v>
      </c>
      <c r="AB81">
        <v>0.93328446928814002</v>
      </c>
      <c r="AE81">
        <v>243.51263046265001</v>
      </c>
      <c r="AF81">
        <v>69</v>
      </c>
      <c r="AG81">
        <v>0.84873148280237998</v>
      </c>
    </row>
    <row r="82" spans="2:33">
      <c r="B82">
        <v>5205.4433822632</v>
      </c>
      <c r="C82">
        <v>72</v>
      </c>
      <c r="D82">
        <v>0.89019443415176003</v>
      </c>
      <c r="H82">
        <v>28.146266937256001</v>
      </c>
      <c r="I82">
        <v>72</v>
      </c>
      <c r="J82">
        <v>0.91722473072573996</v>
      </c>
      <c r="M82">
        <v>4034.3377590179002</v>
      </c>
      <c r="N82">
        <v>72</v>
      </c>
      <c r="O82">
        <v>0.85094005723179</v>
      </c>
      <c r="R82">
        <v>25.881290435791001</v>
      </c>
      <c r="S82">
        <v>72</v>
      </c>
      <c r="T82">
        <v>0.81308777128644005</v>
      </c>
      <c r="Z82">
        <v>12043.229341507</v>
      </c>
      <c r="AA82">
        <v>70</v>
      </c>
      <c r="AB82">
        <v>0.9233489852215</v>
      </c>
      <c r="AE82">
        <v>245.06068229675</v>
      </c>
      <c r="AF82">
        <v>70</v>
      </c>
      <c r="AG82">
        <v>0.93636480834240998</v>
      </c>
    </row>
    <row r="83" spans="2:33">
      <c r="B83">
        <v>6664.6161079407002</v>
      </c>
      <c r="C83">
        <v>73</v>
      </c>
      <c r="D83">
        <v>0.93012958581970995</v>
      </c>
      <c r="H83">
        <v>25.4807472229</v>
      </c>
      <c r="I83">
        <v>73</v>
      </c>
      <c r="J83">
        <v>0.92775455359809</v>
      </c>
      <c r="M83">
        <v>3772.8343009948999</v>
      </c>
      <c r="N83">
        <v>73</v>
      </c>
      <c r="O83">
        <v>0.80403444637068999</v>
      </c>
      <c r="R83">
        <v>28.561592102051002</v>
      </c>
      <c r="S83">
        <v>73</v>
      </c>
      <c r="T83">
        <v>0.81432238726239004</v>
      </c>
      <c r="Z83">
        <v>14345.021486281999</v>
      </c>
      <c r="AA83">
        <v>71</v>
      </c>
      <c r="AB83">
        <v>0.92313370191333999</v>
      </c>
      <c r="AE83">
        <v>239.37249183655001</v>
      </c>
      <c r="AF83">
        <v>71</v>
      </c>
      <c r="AG83">
        <v>0.91260542720938997</v>
      </c>
    </row>
    <row r="84" spans="2:33">
      <c r="B84">
        <v>4972.2564220428003</v>
      </c>
      <c r="C84">
        <v>74</v>
      </c>
      <c r="D84">
        <v>0.91022384159795999</v>
      </c>
      <c r="H84">
        <v>24.901390075683999</v>
      </c>
      <c r="I84">
        <v>74</v>
      </c>
      <c r="J84">
        <v>0.92036943955768002</v>
      </c>
      <c r="M84">
        <v>4243.6711788176999</v>
      </c>
      <c r="N84">
        <v>74</v>
      </c>
      <c r="O84">
        <v>0.81679828326180004</v>
      </c>
      <c r="R84">
        <v>26.592969894408998</v>
      </c>
      <c r="S84">
        <v>74</v>
      </c>
      <c r="T84">
        <v>0.80404940690980997</v>
      </c>
      <c r="Z84">
        <v>14194.014787673999</v>
      </c>
      <c r="AA84">
        <v>72</v>
      </c>
      <c r="AB84">
        <v>0.89663704506311004</v>
      </c>
      <c r="AE84">
        <v>244.8627948761</v>
      </c>
      <c r="AF84">
        <v>72</v>
      </c>
      <c r="AG84">
        <v>0.92486829181176999</v>
      </c>
    </row>
    <row r="85" spans="2:33">
      <c r="C85" t="s">
        <v>9</v>
      </c>
      <c r="D85" t="s">
        <v>10</v>
      </c>
      <c r="I85" t="s">
        <v>9</v>
      </c>
      <c r="J85" t="s">
        <v>10</v>
      </c>
      <c r="N85" t="s">
        <v>9</v>
      </c>
      <c r="O85" t="s">
        <v>10</v>
      </c>
      <c r="S85" t="s">
        <v>9</v>
      </c>
      <c r="T85" t="s">
        <v>10</v>
      </c>
      <c r="Z85">
        <v>14435.228347778</v>
      </c>
      <c r="AA85">
        <v>73</v>
      </c>
      <c r="AB85">
        <v>0.89942824057321002</v>
      </c>
      <c r="AE85">
        <v>239.16268348694001</v>
      </c>
      <c r="AF85">
        <v>73</v>
      </c>
      <c r="AG85">
        <v>0.92864822006907</v>
      </c>
    </row>
    <row r="86" spans="2:33">
      <c r="B86">
        <f>AVERAGE(B11:B84)</f>
        <v>4744.5161020433561</v>
      </c>
      <c r="D86">
        <f>AVERAGE(D10:D84)</f>
        <v>0.91420760755474229</v>
      </c>
      <c r="H86">
        <f>AVERAGE(H11:H84)</f>
        <v>25.562863092164775</v>
      </c>
      <c r="J86">
        <f>AVERAGE(J10:J84)</f>
        <v>0.91420355330462821</v>
      </c>
      <c r="M86">
        <f>AVERAGE(M10:M84)</f>
        <v>5272.8715769449891</v>
      </c>
      <c r="O86">
        <f>AVERAGE(O10:O84)</f>
        <v>0.82547365727133548</v>
      </c>
      <c r="R86" s="6">
        <f>AVERAGE(R10:R85)</f>
        <v>33.084646860758482</v>
      </c>
      <c r="T86" s="6">
        <f>AVERAGE(T10:T85)</f>
        <v>0.82549496137393674</v>
      </c>
      <c r="Z86">
        <v>13229.008197784</v>
      </c>
      <c r="AA86">
        <v>74</v>
      </c>
      <c r="AB86">
        <v>0.9139514893299</v>
      </c>
      <c r="AE86">
        <v>241.36376380920001</v>
      </c>
      <c r="AF86">
        <v>74</v>
      </c>
      <c r="AG86">
        <v>0.93419152336754996</v>
      </c>
    </row>
    <row r="87" spans="2:33">
      <c r="Z87" t="s">
        <v>11</v>
      </c>
      <c r="AA87" t="s">
        <v>9</v>
      </c>
      <c r="AB87" t="s">
        <v>10</v>
      </c>
      <c r="AE87" t="s">
        <v>11</v>
      </c>
      <c r="AF87" t="s">
        <v>9</v>
      </c>
      <c r="AG87" t="s">
        <v>10</v>
      </c>
    </row>
    <row r="88" spans="2:33">
      <c r="B88">
        <f>STDEVA(B11:B84)</f>
        <v>1872.8569078138296</v>
      </c>
      <c r="D88">
        <f>STDEVA(D10:D84)</f>
        <v>9.9108583068157931E-3</v>
      </c>
      <c r="H88">
        <f>STDEVA(H11:H84)</f>
        <v>2.2916081708983893</v>
      </c>
      <c r="J88">
        <f>STDEVA(J10:J84)</f>
        <v>9.9091580075133853E-3</v>
      </c>
      <c r="M88">
        <f>STDEVA(M10:M84)</f>
        <v>7059.9943218082017</v>
      </c>
      <c r="O88">
        <f>STDEVA(O10:O84)</f>
        <v>2.120146844115104E-2</v>
      </c>
      <c r="R88">
        <f>STDEVA(R11:R84)</f>
        <v>2.0459213613987255</v>
      </c>
      <c r="T88">
        <f>STDEVA(T10:T84)</f>
        <v>2.120092904111099E-2</v>
      </c>
      <c r="Z88">
        <f>AVERAGE(Z12:Z86)</f>
        <v>14712.294597625711</v>
      </c>
      <c r="AB88">
        <f>AVERAGE(AB12:AB86)</f>
        <v>0.91146478888225169</v>
      </c>
      <c r="AE88" s="7">
        <f>AVERAGE(AE12:AE87)</f>
        <v>247.55487124125176</v>
      </c>
      <c r="AG88" s="7">
        <f>AVERAGE(AG12:AG87)</f>
        <v>0.91146189884682749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Marco De Zen</cp:lastModifiedBy>
  <dcterms:created xsi:type="dcterms:W3CDTF">2025-06-26T08:24:19Z</dcterms:created>
  <dcterms:modified xsi:type="dcterms:W3CDTF">2025-06-27T07:44:43Z</dcterms:modified>
  <cp:category/>
</cp:coreProperties>
</file>