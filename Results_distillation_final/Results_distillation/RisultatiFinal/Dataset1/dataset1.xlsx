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Results_distillation_final/Results_distillation/RisultatiFinal/Dataset1/"/>
    </mc:Choice>
  </mc:AlternateContent>
  <xr:revisionPtr revIDLastSave="2" documentId="13_ncr:1_{DB90CBCE-CE05-411F-83FE-B39913CC3258}" xr6:coauthVersionLast="47" xr6:coauthVersionMax="47" xr10:uidLastSave="{692E28A2-216A-4D90-836E-F27049167E7F}"/>
  <bookViews>
    <workbookView xWindow="28680" yWindow="-240" windowWidth="29040" windowHeight="15720" activeTab="1" xr2:uid="{28A6CF6F-129C-4421-8FF8-8E1EBFFC818E}"/>
  </bookViews>
  <sheets>
    <sheet name="Sam_test1" sheetId="7" r:id="rId1"/>
    <sheet name="MobSam_test1" sheetId="6" r:id="rId2"/>
    <sheet name="Edgesam_test1" sheetId="5" r:id="rId3"/>
    <sheet name="FastSAM_test1" sheetId="4" r:id="rId4"/>
    <sheet name="CMTUnet_test1" sheetId="3" r:id="rId5"/>
    <sheet name="CMTSam_test1" sheetId="2" r:id="rId6"/>
    <sheet name="Foglio1" sheetId="1" r:id="rId7"/>
  </sheets>
  <definedNames>
    <definedName name="DatiEsterni_1" localSheetId="5" hidden="1">'CMTSam_test1'!$A$1:$F$77</definedName>
    <definedName name="DatiEsterni_2" localSheetId="4" hidden="1">'CMTUnet_test1'!$A$1:$F$77</definedName>
    <definedName name="DatiEsterni_3" localSheetId="3" hidden="1">FastSAM_test1!$A$1:$F$77</definedName>
    <definedName name="DatiEsterni_4" localSheetId="2" hidden="1">Edgesam_test1!$A$1:$F$77</definedName>
    <definedName name="DatiEsterni_5" localSheetId="1" hidden="1">MobSam_test1!$A$1:$F$77</definedName>
    <definedName name="DatiEsterni_6" localSheetId="0" hidden="1">Sam_test1!$A$1:$F$82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3" l="1"/>
  <c r="F78" i="6"/>
  <c r="E78" i="6"/>
  <c r="D78" i="6"/>
  <c r="C78" i="6"/>
  <c r="F78" i="5"/>
  <c r="E78" i="5"/>
  <c r="D78" i="5"/>
  <c r="C78" i="5"/>
  <c r="F78" i="4"/>
  <c r="E78" i="4"/>
  <c r="D78" i="4"/>
  <c r="C78" i="4"/>
  <c r="F78" i="3"/>
  <c r="E78" i="3"/>
  <c r="D78" i="3"/>
  <c r="C78" i="3"/>
  <c r="A78" i="2"/>
  <c r="F78" i="2"/>
  <c r="E78" i="2"/>
  <c r="D78" i="2"/>
  <c r="C78" i="2"/>
  <c r="F79" i="2"/>
  <c r="E79" i="2"/>
  <c r="D79" i="2"/>
  <c r="C79" i="2"/>
  <c r="A79" i="2"/>
  <c r="F79" i="3"/>
  <c r="E79" i="3"/>
  <c r="D79" i="3"/>
  <c r="C79" i="3"/>
  <c r="A79" i="3"/>
  <c r="F79" i="4"/>
  <c r="E79" i="4"/>
  <c r="D79" i="4"/>
  <c r="C79" i="4"/>
  <c r="A79" i="4"/>
  <c r="F79" i="5"/>
  <c r="E79" i="5"/>
  <c r="D79" i="5"/>
  <c r="C79" i="5"/>
  <c r="A79" i="5"/>
  <c r="F79" i="6"/>
  <c r="E79" i="6"/>
  <c r="D79" i="6"/>
  <c r="C79" i="6"/>
  <c r="A79" i="6"/>
  <c r="A79" i="7"/>
  <c r="A78" i="7"/>
  <c r="A78" i="4"/>
  <c r="A78" i="5"/>
  <c r="A78" i="6"/>
  <c r="F79" i="7"/>
  <c r="E79" i="7"/>
  <c r="D79" i="7"/>
  <c r="C79" i="7"/>
  <c r="F78" i="7"/>
  <c r="E78" i="7"/>
  <c r="D78" i="7"/>
  <c r="C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6A24B-5DC0-4D2A-BE54-B4728A58E487}" keepAlive="1" name="Query - CMTSam_test1" description="Connessione alla query 'CMTSam_test1' nella cartella di lavoro." type="5" refreshedVersion="8" background="1" saveData="1">
    <dbPr connection="Provider=Microsoft.Mashup.OleDb.1;Data Source=$Workbook$;Location=CMTSam_test1;Extended Properties=&quot;&quot;" command="SELECT * FROM [CMTSam_test1]"/>
  </connection>
  <connection id="2" xr16:uid="{61565568-3261-46EF-B960-D380F9484C75}" keepAlive="1" name="Query - CMTUnet_test1" description="Connessione alla query 'CMTUnet_test1' nella cartella di lavoro." type="5" refreshedVersion="8" background="1" saveData="1">
    <dbPr connection="Provider=Microsoft.Mashup.OleDb.1;Data Source=$Workbook$;Location=CMTUnet_test1;Extended Properties=&quot;&quot;" command="SELECT * FROM [CMTUnet_test1]"/>
  </connection>
  <connection id="3" xr16:uid="{EFA52455-5261-4E1D-9D25-C9D43DC599DB}" keepAlive="1" name="Query - Edgesam_test1" description="Connessione alla query 'Edgesam_test1' nella cartella di lavoro." type="5" refreshedVersion="8" background="1" saveData="1">
    <dbPr connection="Provider=Microsoft.Mashup.OleDb.1;Data Source=$Workbook$;Location=Edgesam_test1;Extended Properties=&quot;&quot;" command="SELECT * FROM [Edgesam_test1]"/>
  </connection>
  <connection id="4" xr16:uid="{6BD52CF8-D7FD-42DC-9513-4D7BA5F7C16E}" keepAlive="1" name="Query - FastSAM_test1" description="Connessione alla query 'FastSAM_test1' nella cartella di lavoro." type="5" refreshedVersion="8" background="1" saveData="1">
    <dbPr connection="Provider=Microsoft.Mashup.OleDb.1;Data Source=$Workbook$;Location=FastSAM_test1;Extended Properties=&quot;&quot;" command="SELECT * FROM [FastSAM_test1]"/>
  </connection>
  <connection id="5" xr16:uid="{8526AB1F-DAB7-4DCE-9B3A-3F19B6ADDAEE}" keepAlive="1" name="Query - MobSam_test1" description="Connessione alla query 'MobSam_test1' nella cartella di lavoro." type="5" refreshedVersion="8" background="1" saveData="1">
    <dbPr connection="Provider=Microsoft.Mashup.OleDb.1;Data Source=$Workbook$;Location=MobSam_test1;Extended Properties=&quot;&quot;" command="SELECT * FROM [MobSam_test1]"/>
  </connection>
  <connection id="6" xr16:uid="{86FACCD7-C9FC-4AEB-B774-80949BCF5E6A}" keepAlive="1" name="Query - Sam_test1" description="Connessione alla query 'Sam_test1' nella cartella di lavoro." type="5" refreshedVersion="8" background="1" saveData="1">
    <dbPr connection="Provider=Microsoft.Mashup.OleDb.1;Data Source=$Workbook$;Location=Sam_test1;Extended Properties=&quot;&quot;" command="SELECT * FROM [Sam_test1]"/>
  </connection>
</connections>
</file>

<file path=xl/sharedStrings.xml><?xml version="1.0" encoding="utf-8"?>
<sst xmlns="http://schemas.openxmlformats.org/spreadsheetml/2006/main" count="372" uniqueCount="87">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</sst>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1" fillId="0" borderId="3" xfId="0" applyNumberFormat="1" applyFont="1" applyBorder="1"/>
  </cellXfs>
  <cellStyles count="1">
    <cellStyle name="Normale" xfId="0" builtinId="0"/>
  </cellStyles>
  <dxfs count="73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0" formatCode="General"/>
    </dxf>
    <dxf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0" formatCode="General"/>
    </dxf>
    <dxf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00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numFmt numFmtId="165" formatCode="0.00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0" formatCode="General"/>
    </dxf>
    <dxf>
      <numFmt numFmtId="165" formatCode="0.0000"/>
    </dxf>
    <dxf>
      <numFmt numFmtId="164" formatCode="0.000000"/>
    </dxf>
    <dxf>
      <numFmt numFmtId="164" formatCode="0.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E2E564C7-11A5-422D-89CC-FEEDAB9C03B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AFEDB7D8-98E8-4657-B904-E56A1403B62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90E46E9F-A41E-4C52-81FB-540A0CB60BC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BA6BD5EA-A356-44EE-8F22-ED44ADAF4D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36C2655E-5424-4D2A-AFFD-38BBFC436A2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B281A50-BE33-4B77-8AE8-8B0C7DF44AB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C5851-3ED5-4B29-8458-2587B4729C5C}" name="Sam_test1" displayName="Sam_test1" ref="A1:F83" tableType="queryTable" totalsRowCount="1" dataDxfId="72">
  <autoFilter ref="A1:F82" xr:uid="{FC4C5851-3ED5-4B29-8458-2587B4729C5C}"/>
  <tableColumns count="6">
    <tableColumn id="1" xr3:uid="{CBC1E63F-5A52-499B-BEE6-46991B5E5DF5}" uniqueName="1" name="Column1" queryTableFieldId="1" dataDxfId="71"/>
    <tableColumn id="2" xr3:uid="{68CBF9A3-13B2-4704-B949-9EC2BD236FA0}" uniqueName="2" name="Column2" queryTableFieldId="2" dataDxfId="70"/>
    <tableColumn id="3" xr3:uid="{27E625ED-0AFF-4A7B-A9E2-C3C69EC004AF}" uniqueName="3" name="Column3" queryTableFieldId="3" dataDxfId="69"/>
    <tableColumn id="4" xr3:uid="{7DEB344B-1794-415D-BABB-0DD78415535A}" uniqueName="4" name="Column4" queryTableFieldId="4" dataDxfId="68" totalsRowDxfId="67"/>
    <tableColumn id="5" xr3:uid="{9F26C998-3FC6-4140-A492-464C3CEB5016}" uniqueName="5" name="Column5" queryTableFieldId="5" dataDxfId="66"/>
    <tableColumn id="6" xr3:uid="{10FC14D8-2E9C-40F6-8BFB-F847BDB1B7D3}" uniqueName="6" name="Column6" queryTableFieldId="6" dataDxfId="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53D55C-033B-4F78-BB76-16B017885C3D}" name="MobSam_test1" displayName="MobSam_test1" ref="A1:F78" tableType="queryTable" totalsRowCount="1" totalsRowDxfId="64">
  <autoFilter ref="A1:F77" xr:uid="{4A53D55C-033B-4F78-BB76-16B017885C3D}"/>
  <tableColumns count="6">
    <tableColumn id="1" xr3:uid="{807B40D0-73AF-4A3C-A560-A50BA0F1CF49}" uniqueName="1" name="Column1" totalsRowFunction="custom" queryTableFieldId="1" dataDxfId="63" totalsRowDxfId="62">
      <totalsRowFormula>AVERAGE(A3:A77)</totalsRowFormula>
    </tableColumn>
    <tableColumn id="2" xr3:uid="{A9A6D502-3EBF-4321-8102-9EDEF8856298}" uniqueName="2" name="Column2" queryTableFieldId="2" dataDxfId="61" totalsRowDxfId="60"/>
    <tableColumn id="3" xr3:uid="{B6DFBB00-A279-4845-852C-88DEE9771438}" uniqueName="3" name="Column3" totalsRowFunction="average" queryTableFieldId="3" dataDxfId="59" totalsRowDxfId="58"/>
    <tableColumn id="4" xr3:uid="{124EBA73-42D5-4398-94AB-DF422E9C23F8}" uniqueName="4" name="Column4" totalsRowFunction="average" queryTableFieldId="4" dataDxfId="57" totalsRowDxfId="56"/>
    <tableColumn id="5" xr3:uid="{AE547BED-C610-410D-BB63-6ECE825515C0}" uniqueName="5" name="Column5" totalsRowFunction="average" queryTableFieldId="5" dataDxfId="55" totalsRowDxfId="54"/>
    <tableColumn id="6" xr3:uid="{799C2BD9-F0E7-49D1-B699-B1BC03A4DC50}" uniqueName="6" name="Column6" totalsRowFunction="average" queryTableFieldId="6" dataDxfId="53" totalsRow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10874-634E-4243-9467-DCD8B0AB785B}" name="Edgesam_test1" displayName="Edgesam_test1" ref="A1:F78" tableType="queryTable" totalsRowCount="1" totalsRowDxfId="51">
  <autoFilter ref="A1:F77" xr:uid="{84310874-634E-4243-9467-DCD8B0AB785B}"/>
  <tableColumns count="6">
    <tableColumn id="1" xr3:uid="{73D73956-84A6-4BA3-8085-ABD2E4C42DC2}" uniqueName="1" name="Column1" totalsRowFunction="custom" queryTableFieldId="1" dataDxfId="50" totalsRowDxfId="5">
      <totalsRowFormula>AVERAGE(A3:A77)</totalsRowFormula>
    </tableColumn>
    <tableColumn id="2" xr3:uid="{0F7DACCC-650E-4E5F-A23A-1EEA510D0227}" uniqueName="2" name="Column2" queryTableFieldId="2" dataDxfId="49" totalsRowDxfId="4"/>
    <tableColumn id="3" xr3:uid="{C512F80A-C0FC-4FBB-B8BD-1EB49CAA0CDA}" uniqueName="3" name="Column3" totalsRowFunction="average" queryTableFieldId="3" dataDxfId="48" totalsRowDxfId="3"/>
    <tableColumn id="4" xr3:uid="{54A43B43-0275-4B94-B1B0-A3D4D80D02F9}" uniqueName="4" name="Column4" totalsRowFunction="average" queryTableFieldId="4" dataDxfId="47" totalsRowDxfId="2"/>
    <tableColumn id="5" xr3:uid="{9BEBDEF0-011F-4353-AACD-C612A277E8D1}" uniqueName="5" name="Column5" totalsRowFunction="average" queryTableFieldId="5" dataDxfId="46" totalsRowDxfId="1"/>
    <tableColumn id="6" xr3:uid="{AD554D60-C5DC-40F2-B56F-B7D2BD55F4AE}" uniqueName="6" name="Column6" totalsRowFunction="average" queryTableFieldId="6" dataDxfId="45" totalsRow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D7432-F28A-40D8-9F01-2DB0734A499E}" name="FastSAM_test1" displayName="FastSAM_test1" ref="A1:F78" tableType="queryTable" totalsRowCount="1" totalsRowDxfId="44">
  <autoFilter ref="A1:F77" xr:uid="{26ED7432-F28A-40D8-9F01-2DB0734A499E}"/>
  <tableColumns count="6">
    <tableColumn id="1" xr3:uid="{13738705-AE90-4BB6-A782-139521AC14AF}" uniqueName="1" name="Column1" totalsRowFunction="custom" queryTableFieldId="1" dataDxfId="43" totalsRowDxfId="42">
      <totalsRowFormula>AVERAGE(A3:A77)</totalsRowFormula>
    </tableColumn>
    <tableColumn id="2" xr3:uid="{E0E1C3A6-6800-487C-8BFC-F58B8B5BC5B7}" uniqueName="2" name="Column2" queryTableFieldId="2" dataDxfId="41" totalsRowDxfId="40"/>
    <tableColumn id="3" xr3:uid="{CB173F56-690B-48ED-BA19-8D838CE940F5}" uniqueName="3" name="Column3" totalsRowFunction="average" queryTableFieldId="3" dataDxfId="39" totalsRowDxfId="38"/>
    <tableColumn id="4" xr3:uid="{4272BE8A-307D-4E58-BC9D-E910D49832D8}" uniqueName="4" name="Column4" totalsRowFunction="average" queryTableFieldId="4" dataDxfId="37" totalsRowDxfId="36"/>
    <tableColumn id="5" xr3:uid="{0B18E9CD-A1C6-4830-B4F9-41DCB4084B89}" uniqueName="5" name="Column5" totalsRowFunction="average" queryTableFieldId="5" dataDxfId="35" totalsRowDxfId="34"/>
    <tableColumn id="6" xr3:uid="{5B2076F3-F610-4925-AB10-BFE809CFF894}" uniqueName="6" name="Column6" totalsRowFunction="average" queryTableFieldId="6" dataDxfId="33" totalsRow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549F8-F096-468C-B9A1-0FAD17CED2EE}" name="CMTUnet_test1" displayName="CMTUnet_test1" ref="A1:F78" tableType="queryTable" totalsRowCount="1" totalsRowDxfId="31">
  <autoFilter ref="A1:F77" xr:uid="{00B549F8-F096-468C-B9A1-0FAD17CED2EE}"/>
  <tableColumns count="6">
    <tableColumn id="1" xr3:uid="{131A1515-5C91-471E-AFFA-EBD9793B99FE}" uniqueName="1" name="Column1" totalsRowFunction="custom" queryTableFieldId="1" dataDxfId="30" totalsRowDxfId="29">
      <totalsRowFormula>AVERAGE(A4:A77)</totalsRowFormula>
    </tableColumn>
    <tableColumn id="2" xr3:uid="{7FC810BC-5D72-42D8-A91B-3B0DA6896D5E}" uniqueName="2" name="Column2" queryTableFieldId="2" dataDxfId="28" totalsRowDxfId="27"/>
    <tableColumn id="3" xr3:uid="{C4F6178A-935D-471B-8B42-87B03507F043}" uniqueName="3" name="Column3" totalsRowFunction="average" queryTableFieldId="3" dataDxfId="26" totalsRowDxfId="25"/>
    <tableColumn id="4" xr3:uid="{E29F449C-BD48-4FE8-B7A1-B30626CD113D}" uniqueName="4" name="Column4" totalsRowFunction="average" queryTableFieldId="4" dataDxfId="24" totalsRowDxfId="23"/>
    <tableColumn id="5" xr3:uid="{191BAB66-5ECA-4DD9-ADCD-B1ECCC0FC282}" uniqueName="5" name="Column5" totalsRowFunction="average" queryTableFieldId="5" dataDxfId="22" totalsRowDxfId="21"/>
    <tableColumn id="6" xr3:uid="{987850C5-E0B3-4CFF-B0D6-4667E74EF45A}" uniqueName="6" name="Column6" totalsRowFunction="average" queryTableFieldId="6" dataDxfId="20" totalsRow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081D4-C453-4627-99B1-8F307DA88411}" name="CMTSam_test1" displayName="CMTSam_test1" ref="A1:F78" tableType="queryTable" totalsRowCount="1" totalsRowDxfId="18">
  <autoFilter ref="A1:F77" xr:uid="{6FE081D4-C453-4627-99B1-8F307DA88411}"/>
  <tableColumns count="6">
    <tableColumn id="1" xr3:uid="{51F0D72E-712F-4E6E-80CE-E4E5DEA03897}" uniqueName="1" name="Column1" totalsRowFunction="custom" queryTableFieldId="1" dataDxfId="17" totalsRowDxfId="16">
      <totalsRowFormula>AVERAGE(A4:A77)</totalsRowFormula>
    </tableColumn>
    <tableColumn id="2" xr3:uid="{0359E46C-5053-4D1B-8F28-D42422233314}" uniqueName="2" name="Column2" queryTableFieldId="2" dataDxfId="15" totalsRowDxfId="14"/>
    <tableColumn id="3" xr3:uid="{5761D825-4372-4DCE-991F-08A66C7DFE1B}" uniqueName="3" name="Column3" totalsRowFunction="average" queryTableFieldId="3" dataDxfId="13" totalsRowDxfId="12"/>
    <tableColumn id="4" xr3:uid="{B793AEBE-5ADA-4829-B227-B5E41621D5FB}" uniqueName="4" name="Column4" totalsRowFunction="average" queryTableFieldId="4" dataDxfId="11" totalsRowDxfId="10"/>
    <tableColumn id="5" xr3:uid="{16BE4452-97A8-4600-AB19-230236BFBF86}" uniqueName="5" name="Column5" totalsRowFunction="average" queryTableFieldId="5" dataDxfId="9" totalsRowDxfId="8"/>
    <tableColumn id="6" xr3:uid="{64AE0900-D405-4657-8184-B3326EE0DC19}" uniqueName="6" name="Column6" totalsRowFunction="average" queryTableFieldId="6" dataDxfId="7" totalsRow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D70-755C-4167-B9E4-C297A4754CD4}">
  <dimension ref="A1:F83"/>
  <sheetViews>
    <sheetView workbookViewId="0">
      <selection activeCell="C77" sqref="C3:C77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>
        <v>1717.99254417419</v>
      </c>
      <c r="B3" s="1" t="s">
        <v>12</v>
      </c>
      <c r="C3" s="1">
        <v>0.83136306471897004</v>
      </c>
      <c r="D3" s="1">
        <v>0.90791725653432498</v>
      </c>
      <c r="E3" s="1">
        <v>0.88270095934591897</v>
      </c>
      <c r="F3" s="1">
        <v>0.99699369035010599</v>
      </c>
    </row>
    <row r="4" spans="1:6" x14ac:dyDescent="0.25">
      <c r="A4" s="1">
        <v>1074.6126174926701</v>
      </c>
      <c r="B4" s="1" t="s">
        <v>13</v>
      </c>
      <c r="C4" s="1">
        <v>0.75062759294981896</v>
      </c>
      <c r="D4" s="1">
        <v>0.85755256683119696</v>
      </c>
      <c r="E4" s="1">
        <v>0.86656497864551496</v>
      </c>
      <c r="F4" s="1">
        <v>0.995015731505144</v>
      </c>
    </row>
    <row r="5" spans="1:6" x14ac:dyDescent="0.25">
      <c r="A5" s="1">
        <v>1060.0666999816799</v>
      </c>
      <c r="B5" s="1" t="s">
        <v>14</v>
      </c>
      <c r="C5" s="1">
        <v>0.83017563990559495</v>
      </c>
      <c r="D5" s="1">
        <v>0.90720870915801</v>
      </c>
      <c r="E5" s="1">
        <v>0.88732021407068795</v>
      </c>
      <c r="F5" s="1">
        <v>0.99494381792421105</v>
      </c>
    </row>
    <row r="6" spans="1:6" x14ac:dyDescent="0.25">
      <c r="A6" s="1">
        <v>1062.62278556823</v>
      </c>
      <c r="B6" s="1" t="s">
        <v>15</v>
      </c>
      <c r="C6" s="1">
        <v>0.80119907885333097</v>
      </c>
      <c r="D6" s="1">
        <v>0.88962856827950998</v>
      </c>
      <c r="E6" s="1">
        <v>0.94342886530459502</v>
      </c>
      <c r="F6" s="1">
        <v>0.99630349683163799</v>
      </c>
    </row>
    <row r="7" spans="1:6" x14ac:dyDescent="0.25">
      <c r="A7" s="1">
        <v>1060.20712852478</v>
      </c>
      <c r="B7" s="1" t="s">
        <v>16</v>
      </c>
      <c r="C7" s="1">
        <v>0.85712538226299695</v>
      </c>
      <c r="D7" s="1">
        <v>0.92306678961928601</v>
      </c>
      <c r="E7" s="1">
        <v>0.96135552913198496</v>
      </c>
      <c r="F7" s="1">
        <v>0.99741017424589196</v>
      </c>
    </row>
    <row r="8" spans="1:6" x14ac:dyDescent="0.25">
      <c r="A8" s="1">
        <v>1070.8439350128101</v>
      </c>
      <c r="B8" s="1" t="s">
        <v>17</v>
      </c>
      <c r="C8" s="1">
        <v>0.83459284513503695</v>
      </c>
      <c r="D8" s="1">
        <v>0.90983985612743001</v>
      </c>
      <c r="E8" s="1">
        <v>0.98653567581621604</v>
      </c>
      <c r="F8" s="1">
        <v>0.99014506448986095</v>
      </c>
    </row>
    <row r="9" spans="1:6" x14ac:dyDescent="0.25">
      <c r="A9" s="1">
        <v>1060.8439445495601</v>
      </c>
      <c r="B9" s="1" t="s">
        <v>18</v>
      </c>
      <c r="C9" s="1">
        <v>0.80336606627106999</v>
      </c>
      <c r="D9" s="1">
        <v>0.89096282922993997</v>
      </c>
      <c r="E9" s="1">
        <v>0.99599609374999998</v>
      </c>
      <c r="F9" s="1">
        <v>0.98507601789418997</v>
      </c>
    </row>
    <row r="10" spans="1:6" x14ac:dyDescent="0.25">
      <c r="A10" s="1">
        <v>1070.04809379577</v>
      </c>
      <c r="B10" s="1" t="s">
        <v>19</v>
      </c>
      <c r="C10" s="1">
        <v>0.836171835282155</v>
      </c>
      <c r="D10" s="1">
        <v>0.91077732401190503</v>
      </c>
      <c r="E10" s="1">
        <v>0.95472355245972995</v>
      </c>
      <c r="F10" s="1">
        <v>0.99213245182435295</v>
      </c>
    </row>
    <row r="11" spans="1:6" x14ac:dyDescent="0.25">
      <c r="A11" s="1">
        <v>1065.92369079589</v>
      </c>
      <c r="B11" s="1" t="s">
        <v>20</v>
      </c>
      <c r="C11" s="1">
        <v>0.60779655526159404</v>
      </c>
      <c r="D11" s="1">
        <v>0.75606152192894005</v>
      </c>
      <c r="E11" s="1">
        <v>0.80220915731337905</v>
      </c>
      <c r="F11" s="1">
        <v>0.99120342651867499</v>
      </c>
    </row>
    <row r="12" spans="1:6" x14ac:dyDescent="0.25">
      <c r="A12" s="1">
        <v>1065.0601387023901</v>
      </c>
      <c r="B12" s="1" t="s">
        <v>21</v>
      </c>
      <c r="C12" s="1">
        <v>0.85957247115555702</v>
      </c>
      <c r="D12" s="1">
        <v>0.92448397090048295</v>
      </c>
      <c r="E12" s="1">
        <v>0.96163872696332198</v>
      </c>
      <c r="F12" s="1">
        <v>0.99339701088652599</v>
      </c>
    </row>
    <row r="13" spans="1:6" x14ac:dyDescent="0.25">
      <c r="A13" s="1">
        <v>1065.97924232482</v>
      </c>
      <c r="B13" s="1" t="s">
        <v>22</v>
      </c>
      <c r="C13" s="1">
        <v>0.85994634340222498</v>
      </c>
      <c r="D13" s="1">
        <v>0.92470016294040602</v>
      </c>
      <c r="E13" s="1">
        <v>0.95613986632049897</v>
      </c>
      <c r="F13" s="1">
        <v>0.99388997120491696</v>
      </c>
    </row>
    <row r="14" spans="1:6" x14ac:dyDescent="0.25">
      <c r="A14" s="1">
        <v>1066.04433059692</v>
      </c>
      <c r="B14" s="1" t="s">
        <v>23</v>
      </c>
      <c r="C14" s="1">
        <v>0.78274760383386499</v>
      </c>
      <c r="D14" s="1">
        <v>0.87813620071684495</v>
      </c>
      <c r="E14" s="1">
        <v>0.90359913519013102</v>
      </c>
      <c r="F14" s="1">
        <v>0.99644678420311605</v>
      </c>
    </row>
    <row r="15" spans="1:6" x14ac:dyDescent="0.25">
      <c r="A15" s="1">
        <v>1069.9937343597401</v>
      </c>
      <c r="B15" s="1" t="s">
        <v>24</v>
      </c>
      <c r="C15" s="1">
        <v>0.78375930770778801</v>
      </c>
      <c r="D15" s="1">
        <v>0.87877249393580403</v>
      </c>
      <c r="E15" s="1">
        <v>0.85897035307956604</v>
      </c>
      <c r="F15" s="1">
        <v>0.99474837779089798</v>
      </c>
    </row>
    <row r="16" spans="1:6" x14ac:dyDescent="0.25">
      <c r="A16" s="1">
        <v>1059.3388080596901</v>
      </c>
      <c r="B16" s="1" t="s">
        <v>25</v>
      </c>
      <c r="C16" s="1">
        <v>0.89036887676432197</v>
      </c>
      <c r="D16" s="1">
        <v>0.94200543365730305</v>
      </c>
      <c r="E16" s="1">
        <v>0.99669392957671599</v>
      </c>
      <c r="F16" s="1">
        <v>0.99075889279329199</v>
      </c>
    </row>
    <row r="17" spans="1:6" x14ac:dyDescent="0.25">
      <c r="A17" s="1">
        <v>1064.4447803497301</v>
      </c>
      <c r="B17" s="1" t="s">
        <v>26</v>
      </c>
      <c r="C17" s="1">
        <v>0.75078932261768005</v>
      </c>
      <c r="D17" s="1">
        <v>0.85765810074183302</v>
      </c>
      <c r="E17" s="1">
        <v>0.87778686633528302</v>
      </c>
      <c r="F17" s="1">
        <v>0.99194222782164398</v>
      </c>
    </row>
    <row r="18" spans="1:6" x14ac:dyDescent="0.25">
      <c r="A18" s="1">
        <v>1051.9630908966001</v>
      </c>
      <c r="B18" s="1" t="s">
        <v>27</v>
      </c>
      <c r="C18" s="1">
        <v>0.87787289672331603</v>
      </c>
      <c r="D18" s="1">
        <v>0.93496519200538897</v>
      </c>
      <c r="E18" s="1">
        <v>0.96616541353383401</v>
      </c>
      <c r="F18" s="1">
        <v>0.99789003242358998</v>
      </c>
    </row>
    <row r="19" spans="1:6" x14ac:dyDescent="0.25">
      <c r="A19" s="1">
        <v>1068.40085983276</v>
      </c>
      <c r="B19" s="1" t="s">
        <v>28</v>
      </c>
      <c r="C19" s="1">
        <v>0.764103163472027</v>
      </c>
      <c r="D19" s="1">
        <v>0.86627945495903302</v>
      </c>
      <c r="E19" s="1">
        <v>0.88231589365243601</v>
      </c>
      <c r="F19" s="1">
        <v>0.99664928138339104</v>
      </c>
    </row>
    <row r="20" spans="1:6" x14ac:dyDescent="0.25">
      <c r="A20" s="1">
        <v>1061.5971088409401</v>
      </c>
      <c r="B20" s="1" t="s">
        <v>29</v>
      </c>
      <c r="C20" s="1">
        <v>0.81485834788169997</v>
      </c>
      <c r="D20" s="1">
        <v>0.89798561836277901</v>
      </c>
      <c r="E20" s="1">
        <v>0.88527914968732901</v>
      </c>
      <c r="F20" s="1">
        <v>0.99537638459799505</v>
      </c>
    </row>
    <row r="21" spans="1:6" x14ac:dyDescent="0.25">
      <c r="A21" s="1">
        <v>1064.25499916076</v>
      </c>
      <c r="B21" s="1" t="s">
        <v>30</v>
      </c>
      <c r="C21" s="1">
        <v>0.79469604657460002</v>
      </c>
      <c r="D21" s="1">
        <v>0.88560516761751995</v>
      </c>
      <c r="E21" s="1">
        <v>0.90710118610671098</v>
      </c>
      <c r="F21" s="1">
        <v>0.99265456807215002</v>
      </c>
    </row>
    <row r="22" spans="1:6" x14ac:dyDescent="0.25">
      <c r="A22" s="1">
        <v>1061.61546707153</v>
      </c>
      <c r="B22" s="1" t="s">
        <v>31</v>
      </c>
      <c r="C22" s="1">
        <v>0.85406293222683205</v>
      </c>
      <c r="D22" s="1">
        <v>0.92128796426673099</v>
      </c>
      <c r="E22" s="1">
        <v>0.91879475495210605</v>
      </c>
      <c r="F22" s="1">
        <v>0.99590374453036801</v>
      </c>
    </row>
    <row r="23" spans="1:6" x14ac:dyDescent="0.25">
      <c r="A23" s="1">
        <v>1067.68822669982</v>
      </c>
      <c r="B23" s="1" t="s">
        <v>32</v>
      </c>
      <c r="C23" s="1">
        <v>0.85077273878895299</v>
      </c>
      <c r="D23" s="1">
        <v>0.919370294318959</v>
      </c>
      <c r="E23" s="1">
        <v>0.95428710620331203</v>
      </c>
      <c r="F23" s="1">
        <v>0.99400187328882195</v>
      </c>
    </row>
    <row r="24" spans="1:6" x14ac:dyDescent="0.25">
      <c r="A24" s="1">
        <v>1064.51439857482</v>
      </c>
      <c r="B24" s="1" t="s">
        <v>33</v>
      </c>
      <c r="C24" s="1">
        <v>0.77517094285176502</v>
      </c>
      <c r="D24" s="1">
        <v>0.87334793978373004</v>
      </c>
      <c r="E24" s="1">
        <v>0.85558991875923196</v>
      </c>
      <c r="F24" s="1">
        <v>0.99552846660724503</v>
      </c>
    </row>
    <row r="25" spans="1:6" x14ac:dyDescent="0.25">
      <c r="A25" s="1">
        <v>1065.8004283905</v>
      </c>
      <c r="B25" s="1" t="s">
        <v>34</v>
      </c>
      <c r="C25" s="1">
        <v>0.86306161653811897</v>
      </c>
      <c r="D25" s="1">
        <v>0.92649819939056299</v>
      </c>
      <c r="E25" s="1">
        <v>0.92871357388581199</v>
      </c>
      <c r="F25" s="1">
        <v>0.99498756293500501</v>
      </c>
    </row>
    <row r="26" spans="1:6" x14ac:dyDescent="0.25">
      <c r="A26" s="1">
        <v>1054.6481609344401</v>
      </c>
      <c r="B26" s="1" t="s">
        <v>35</v>
      </c>
      <c r="C26" s="1">
        <v>0.847456368362421</v>
      </c>
      <c r="D26" s="1">
        <v>0.91743045505708298</v>
      </c>
      <c r="E26" s="1">
        <v>0.95222597738557102</v>
      </c>
      <c r="F26" s="1">
        <v>0.99710816516349099</v>
      </c>
    </row>
    <row r="27" spans="1:6" x14ac:dyDescent="0.25">
      <c r="A27" s="1">
        <v>1067.5134658813399</v>
      </c>
      <c r="B27" s="1" t="s">
        <v>36</v>
      </c>
      <c r="C27" s="1">
        <v>0.81828722875600401</v>
      </c>
      <c r="D27" s="1">
        <v>0.90006376970028201</v>
      </c>
      <c r="E27" s="1">
        <v>0.89899909008189205</v>
      </c>
      <c r="F27" s="1">
        <v>0.99454523130433303</v>
      </c>
    </row>
    <row r="28" spans="1:6" x14ac:dyDescent="0.25">
      <c r="A28" s="1">
        <v>1064.0630722045801</v>
      </c>
      <c r="B28" s="1" t="s">
        <v>37</v>
      </c>
      <c r="C28" s="1">
        <v>0.81564131853785904</v>
      </c>
      <c r="D28" s="1">
        <v>0.89846084709583196</v>
      </c>
      <c r="E28" s="1">
        <v>0.92485968050329903</v>
      </c>
      <c r="F28" s="1">
        <v>0.99117232069157601</v>
      </c>
    </row>
    <row r="29" spans="1:6" x14ac:dyDescent="0.25">
      <c r="A29" s="1">
        <v>1055.5343627929601</v>
      </c>
      <c r="B29" s="1" t="s">
        <v>38</v>
      </c>
      <c r="C29" s="1">
        <v>0.89588404033379698</v>
      </c>
      <c r="D29" s="1">
        <v>0.94508316044061802</v>
      </c>
      <c r="E29" s="1">
        <v>0.99239305746130302</v>
      </c>
      <c r="F29" s="1">
        <v>0.99555626169894795</v>
      </c>
    </row>
    <row r="30" spans="1:6" x14ac:dyDescent="0.25">
      <c r="A30" s="1">
        <v>1064.7048950195301</v>
      </c>
      <c r="B30" s="1" t="s">
        <v>39</v>
      </c>
      <c r="C30" s="1">
        <v>0.83652366950324197</v>
      </c>
      <c r="D30" s="1">
        <v>0.91098599315032103</v>
      </c>
      <c r="E30" s="1">
        <v>0.943924412217095</v>
      </c>
      <c r="F30" s="1">
        <v>0.99417485987960896</v>
      </c>
    </row>
    <row r="31" spans="1:6" x14ac:dyDescent="0.25">
      <c r="A31" s="1">
        <v>1058.94947052001</v>
      </c>
      <c r="B31" s="1" t="s">
        <v>40</v>
      </c>
      <c r="C31" s="1">
        <v>0.85555198973042301</v>
      </c>
      <c r="D31" s="1">
        <v>0.92215361732302503</v>
      </c>
      <c r="E31" s="1">
        <v>0.99222122971564597</v>
      </c>
      <c r="F31" s="1">
        <v>0.99579919115833404</v>
      </c>
    </row>
    <row r="32" spans="1:6" x14ac:dyDescent="0.25">
      <c r="A32" s="1">
        <v>1059.987783432</v>
      </c>
      <c r="B32" s="1" t="s">
        <v>41</v>
      </c>
      <c r="C32" s="1">
        <v>0.90077197508717399</v>
      </c>
      <c r="D32" s="1">
        <v>0.94779593438172605</v>
      </c>
      <c r="E32" s="1">
        <v>0.98919828234981599</v>
      </c>
      <c r="F32" s="1">
        <v>0.99558001909511395</v>
      </c>
    </row>
    <row r="33" spans="1:6" x14ac:dyDescent="0.25">
      <c r="A33" s="1">
        <v>1059.3788623809801</v>
      </c>
      <c r="B33" s="1" t="s">
        <v>42</v>
      </c>
      <c r="C33" s="1">
        <v>0.79057184008719605</v>
      </c>
      <c r="D33" s="1">
        <v>0.88303839297360698</v>
      </c>
      <c r="E33" s="1">
        <v>0.88074070861702503</v>
      </c>
      <c r="F33" s="1">
        <v>0.99743543988056704</v>
      </c>
    </row>
    <row r="34" spans="1:6" x14ac:dyDescent="0.25">
      <c r="A34" s="1">
        <v>1060.90188026428</v>
      </c>
      <c r="B34" s="1" t="s">
        <v>43</v>
      </c>
      <c r="C34" s="1">
        <v>0.80778577289654696</v>
      </c>
      <c r="D34" s="1">
        <v>0.893674222916648</v>
      </c>
      <c r="E34" s="1">
        <v>0.91352142334528896</v>
      </c>
      <c r="F34" s="1">
        <v>0.99260986218173797</v>
      </c>
    </row>
    <row r="35" spans="1:6" x14ac:dyDescent="0.25">
      <c r="A35" s="1">
        <v>1057.79957771301</v>
      </c>
      <c r="B35" s="1" t="s">
        <v>44</v>
      </c>
      <c r="C35" s="1">
        <v>0.88567815122829796</v>
      </c>
      <c r="D35" s="1">
        <v>0.93937361542995301</v>
      </c>
      <c r="E35" s="1">
        <v>0.95900074694995396</v>
      </c>
      <c r="F35" s="1">
        <v>0.99601151562406198</v>
      </c>
    </row>
    <row r="36" spans="1:6" x14ac:dyDescent="0.25">
      <c r="A36" s="1">
        <v>1053.95913124084</v>
      </c>
      <c r="B36" s="1" t="s">
        <v>45</v>
      </c>
      <c r="C36" s="1">
        <v>0.83679914488387896</v>
      </c>
      <c r="D36" s="1">
        <v>0.91114931887316497</v>
      </c>
      <c r="E36" s="1">
        <v>0.91787465359198395</v>
      </c>
      <c r="F36" s="1">
        <v>0.99823462923329698</v>
      </c>
    </row>
    <row r="37" spans="1:6" x14ac:dyDescent="0.25">
      <c r="A37" s="1">
        <v>1053.93886566162</v>
      </c>
      <c r="B37" s="1" t="s">
        <v>46</v>
      </c>
      <c r="C37" s="1">
        <v>0.90015284369720805</v>
      </c>
      <c r="D37" s="1">
        <v>0.94745309218993401</v>
      </c>
      <c r="E37" s="1">
        <v>0.977206832710378</v>
      </c>
      <c r="F37" s="1">
        <v>0.99505609680810003</v>
      </c>
    </row>
    <row r="38" spans="1:6" x14ac:dyDescent="0.25">
      <c r="A38" s="1">
        <v>1061.0032081603999</v>
      </c>
      <c r="B38" s="1" t="s">
        <v>47</v>
      </c>
      <c r="C38" s="1">
        <v>0.86375674350171605</v>
      </c>
      <c r="D38" s="1">
        <v>0.92689858428503702</v>
      </c>
      <c r="E38" s="1">
        <v>0.95429546747581995</v>
      </c>
      <c r="F38" s="1">
        <v>0.996175611491946</v>
      </c>
    </row>
    <row r="39" spans="1:6" x14ac:dyDescent="0.25">
      <c r="A39" s="1">
        <v>1055.92346191406</v>
      </c>
      <c r="B39" s="1" t="s">
        <v>48</v>
      </c>
      <c r="C39" s="1">
        <v>0.88404911632342797</v>
      </c>
      <c r="D39" s="1">
        <v>0.93845654942221401</v>
      </c>
      <c r="E39" s="1">
        <v>0.99222277972905104</v>
      </c>
      <c r="F39" s="1">
        <v>0.99260102792717497</v>
      </c>
    </row>
    <row r="40" spans="1:6" x14ac:dyDescent="0.25">
      <c r="A40" s="1">
        <v>1059.574842453</v>
      </c>
      <c r="B40" s="1" t="s">
        <v>49</v>
      </c>
      <c r="C40" s="1">
        <v>0.72580123017157605</v>
      </c>
      <c r="D40" s="1">
        <v>0.84111798912024005</v>
      </c>
      <c r="E40" s="1">
        <v>0.814910544808368</v>
      </c>
      <c r="F40" s="1">
        <v>0.99703071355664796</v>
      </c>
    </row>
    <row r="41" spans="1:6" x14ac:dyDescent="0.25">
      <c r="A41" s="1">
        <v>1058.95972251892</v>
      </c>
      <c r="B41" s="1" t="s">
        <v>50</v>
      </c>
      <c r="C41" s="1">
        <v>0.74953617810760598</v>
      </c>
      <c r="D41" s="1">
        <v>0.85683987274655304</v>
      </c>
      <c r="E41" s="1">
        <v>0.82336956521739102</v>
      </c>
      <c r="F41" s="1">
        <v>0.99744638384470796</v>
      </c>
    </row>
    <row r="42" spans="1:6" x14ac:dyDescent="0.25">
      <c r="A42" s="1">
        <v>1059.3392848968499</v>
      </c>
      <c r="B42" s="1" t="s">
        <v>51</v>
      </c>
      <c r="C42" s="1">
        <v>0.86724267737425098</v>
      </c>
      <c r="D42" s="1">
        <v>0.92890194497244705</v>
      </c>
      <c r="E42" s="1">
        <v>0.98766944308345495</v>
      </c>
      <c r="F42" s="1">
        <v>0.996678983364645</v>
      </c>
    </row>
    <row r="43" spans="1:6" x14ac:dyDescent="0.25">
      <c r="A43" s="1">
        <v>1059.1070652008</v>
      </c>
      <c r="B43" s="1" t="s">
        <v>52</v>
      </c>
      <c r="C43" s="1">
        <v>0.90721109323975202</v>
      </c>
      <c r="D43" s="1">
        <v>0.951348381367356</v>
      </c>
      <c r="E43" s="1">
        <v>0.99114726164168299</v>
      </c>
      <c r="F43" s="1">
        <v>0.992860503483457</v>
      </c>
    </row>
    <row r="44" spans="1:6" x14ac:dyDescent="0.25">
      <c r="A44" s="1">
        <v>1069.86093521118</v>
      </c>
      <c r="B44" s="1" t="s">
        <v>53</v>
      </c>
      <c r="C44" s="1">
        <v>0.86924231057764401</v>
      </c>
      <c r="D44" s="1">
        <v>0.93004775855841304</v>
      </c>
      <c r="E44" s="1">
        <v>0.95305071641250805</v>
      </c>
      <c r="F44" s="1">
        <v>0.99406653458690997</v>
      </c>
    </row>
    <row r="45" spans="1:6" x14ac:dyDescent="0.25">
      <c r="A45" s="1">
        <v>1070.33252716064</v>
      </c>
      <c r="B45" s="1" t="s">
        <v>54</v>
      </c>
      <c r="C45" s="1">
        <v>0.78416047498448505</v>
      </c>
      <c r="D45" s="1">
        <v>0.87902460118258596</v>
      </c>
      <c r="E45" s="1">
        <v>0.85028916451460301</v>
      </c>
      <c r="F45" s="1">
        <v>0.99533308507533202</v>
      </c>
    </row>
    <row r="46" spans="1:6" x14ac:dyDescent="0.25">
      <c r="A46" s="1">
        <v>1066.9229030609099</v>
      </c>
      <c r="B46" s="1" t="s">
        <v>55</v>
      </c>
      <c r="C46" s="1">
        <v>0.77781626588394004</v>
      </c>
      <c r="D46" s="1">
        <v>0.87502435522740096</v>
      </c>
      <c r="E46" s="1">
        <v>0.83760012564787101</v>
      </c>
      <c r="F46" s="1">
        <v>0.99607573874343402</v>
      </c>
    </row>
    <row r="47" spans="1:6" x14ac:dyDescent="0.25">
      <c r="A47" s="1">
        <v>1058.9623451232901</v>
      </c>
      <c r="B47" s="1" t="s">
        <v>56</v>
      </c>
      <c r="C47" s="1">
        <v>0.91513637994975405</v>
      </c>
      <c r="D47" s="1">
        <v>0.955687949464741</v>
      </c>
      <c r="E47" s="1">
        <v>0.99628815628815603</v>
      </c>
      <c r="F47" s="1">
        <v>0.99448210050944497</v>
      </c>
    </row>
    <row r="48" spans="1:6" x14ac:dyDescent="0.25">
      <c r="A48" s="1">
        <v>1059.05675888061</v>
      </c>
      <c r="B48" s="1" t="s">
        <v>57</v>
      </c>
      <c r="C48" s="1">
        <v>0.88773346794548202</v>
      </c>
      <c r="D48" s="1">
        <v>0.940528398759225</v>
      </c>
      <c r="E48" s="1">
        <v>0.99634168056072603</v>
      </c>
      <c r="F48" s="1">
        <v>0.99234089211683396</v>
      </c>
    </row>
    <row r="49" spans="1:6" x14ac:dyDescent="0.25">
      <c r="A49" s="1">
        <v>1066.1861896514799</v>
      </c>
      <c r="B49" s="1" t="s">
        <v>58</v>
      </c>
      <c r="C49" s="1">
        <v>0.857033838042215</v>
      </c>
      <c r="D49" s="1">
        <v>0.92301370118893</v>
      </c>
      <c r="E49" s="1">
        <v>0.92025476758045199</v>
      </c>
      <c r="F49" s="1">
        <v>0.99601861531038904</v>
      </c>
    </row>
    <row r="50" spans="1:6" x14ac:dyDescent="0.25">
      <c r="A50" s="1">
        <v>1059.7968101501399</v>
      </c>
      <c r="B50" s="1" t="s">
        <v>59</v>
      </c>
      <c r="C50" s="1">
        <v>0.752354279712935</v>
      </c>
      <c r="D50" s="1">
        <v>0.85867828032603399</v>
      </c>
      <c r="E50" s="1">
        <v>0.86162172997895103</v>
      </c>
      <c r="F50" s="1">
        <v>0.99274550386455795</v>
      </c>
    </row>
    <row r="51" spans="1:6" x14ac:dyDescent="0.25">
      <c r="A51" s="1">
        <v>1059.4298839569001</v>
      </c>
      <c r="B51" s="1" t="s">
        <v>60</v>
      </c>
      <c r="C51" s="1">
        <v>0.854915160224894</v>
      </c>
      <c r="D51" s="1">
        <v>0.92178357108391096</v>
      </c>
      <c r="E51" s="1">
        <v>0.99476339953647996</v>
      </c>
      <c r="F51" s="1">
        <v>0.98862507420425405</v>
      </c>
    </row>
    <row r="52" spans="1:6" x14ac:dyDescent="0.25">
      <c r="A52" s="1">
        <v>1048.7279891967701</v>
      </c>
      <c r="B52" s="1" t="s">
        <v>61</v>
      </c>
      <c r="C52" s="1">
        <v>0.80716293146933704</v>
      </c>
      <c r="D52" s="1">
        <v>0.89329292607065902</v>
      </c>
      <c r="E52" s="1">
        <v>0.92250041179377296</v>
      </c>
      <c r="F52" s="1">
        <v>0.99661229415049601</v>
      </c>
    </row>
    <row r="53" spans="1:6" x14ac:dyDescent="0.25">
      <c r="A53" s="1">
        <v>1066.1132335662801</v>
      </c>
      <c r="B53" s="1" t="s">
        <v>62</v>
      </c>
      <c r="C53" s="1">
        <v>0.86308458359097795</v>
      </c>
      <c r="D53" s="1">
        <v>0.92651143291351501</v>
      </c>
      <c r="E53" s="1">
        <v>0.98309608540925197</v>
      </c>
      <c r="F53" s="1">
        <v>0.99632830853563004</v>
      </c>
    </row>
    <row r="54" spans="1:6" x14ac:dyDescent="0.25">
      <c r="A54" s="1">
        <v>1061.34510040283</v>
      </c>
      <c r="B54" s="1" t="s">
        <v>63</v>
      </c>
      <c r="C54" s="1">
        <v>0.85031402651779397</v>
      </c>
      <c r="D54" s="1">
        <v>0.91910239487082701</v>
      </c>
      <c r="E54" s="1">
        <v>0.95207709337153201</v>
      </c>
      <c r="F54" s="1">
        <v>0.99638850136560997</v>
      </c>
    </row>
    <row r="55" spans="1:6" x14ac:dyDescent="0.25">
      <c r="A55" s="1">
        <v>1059.0808391570999</v>
      </c>
      <c r="B55" s="1" t="s">
        <v>64</v>
      </c>
      <c r="C55" s="1">
        <v>0.87442902084851504</v>
      </c>
      <c r="D55" s="1">
        <v>0.93300841069210405</v>
      </c>
      <c r="E55" s="1">
        <v>0.98902380186555106</v>
      </c>
      <c r="F55" s="1">
        <v>0.99347337690422399</v>
      </c>
    </row>
    <row r="56" spans="1:6" x14ac:dyDescent="0.25">
      <c r="A56" s="1">
        <v>1061.13123893737</v>
      </c>
      <c r="B56" s="1" t="s">
        <v>65</v>
      </c>
      <c r="C56" s="1">
        <v>0.87035542359689799</v>
      </c>
      <c r="D56" s="1">
        <v>0.93068452403886903</v>
      </c>
      <c r="E56" s="1">
        <v>0.99461409230161002</v>
      </c>
      <c r="F56" s="1">
        <v>0.99122549505902602</v>
      </c>
    </row>
    <row r="57" spans="1:6" x14ac:dyDescent="0.25">
      <c r="A57" s="1">
        <v>1054.34608459472</v>
      </c>
      <c r="B57" s="1" t="s">
        <v>66</v>
      </c>
      <c r="C57" s="1">
        <v>0.85342259296905099</v>
      </c>
      <c r="D57" s="1">
        <v>0.92091527987897104</v>
      </c>
      <c r="E57" s="1">
        <v>0.990138869121444</v>
      </c>
      <c r="F57" s="1">
        <v>0.99211621454222698</v>
      </c>
    </row>
    <row r="58" spans="1:6" x14ac:dyDescent="0.25">
      <c r="A58" s="1">
        <v>1058.47597122192</v>
      </c>
      <c r="B58" s="1" t="s">
        <v>67</v>
      </c>
      <c r="C58" s="1">
        <v>0.75871179662953403</v>
      </c>
      <c r="D58" s="1">
        <v>0.86280401153112096</v>
      </c>
      <c r="E58" s="1">
        <v>0.88067082941924002</v>
      </c>
      <c r="F58" s="1">
        <v>0.99425315740501097</v>
      </c>
    </row>
    <row r="59" spans="1:6" x14ac:dyDescent="0.25">
      <c r="A59" s="1">
        <v>1060.7385635375899</v>
      </c>
      <c r="B59" s="1" t="s">
        <v>68</v>
      </c>
      <c r="C59" s="1">
        <v>0.89939460000883797</v>
      </c>
      <c r="D59" s="1">
        <v>0.94703291249185695</v>
      </c>
      <c r="E59" s="1">
        <v>0.98053668641903902</v>
      </c>
      <c r="F59" s="1">
        <v>0.99430399318669105</v>
      </c>
    </row>
    <row r="60" spans="1:6" x14ac:dyDescent="0.25">
      <c r="A60" s="1">
        <v>1059.20457839965</v>
      </c>
      <c r="B60" s="1" t="s">
        <v>69</v>
      </c>
      <c r="C60" s="1">
        <v>0.85467230370408998</v>
      </c>
      <c r="D60" s="1">
        <v>0.921642386093939</v>
      </c>
      <c r="E60" s="1">
        <v>0.95166508456188603</v>
      </c>
      <c r="F60" s="1">
        <v>0.99412411969623504</v>
      </c>
    </row>
    <row r="61" spans="1:6" x14ac:dyDescent="0.25">
      <c r="A61" s="1">
        <v>1060.1274967193599</v>
      </c>
      <c r="B61" s="1" t="s">
        <v>70</v>
      </c>
      <c r="C61" s="1">
        <v>0.80326516750357801</v>
      </c>
      <c r="D61" s="1">
        <v>0.890900774860094</v>
      </c>
      <c r="E61" s="1">
        <v>0.92075188388065499</v>
      </c>
      <c r="F61" s="1">
        <v>0.99480551800144701</v>
      </c>
    </row>
    <row r="62" spans="1:6" x14ac:dyDescent="0.25">
      <c r="A62" s="1">
        <v>1061.1290931701601</v>
      </c>
      <c r="B62" s="1" t="s">
        <v>71</v>
      </c>
      <c r="C62" s="1">
        <v>0.90043745368488903</v>
      </c>
      <c r="D62" s="1">
        <v>0.947610721877712</v>
      </c>
      <c r="E62" s="1">
        <v>0.98853168875475605</v>
      </c>
      <c r="F62" s="1">
        <v>0.99631063137883202</v>
      </c>
    </row>
    <row r="63" spans="1:6" x14ac:dyDescent="0.25">
      <c r="A63" s="1">
        <v>1066.35069847106</v>
      </c>
      <c r="B63" s="1" t="s">
        <v>72</v>
      </c>
      <c r="C63" s="1">
        <v>0.80771894019461299</v>
      </c>
      <c r="D63" s="1">
        <v>0.89363332123704597</v>
      </c>
      <c r="E63" s="1">
        <v>0.92411291331359702</v>
      </c>
      <c r="F63" s="1">
        <v>0.99662695333659301</v>
      </c>
    </row>
    <row r="64" spans="1:6" x14ac:dyDescent="0.25">
      <c r="A64" s="1">
        <v>1064.85414505004</v>
      </c>
      <c r="B64" s="1" t="s">
        <v>73</v>
      </c>
      <c r="C64" s="1">
        <v>0.75627240143369101</v>
      </c>
      <c r="D64" s="1">
        <v>0.86122448979591804</v>
      </c>
      <c r="E64" s="1">
        <v>0.850860910196505</v>
      </c>
      <c r="F64" s="1">
        <v>0.99414798938212401</v>
      </c>
    </row>
    <row r="65" spans="1:6" x14ac:dyDescent="0.25">
      <c r="A65" s="1">
        <v>1069.9462890625</v>
      </c>
      <c r="B65" s="1" t="s">
        <v>74</v>
      </c>
      <c r="C65" s="1">
        <v>0.83935334439262499</v>
      </c>
      <c r="D65" s="1">
        <v>0.91266134041231595</v>
      </c>
      <c r="E65" s="1">
        <v>0.96503886569742303</v>
      </c>
      <c r="F65" s="1">
        <v>0.99161933534743196</v>
      </c>
    </row>
    <row r="66" spans="1:6" x14ac:dyDescent="0.25">
      <c r="A66" s="1">
        <v>1064.8934841155999</v>
      </c>
      <c r="B66" s="1" t="s">
        <v>75</v>
      </c>
      <c r="C66" s="1">
        <v>0.78889566809029898</v>
      </c>
      <c r="D66" s="1">
        <v>0.88199181446111796</v>
      </c>
      <c r="E66" s="1">
        <v>0.88399589793086797</v>
      </c>
      <c r="F66" s="1">
        <v>0.99399806776827204</v>
      </c>
    </row>
    <row r="67" spans="1:6" x14ac:dyDescent="0.25">
      <c r="A67" s="1">
        <v>1069.1466331481899</v>
      </c>
      <c r="B67" s="1" t="s">
        <v>76</v>
      </c>
      <c r="C67" s="1">
        <v>0.86730217271686205</v>
      </c>
      <c r="D67" s="1">
        <v>0.92893607193201799</v>
      </c>
      <c r="E67" s="1">
        <v>0.98393845323255502</v>
      </c>
      <c r="F67" s="1">
        <v>0.99194282040707404</v>
      </c>
    </row>
    <row r="68" spans="1:6" x14ac:dyDescent="0.25">
      <c r="A68" s="1">
        <v>1069.7667598724299</v>
      </c>
      <c r="B68" s="1" t="s">
        <v>77</v>
      </c>
      <c r="C68" s="1">
        <v>0.89428695900371002</v>
      </c>
      <c r="D68" s="1">
        <v>0.94419375560084695</v>
      </c>
      <c r="E68" s="1">
        <v>0.96345568718844998</v>
      </c>
      <c r="F68" s="1">
        <v>0.99515701447524696</v>
      </c>
    </row>
    <row r="69" spans="1:6" x14ac:dyDescent="0.25">
      <c r="A69" s="1">
        <v>1068.8953399658201</v>
      </c>
      <c r="B69" s="1" t="s">
        <v>78</v>
      </c>
      <c r="C69" s="1">
        <v>0.85313169626363805</v>
      </c>
      <c r="D69" s="1">
        <v>0.92074588976461602</v>
      </c>
      <c r="E69" s="1">
        <v>0.97808776190207203</v>
      </c>
      <c r="F69" s="1">
        <v>0.99488038438077997</v>
      </c>
    </row>
    <row r="70" spans="1:6" x14ac:dyDescent="0.25">
      <c r="A70" s="1">
        <v>1049.3397712707499</v>
      </c>
      <c r="B70" s="1" t="s">
        <v>79</v>
      </c>
      <c r="C70" s="1">
        <v>0.90531198835728499</v>
      </c>
      <c r="D70" s="1">
        <v>0.95030314603523103</v>
      </c>
      <c r="E70" s="1">
        <v>0.97904780641353495</v>
      </c>
      <c r="F70" s="1">
        <v>0.99838948732013</v>
      </c>
    </row>
    <row r="71" spans="1:6" x14ac:dyDescent="0.25">
      <c r="A71" s="1">
        <v>1072.0198154449399</v>
      </c>
      <c r="B71" s="1" t="s">
        <v>80</v>
      </c>
      <c r="C71" s="1">
        <v>0.81182875894988005</v>
      </c>
      <c r="D71" s="1">
        <v>0.89614292182933297</v>
      </c>
      <c r="E71" s="1">
        <v>0.91227825115239503</v>
      </c>
      <c r="F71" s="1">
        <v>0.99562689268459803</v>
      </c>
    </row>
    <row r="72" spans="1:6" x14ac:dyDescent="0.25">
      <c r="A72" s="1">
        <v>1059.87071990966</v>
      </c>
      <c r="B72" s="1" t="s">
        <v>81</v>
      </c>
      <c r="C72" s="1">
        <v>0.89804386484884402</v>
      </c>
      <c r="D72" s="1">
        <v>0.94628357276702002</v>
      </c>
      <c r="E72" s="1">
        <v>0.99128130469631703</v>
      </c>
      <c r="F72" s="1">
        <v>0.99357228721050195</v>
      </c>
    </row>
    <row r="73" spans="1:6" x14ac:dyDescent="0.25">
      <c r="A73" s="1">
        <v>1066.7791366577101</v>
      </c>
      <c r="B73" s="1" t="s">
        <v>82</v>
      </c>
      <c r="C73" s="1">
        <v>0.83001013856032402</v>
      </c>
      <c r="D73" s="1">
        <v>0.90710987996306502</v>
      </c>
      <c r="E73" s="1">
        <v>0.90899838075410599</v>
      </c>
      <c r="F73" s="1">
        <v>0.99799700280731196</v>
      </c>
    </row>
    <row r="74" spans="1:6" x14ac:dyDescent="0.25">
      <c r="A74" s="1">
        <v>1061.6688728332499</v>
      </c>
      <c r="B74" s="1" t="s">
        <v>83</v>
      </c>
      <c r="C74" s="1">
        <v>0.88720139218478</v>
      </c>
      <c r="D74" s="1">
        <v>0.94022969234638198</v>
      </c>
      <c r="E74" s="1">
        <v>0.96906860203905298</v>
      </c>
      <c r="F74" s="1">
        <v>0.99629191313672605</v>
      </c>
    </row>
    <row r="75" spans="1:6" x14ac:dyDescent="0.25">
      <c r="A75" s="1">
        <v>1059.99279022216</v>
      </c>
      <c r="B75" s="1" t="s">
        <v>84</v>
      </c>
      <c r="C75" s="1">
        <v>0.89248591412473199</v>
      </c>
      <c r="D75" s="1">
        <v>0.94318896374719197</v>
      </c>
      <c r="E75" s="1">
        <v>0.98296153640400097</v>
      </c>
      <c r="F75" s="1">
        <v>0.99625194078264201</v>
      </c>
    </row>
    <row r="76" spans="1:6" x14ac:dyDescent="0.25">
      <c r="A76" s="1">
        <v>1065.8910274505599</v>
      </c>
      <c r="B76" s="1" t="s">
        <v>85</v>
      </c>
      <c r="C76" s="1">
        <v>0.85523733326665996</v>
      </c>
      <c r="D76" s="1">
        <v>0.92197080980553303</v>
      </c>
      <c r="E76" s="1">
        <v>0.95631692247476796</v>
      </c>
      <c r="F76" s="1">
        <v>0.99134629359349302</v>
      </c>
    </row>
    <row r="77" spans="1:6" x14ac:dyDescent="0.25">
      <c r="A77" s="1">
        <v>1344.0320491790701</v>
      </c>
      <c r="B77" s="1" t="s">
        <v>86</v>
      </c>
      <c r="C77" s="1">
        <v>0.887655516650525</v>
      </c>
      <c r="D77" s="1">
        <v>0.94048464756492201</v>
      </c>
      <c r="E77" s="1">
        <v>0.99163580375348503</v>
      </c>
      <c r="F77" s="1">
        <v>0.99725243888750603</v>
      </c>
    </row>
    <row r="78" spans="1:6" x14ac:dyDescent="0.25">
      <c r="A78" s="3">
        <f>AVERAGE(A4:A77)</f>
        <v>1066.2374013179015</v>
      </c>
      <c r="B78" s="3"/>
      <c r="C78" s="3">
        <f>AVERAGE(C3:C77)</f>
        <v>0.83561706959846671</v>
      </c>
      <c r="D78" s="3">
        <f>AVERAGE(D3:D77)</f>
        <v>0.90947642753516522</v>
      </c>
      <c r="E78" s="3">
        <f>AVERAGE(E3:E77)</f>
        <v>0.93659449895382618</v>
      </c>
      <c r="F78" s="3">
        <f>AVERAGE(F3:F77)</f>
        <v>0.99458941123557054</v>
      </c>
    </row>
    <row r="79" spans="1:6" x14ac:dyDescent="0.25">
      <c r="A79" s="3">
        <f>STDEVA(A4:A77)</f>
        <v>33.163751098870073</v>
      </c>
      <c r="B79" s="3"/>
      <c r="C79" s="3">
        <f>STDEVA(C3:C77)</f>
        <v>5.4114634372492247E-2</v>
      </c>
      <c r="D79" s="3">
        <f>STDEVA(D3:D77)</f>
        <v>3.3459098383249598E-2</v>
      </c>
      <c r="E79" s="3">
        <f>STDEVA(E3:E77)</f>
        <v>5.2111046699577286E-2</v>
      </c>
      <c r="F79" s="3">
        <f>STDEVA(F3:F77)</f>
        <v>2.3976974441034539E-3</v>
      </c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D8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774A-481B-445C-A6F2-CE52E57288B0}">
  <dimension ref="A1:F79"/>
  <sheetViews>
    <sheetView tabSelected="1" workbookViewId="0">
      <selection activeCell="C77" sqref="C3:C77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9.7109375" bestFit="1" customWidth="1"/>
    <col min="4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940.89865684509198</v>
      </c>
      <c r="B3">
        <v>0</v>
      </c>
      <c r="C3">
        <v>0.65297240356494302</v>
      </c>
      <c r="D3">
        <v>0.79005844520656998</v>
      </c>
      <c r="E3">
        <v>0.91264844340262297</v>
      </c>
      <c r="F3">
        <v>0.97940934262962198</v>
      </c>
    </row>
    <row r="4" spans="1:6" x14ac:dyDescent="0.25">
      <c r="A4">
        <v>74.361324310302706</v>
      </c>
      <c r="B4">
        <v>1</v>
      </c>
      <c r="C4">
        <v>0.81677326675103401</v>
      </c>
      <c r="D4">
        <v>0.89914716569083297</v>
      </c>
      <c r="E4">
        <v>0.92261329830390604</v>
      </c>
      <c r="F4">
        <v>0.99327053300027002</v>
      </c>
    </row>
    <row r="5" spans="1:6" x14ac:dyDescent="0.25">
      <c r="A5">
        <v>61.5887641906738</v>
      </c>
      <c r="B5">
        <v>2</v>
      </c>
      <c r="C5">
        <v>0.764391889387255</v>
      </c>
      <c r="D5">
        <v>0.86646497752006302</v>
      </c>
      <c r="E5">
        <v>0.858099954225791</v>
      </c>
      <c r="F5">
        <v>0.99712457725136505</v>
      </c>
    </row>
    <row r="6" spans="1:6" x14ac:dyDescent="0.25">
      <c r="A6">
        <v>66.312074661254798</v>
      </c>
      <c r="B6">
        <v>3</v>
      </c>
      <c r="C6">
        <v>0.79289481849208798</v>
      </c>
      <c r="D6">
        <v>0.88448559314701003</v>
      </c>
      <c r="E6">
        <v>0.88659525564855302</v>
      </c>
      <c r="F6">
        <v>0.99734280367853401</v>
      </c>
    </row>
    <row r="7" spans="1:6" x14ac:dyDescent="0.25">
      <c r="A7">
        <v>57.132005691528299</v>
      </c>
      <c r="B7">
        <v>4</v>
      </c>
      <c r="C7">
        <v>0.74553835743888996</v>
      </c>
      <c r="D7">
        <v>0.85422168382798302</v>
      </c>
      <c r="E7">
        <v>0.81820291469414197</v>
      </c>
      <c r="F7">
        <v>0.99795526907685195</v>
      </c>
    </row>
    <row r="8" spans="1:6" x14ac:dyDescent="0.25">
      <c r="A8">
        <v>54.892778396606403</v>
      </c>
      <c r="B8">
        <v>5</v>
      </c>
      <c r="C8">
        <v>0.89747619902999798</v>
      </c>
      <c r="D8">
        <v>0.94596833360944699</v>
      </c>
      <c r="E8">
        <v>0.98293330710210502</v>
      </c>
      <c r="F8">
        <v>0.99811717841290504</v>
      </c>
    </row>
    <row r="9" spans="1:6" x14ac:dyDescent="0.25">
      <c r="A9">
        <v>77.083349227905202</v>
      </c>
      <c r="B9">
        <v>6</v>
      </c>
      <c r="C9">
        <v>0.81001339584728704</v>
      </c>
      <c r="D9">
        <v>0.89503580217218304</v>
      </c>
      <c r="E9">
        <v>0.87975120939875595</v>
      </c>
      <c r="F9">
        <v>0.99523545929407498</v>
      </c>
    </row>
    <row r="10" spans="1:6" x14ac:dyDescent="0.25">
      <c r="A10">
        <v>69.9179172515869</v>
      </c>
      <c r="B10">
        <v>7</v>
      </c>
      <c r="C10">
        <v>0.76245340562521102</v>
      </c>
      <c r="D10">
        <v>0.86521822726398701</v>
      </c>
      <c r="E10">
        <v>0.86411060615758795</v>
      </c>
      <c r="F10">
        <v>0.99376164886538598</v>
      </c>
    </row>
    <row r="11" spans="1:6" x14ac:dyDescent="0.25">
      <c r="A11">
        <v>65.548181533813406</v>
      </c>
      <c r="B11">
        <v>8</v>
      </c>
      <c r="C11">
        <v>0.87019258000566402</v>
      </c>
      <c r="D11">
        <v>0.93059141535362999</v>
      </c>
      <c r="E11">
        <v>0.99475532965343005</v>
      </c>
      <c r="F11">
        <v>0.99103870190383203</v>
      </c>
    </row>
    <row r="12" spans="1:6" x14ac:dyDescent="0.25">
      <c r="A12">
        <v>65.791845321655202</v>
      </c>
      <c r="B12">
        <v>9</v>
      </c>
      <c r="C12">
        <v>0.866548645900033</v>
      </c>
      <c r="D12">
        <v>0.92850368277671202</v>
      </c>
      <c r="E12">
        <v>0.95468503610258104</v>
      </c>
      <c r="F12">
        <v>0.99509986205241996</v>
      </c>
    </row>
    <row r="13" spans="1:6" x14ac:dyDescent="0.25">
      <c r="A13">
        <v>65.914630889892507</v>
      </c>
      <c r="B13">
        <v>10</v>
      </c>
      <c r="C13">
        <v>0.74265858145397501</v>
      </c>
      <c r="D13">
        <v>0.85232826367439496</v>
      </c>
      <c r="E13">
        <v>0.82276570048309094</v>
      </c>
      <c r="F13">
        <v>0.99720374139010604</v>
      </c>
    </row>
    <row r="14" spans="1:6" x14ac:dyDescent="0.25">
      <c r="A14">
        <v>75.272083282470703</v>
      </c>
      <c r="B14">
        <v>11</v>
      </c>
      <c r="C14">
        <v>0.56056522689197996</v>
      </c>
      <c r="D14">
        <v>0.71841306884480705</v>
      </c>
      <c r="E14">
        <v>0.82266167824692604</v>
      </c>
      <c r="F14">
        <v>0.98714173585585996</v>
      </c>
    </row>
    <row r="15" spans="1:6" x14ac:dyDescent="0.25">
      <c r="A15">
        <v>66.498517990112305</v>
      </c>
      <c r="B15">
        <v>12</v>
      </c>
      <c r="C15">
        <v>0.87658973961829001</v>
      </c>
      <c r="D15">
        <v>0.93423695239492599</v>
      </c>
      <c r="E15">
        <v>0.956526637997408</v>
      </c>
      <c r="F15">
        <v>0.99512119157059198</v>
      </c>
    </row>
    <row r="16" spans="1:6" x14ac:dyDescent="0.25">
      <c r="A16">
        <v>73.383331298828097</v>
      </c>
      <c r="B16">
        <v>13</v>
      </c>
      <c r="C16">
        <v>0.82216962127316595</v>
      </c>
      <c r="D16">
        <v>0.90240734086951702</v>
      </c>
      <c r="E16">
        <v>0.89126478616924398</v>
      </c>
      <c r="F16">
        <v>0.99535237604491</v>
      </c>
    </row>
    <row r="17" spans="1:6" x14ac:dyDescent="0.25">
      <c r="A17">
        <v>59.5452785491943</v>
      </c>
      <c r="B17">
        <v>14</v>
      </c>
      <c r="C17">
        <v>0.83084717937105401</v>
      </c>
      <c r="D17">
        <v>0.907609535883244</v>
      </c>
      <c r="E17">
        <v>0.981869877906004</v>
      </c>
      <c r="F17">
        <v>0.98900874405584205</v>
      </c>
    </row>
    <row r="18" spans="1:6" x14ac:dyDescent="0.25">
      <c r="A18">
        <v>69.332361221313406</v>
      </c>
      <c r="B18">
        <v>15</v>
      </c>
      <c r="C18">
        <v>0.69470127424940298</v>
      </c>
      <c r="D18">
        <v>0.81985100832250402</v>
      </c>
      <c r="E18">
        <v>0.82840533226420698</v>
      </c>
      <c r="F18">
        <v>0.990386415818306</v>
      </c>
    </row>
    <row r="19" spans="1:6" x14ac:dyDescent="0.25">
      <c r="A19">
        <v>64.712285995483398</v>
      </c>
      <c r="B19">
        <v>16</v>
      </c>
      <c r="C19">
        <v>0.83660626759004497</v>
      </c>
      <c r="D19">
        <v>0.91103496961035801</v>
      </c>
      <c r="E19">
        <v>0.98466577341074801</v>
      </c>
      <c r="F19">
        <v>0.99534602841516295</v>
      </c>
    </row>
    <row r="20" spans="1:6" x14ac:dyDescent="0.25">
      <c r="A20">
        <v>77.570438385009695</v>
      </c>
      <c r="B20">
        <v>17</v>
      </c>
      <c r="C20">
        <v>0.69737572345992205</v>
      </c>
      <c r="D20">
        <v>0.82171049558596798</v>
      </c>
      <c r="E20">
        <v>0.80500305064063404</v>
      </c>
      <c r="F20">
        <v>0.99501966930367902</v>
      </c>
    </row>
    <row r="21" spans="1:6" x14ac:dyDescent="0.25">
      <c r="A21">
        <v>69.697856903076101</v>
      </c>
      <c r="B21">
        <v>18</v>
      </c>
      <c r="C21">
        <v>0.84679128619464195</v>
      </c>
      <c r="D21">
        <v>0.91704059091536605</v>
      </c>
      <c r="E21">
        <v>0.96196458959412001</v>
      </c>
      <c r="F21">
        <v>0.99243661271390005</v>
      </c>
    </row>
    <row r="22" spans="1:6" x14ac:dyDescent="0.25">
      <c r="A22">
        <v>66.792964935302706</v>
      </c>
      <c r="B22">
        <v>19</v>
      </c>
      <c r="C22">
        <v>0.83609251682046104</v>
      </c>
      <c r="D22">
        <v>0.91073027002834495</v>
      </c>
      <c r="E22">
        <v>0.98176664522354395</v>
      </c>
      <c r="F22">
        <v>0.99132286510644396</v>
      </c>
    </row>
    <row r="23" spans="1:6" x14ac:dyDescent="0.25">
      <c r="A23">
        <v>64.960718154907198</v>
      </c>
      <c r="B23">
        <v>20</v>
      </c>
      <c r="C23">
        <v>0.60033659240262804</v>
      </c>
      <c r="D23">
        <v>0.75026290750663505</v>
      </c>
      <c r="E23">
        <v>0.70045350413763996</v>
      </c>
      <c r="F23">
        <v>0.99652740932274197</v>
      </c>
    </row>
    <row r="24" spans="1:6" x14ac:dyDescent="0.25">
      <c r="A24">
        <v>67.198753356933594</v>
      </c>
      <c r="B24">
        <v>21</v>
      </c>
      <c r="C24">
        <v>0.85552306924338495</v>
      </c>
      <c r="D24">
        <v>0.92213681783243595</v>
      </c>
      <c r="E24">
        <v>0.96902386817979802</v>
      </c>
      <c r="F24">
        <v>0.99679141251104897</v>
      </c>
    </row>
    <row r="25" spans="1:6" x14ac:dyDescent="0.25">
      <c r="A25">
        <v>71.260452270507798</v>
      </c>
      <c r="B25">
        <v>22</v>
      </c>
      <c r="C25">
        <v>0.74315080822263002</v>
      </c>
      <c r="D25">
        <v>0.85265234048265603</v>
      </c>
      <c r="E25">
        <v>0.81052693576252499</v>
      </c>
      <c r="F25">
        <v>0.99537107573874295</v>
      </c>
    </row>
    <row r="26" spans="1:6" x14ac:dyDescent="0.25">
      <c r="A26">
        <v>72.1347332000732</v>
      </c>
      <c r="B26">
        <v>23</v>
      </c>
      <c r="C26">
        <v>0.79508709903141395</v>
      </c>
      <c r="D26">
        <v>0.885847934019941</v>
      </c>
      <c r="E26">
        <v>0.91521471872482896</v>
      </c>
      <c r="F26">
        <v>0.99652288272924405</v>
      </c>
    </row>
    <row r="27" spans="1:6" x14ac:dyDescent="0.25">
      <c r="A27">
        <v>64.825534820556598</v>
      </c>
      <c r="B27">
        <v>24</v>
      </c>
      <c r="C27">
        <v>0.881106893596179</v>
      </c>
      <c r="D27">
        <v>0.93679619865911601</v>
      </c>
      <c r="E27">
        <v>0.98728619774993098</v>
      </c>
      <c r="F27">
        <v>0.997433549882634</v>
      </c>
    </row>
    <row r="28" spans="1:6" x14ac:dyDescent="0.25">
      <c r="A28">
        <v>76.417922973632798</v>
      </c>
      <c r="B28">
        <v>25</v>
      </c>
      <c r="C28">
        <v>0.79290190712680897</v>
      </c>
      <c r="D28">
        <v>0.88449000358024399</v>
      </c>
      <c r="E28">
        <v>0.862738250592754</v>
      </c>
      <c r="F28">
        <v>0.99517989396169004</v>
      </c>
    </row>
    <row r="29" spans="1:6" x14ac:dyDescent="0.25">
      <c r="A29">
        <v>71.950197219848604</v>
      </c>
      <c r="B29">
        <v>26</v>
      </c>
      <c r="C29">
        <v>0.83497297507485302</v>
      </c>
      <c r="D29">
        <v>0.91006569188387298</v>
      </c>
      <c r="E29">
        <v>0.965990372936254</v>
      </c>
      <c r="F29">
        <v>0.99660153924549799</v>
      </c>
    </row>
    <row r="30" spans="1:6" x14ac:dyDescent="0.25">
      <c r="A30">
        <v>71.593046188354407</v>
      </c>
      <c r="B30">
        <v>27</v>
      </c>
      <c r="C30">
        <v>0.78332249945830601</v>
      </c>
      <c r="D30">
        <v>0.87849785969306604</v>
      </c>
      <c r="E30">
        <v>0.86536301533815696</v>
      </c>
      <c r="F30">
        <v>0.99427920266890002</v>
      </c>
    </row>
    <row r="31" spans="1:6" x14ac:dyDescent="0.25">
      <c r="A31">
        <v>66.330909729003906</v>
      </c>
      <c r="B31">
        <v>28</v>
      </c>
      <c r="C31">
        <v>0.84871026621207402</v>
      </c>
      <c r="D31">
        <v>0.91816471377209796</v>
      </c>
      <c r="E31">
        <v>0.91673021482377004</v>
      </c>
      <c r="F31">
        <v>0.99566852397088401</v>
      </c>
    </row>
    <row r="32" spans="1:6" x14ac:dyDescent="0.25">
      <c r="A32">
        <v>66.507816314697195</v>
      </c>
      <c r="B32">
        <v>29</v>
      </c>
      <c r="C32">
        <v>0.86714995615317103</v>
      </c>
      <c r="D32">
        <v>0.92884875507239095</v>
      </c>
      <c r="E32">
        <v>0.98728666897414696</v>
      </c>
      <c r="F32">
        <v>0.98930924600753101</v>
      </c>
    </row>
    <row r="33" spans="1:6" x14ac:dyDescent="0.25">
      <c r="A33">
        <v>67.390203475952106</v>
      </c>
      <c r="B33">
        <v>30</v>
      </c>
      <c r="C33">
        <v>0.88530424129280605</v>
      </c>
      <c r="D33">
        <v>0.93916326278004703</v>
      </c>
      <c r="E33">
        <v>0.98819698819698798</v>
      </c>
      <c r="F33">
        <v>0.99276807702165104</v>
      </c>
    </row>
    <row r="34" spans="1:6" x14ac:dyDescent="0.25">
      <c r="A34">
        <v>74.330329895019503</v>
      </c>
      <c r="B34">
        <v>31</v>
      </c>
      <c r="C34">
        <v>0.82554016163615296</v>
      </c>
      <c r="D34">
        <v>0.90443385359022399</v>
      </c>
      <c r="E34">
        <v>0.92615493739591603</v>
      </c>
      <c r="F34">
        <v>0.99196522601867998</v>
      </c>
    </row>
    <row r="35" spans="1:6" x14ac:dyDescent="0.25">
      <c r="A35">
        <v>66.428661346435504</v>
      </c>
      <c r="B35">
        <v>32</v>
      </c>
      <c r="C35">
        <v>0.76714779550002998</v>
      </c>
      <c r="D35">
        <v>0.86823275048475301</v>
      </c>
      <c r="E35">
        <v>0.90293912950372002</v>
      </c>
      <c r="F35">
        <v>0.99000643803417299</v>
      </c>
    </row>
    <row r="36" spans="1:6" x14ac:dyDescent="0.25">
      <c r="A36">
        <v>61.823606491088803</v>
      </c>
      <c r="B36">
        <v>33</v>
      </c>
      <c r="C36">
        <v>0.84429258902791104</v>
      </c>
      <c r="D36">
        <v>0.91557336840237502</v>
      </c>
      <c r="E36">
        <v>0.90102508268452497</v>
      </c>
      <c r="F36">
        <v>0.99672866305229402</v>
      </c>
    </row>
    <row r="37" spans="1:6" x14ac:dyDescent="0.25">
      <c r="A37">
        <v>71.549177169799805</v>
      </c>
      <c r="B37">
        <v>34</v>
      </c>
      <c r="C37">
        <v>0.89330237722707295</v>
      </c>
      <c r="D37">
        <v>0.94364470036254999</v>
      </c>
      <c r="E37">
        <v>0.98962789007240903</v>
      </c>
      <c r="F37">
        <v>0.99210470831226605</v>
      </c>
    </row>
    <row r="38" spans="1:6" x14ac:dyDescent="0.25">
      <c r="A38">
        <v>71.745634078979407</v>
      </c>
      <c r="B38">
        <v>35</v>
      </c>
      <c r="C38">
        <v>0.77913381574684004</v>
      </c>
      <c r="D38">
        <v>0.87585746372852502</v>
      </c>
      <c r="E38">
        <v>0.870362550521807</v>
      </c>
      <c r="F38">
        <v>0.99417026665799002</v>
      </c>
    </row>
    <row r="39" spans="1:6" x14ac:dyDescent="0.25">
      <c r="A39">
        <v>74.7897624969482</v>
      </c>
      <c r="B39">
        <v>36</v>
      </c>
      <c r="C39">
        <v>0.83727478880609996</v>
      </c>
      <c r="D39">
        <v>0.91143120659722199</v>
      </c>
      <c r="E39">
        <v>0.93865064953205701</v>
      </c>
      <c r="F39">
        <v>0.99572069381238304</v>
      </c>
    </row>
    <row r="40" spans="1:6" x14ac:dyDescent="0.25">
      <c r="A40">
        <v>74.830293655395494</v>
      </c>
      <c r="B40">
        <v>37</v>
      </c>
      <c r="C40">
        <v>0.72813265257126303</v>
      </c>
      <c r="D40">
        <v>0.84268143592783296</v>
      </c>
      <c r="E40">
        <v>0.81857276522239797</v>
      </c>
      <c r="F40">
        <v>0.99304833836857997</v>
      </c>
    </row>
    <row r="41" spans="1:6" x14ac:dyDescent="0.25">
      <c r="A41">
        <v>67.026376724243093</v>
      </c>
      <c r="B41">
        <v>38</v>
      </c>
      <c r="C41">
        <v>0.87586678832116704</v>
      </c>
      <c r="D41">
        <v>0.93382621172693803</v>
      </c>
      <c r="E41">
        <v>0.94788812362684804</v>
      </c>
      <c r="F41">
        <v>0.99669565614190303</v>
      </c>
    </row>
    <row r="42" spans="1:6" x14ac:dyDescent="0.25">
      <c r="A42">
        <v>65.006256103515597</v>
      </c>
      <c r="B42">
        <v>39</v>
      </c>
      <c r="C42">
        <v>0.68985198342214304</v>
      </c>
      <c r="D42">
        <v>0.81646438882192995</v>
      </c>
      <c r="E42">
        <v>0.80997135945276999</v>
      </c>
      <c r="F42">
        <v>0.99381599880704596</v>
      </c>
    </row>
    <row r="43" spans="1:6" x14ac:dyDescent="0.25">
      <c r="A43">
        <v>60.000419616699197</v>
      </c>
      <c r="B43">
        <v>40</v>
      </c>
      <c r="C43">
        <v>0.89728111112880804</v>
      </c>
      <c r="D43">
        <v>0.94585995281949597</v>
      </c>
      <c r="E43">
        <v>0.98393125371153101</v>
      </c>
      <c r="F43">
        <v>0.99442259931687105</v>
      </c>
    </row>
    <row r="44" spans="1:6" x14ac:dyDescent="0.25">
      <c r="A44">
        <v>70.243120193481403</v>
      </c>
      <c r="B44">
        <v>41</v>
      </c>
      <c r="C44">
        <v>0.83851685003898402</v>
      </c>
      <c r="D44">
        <v>0.91216661954575395</v>
      </c>
      <c r="E44">
        <v>0.89588571957484198</v>
      </c>
      <c r="F44">
        <v>0.99549175453594496</v>
      </c>
    </row>
    <row r="45" spans="1:6" x14ac:dyDescent="0.25">
      <c r="A45">
        <v>71.430206298828097</v>
      </c>
      <c r="B45">
        <v>42</v>
      </c>
      <c r="C45">
        <v>0.76223536005496195</v>
      </c>
      <c r="D45">
        <v>0.86507781801766603</v>
      </c>
      <c r="E45">
        <v>0.85579733679766101</v>
      </c>
      <c r="F45">
        <v>0.99394883679971802</v>
      </c>
    </row>
    <row r="46" spans="1:6" x14ac:dyDescent="0.25">
      <c r="A46">
        <v>77.562093734741197</v>
      </c>
      <c r="B46">
        <v>43</v>
      </c>
      <c r="C46">
        <v>0.83090147893080901</v>
      </c>
      <c r="D46">
        <v>0.90764193321426601</v>
      </c>
      <c r="E46">
        <v>0.94711131191054299</v>
      </c>
      <c r="F46">
        <v>0.99511134448390204</v>
      </c>
    </row>
    <row r="47" spans="1:6" x14ac:dyDescent="0.25">
      <c r="A47">
        <v>66.498279571533203</v>
      </c>
      <c r="B47">
        <v>44</v>
      </c>
      <c r="C47">
        <v>0.84334610927890097</v>
      </c>
      <c r="D47">
        <v>0.915016561495128</v>
      </c>
      <c r="E47">
        <v>0.93502322363869905</v>
      </c>
      <c r="F47">
        <v>0.99331890486727903</v>
      </c>
    </row>
    <row r="48" spans="1:6" x14ac:dyDescent="0.25">
      <c r="A48">
        <v>62.228441238403299</v>
      </c>
      <c r="B48">
        <v>45</v>
      </c>
      <c r="C48">
        <v>0.87345294061210699</v>
      </c>
      <c r="D48">
        <v>0.932452501664362</v>
      </c>
      <c r="E48">
        <v>0.97036879130249398</v>
      </c>
      <c r="F48">
        <v>0.99797827176222398</v>
      </c>
    </row>
    <row r="49" spans="1:6" x14ac:dyDescent="0.25">
      <c r="A49">
        <v>76.280355453491197</v>
      </c>
      <c r="B49">
        <v>46</v>
      </c>
      <c r="C49">
        <v>0.74463526227606602</v>
      </c>
      <c r="D49">
        <v>0.85362858171811595</v>
      </c>
      <c r="E49">
        <v>0.85839245254986396</v>
      </c>
      <c r="F49">
        <v>0.99173041930976202</v>
      </c>
    </row>
    <row r="50" spans="1:6" x14ac:dyDescent="0.25">
      <c r="A50">
        <v>66.634416580200195</v>
      </c>
      <c r="B50">
        <v>47</v>
      </c>
      <c r="C50">
        <v>0.85008428150020998</v>
      </c>
      <c r="D50">
        <v>0.918968168099766</v>
      </c>
      <c r="E50">
        <v>0.98836354728074405</v>
      </c>
      <c r="F50">
        <v>0.99610969412665296</v>
      </c>
    </row>
    <row r="51" spans="1:6" x14ac:dyDescent="0.25">
      <c r="A51">
        <v>66.954851150512695</v>
      </c>
      <c r="B51">
        <v>48</v>
      </c>
      <c r="C51">
        <v>0.89412164558458396</v>
      </c>
      <c r="D51">
        <v>0.94410160790769104</v>
      </c>
      <c r="E51">
        <v>0.98976003140693203</v>
      </c>
      <c r="F51">
        <v>0.99337784560729003</v>
      </c>
    </row>
    <row r="52" spans="1:6" x14ac:dyDescent="0.25">
      <c r="A52">
        <v>69.854974746704102</v>
      </c>
      <c r="B52">
        <v>49</v>
      </c>
      <c r="C52">
        <v>0.71514757201159196</v>
      </c>
      <c r="D52">
        <v>0.83391958066073502</v>
      </c>
      <c r="E52">
        <v>0.79703361898483804</v>
      </c>
      <c r="F52">
        <v>0.99480492809047405</v>
      </c>
    </row>
    <row r="53" spans="1:6" x14ac:dyDescent="0.25">
      <c r="A53">
        <v>55.004835128784102</v>
      </c>
      <c r="B53">
        <v>50</v>
      </c>
      <c r="C53">
        <v>0.85309371173377502</v>
      </c>
      <c r="D53">
        <v>0.92072376732163297</v>
      </c>
      <c r="E53">
        <v>0.97541591171141495</v>
      </c>
      <c r="F53">
        <v>0.99660057874121799</v>
      </c>
    </row>
    <row r="54" spans="1:6" x14ac:dyDescent="0.25">
      <c r="A54">
        <v>66.737651824951101</v>
      </c>
      <c r="B54">
        <v>51</v>
      </c>
      <c r="C54">
        <v>0.64107044886513698</v>
      </c>
      <c r="D54">
        <v>0.781283276788588</v>
      </c>
      <c r="E54">
        <v>0.87166381168149398</v>
      </c>
      <c r="F54">
        <v>0.98714022967614901</v>
      </c>
    </row>
    <row r="55" spans="1:6" x14ac:dyDescent="0.25">
      <c r="A55">
        <v>66.642761230468693</v>
      </c>
      <c r="B55">
        <v>52</v>
      </c>
      <c r="C55">
        <v>0.88789077958052998</v>
      </c>
      <c r="D55">
        <v>0.94061668099021101</v>
      </c>
      <c r="E55">
        <v>0.99327106113595098</v>
      </c>
      <c r="F55">
        <v>0.99465615837384502</v>
      </c>
    </row>
    <row r="56" spans="1:6" x14ac:dyDescent="0.25">
      <c r="A56">
        <v>61.276197433471602</v>
      </c>
      <c r="B56">
        <v>53</v>
      </c>
      <c r="C56">
        <v>0.83128528156409198</v>
      </c>
      <c r="D56">
        <v>0.90787087072975803</v>
      </c>
      <c r="E56">
        <v>0.98206697436105905</v>
      </c>
      <c r="F56">
        <v>0.99107358166407</v>
      </c>
    </row>
    <row r="57" spans="1:6" x14ac:dyDescent="0.25">
      <c r="A57">
        <v>66.680431365966797</v>
      </c>
      <c r="B57">
        <v>54</v>
      </c>
      <c r="C57">
        <v>0.84126984126984095</v>
      </c>
      <c r="D57">
        <v>0.91379310344827502</v>
      </c>
      <c r="E57">
        <v>0.943840343794764</v>
      </c>
      <c r="F57">
        <v>0.99632071208221096</v>
      </c>
    </row>
    <row r="58" spans="1:6" x14ac:dyDescent="0.25">
      <c r="A58">
        <v>70.210456848144503</v>
      </c>
      <c r="B58">
        <v>55</v>
      </c>
      <c r="C58">
        <v>0.73668147087920099</v>
      </c>
      <c r="D58">
        <v>0.84837833907015003</v>
      </c>
      <c r="E58">
        <v>0.80776864844903895</v>
      </c>
      <c r="F58">
        <v>0.99584082733812895</v>
      </c>
    </row>
    <row r="59" spans="1:6" x14ac:dyDescent="0.25">
      <c r="A59">
        <v>66.892623901367102</v>
      </c>
      <c r="B59">
        <v>56</v>
      </c>
      <c r="C59">
        <v>0.735133554299083</v>
      </c>
      <c r="D59">
        <v>0.84735097477386301</v>
      </c>
      <c r="E59">
        <v>0.99552615366562003</v>
      </c>
      <c r="F59">
        <v>0.97536928729235495</v>
      </c>
    </row>
    <row r="60" spans="1:6" x14ac:dyDescent="0.25">
      <c r="A60">
        <v>61.981201171875</v>
      </c>
      <c r="B60">
        <v>57</v>
      </c>
      <c r="C60">
        <v>0.50350766489736798</v>
      </c>
      <c r="D60">
        <v>0.66977731694069997</v>
      </c>
      <c r="E60">
        <v>0.56598656486001497</v>
      </c>
      <c r="F60">
        <v>0.99709742936085799</v>
      </c>
    </row>
    <row r="61" spans="1:6" x14ac:dyDescent="0.25">
      <c r="A61">
        <v>71.777820587158203</v>
      </c>
      <c r="B61">
        <v>58</v>
      </c>
      <c r="C61">
        <v>0.839105966731168</v>
      </c>
      <c r="D61">
        <v>0.91251508277426496</v>
      </c>
      <c r="E61">
        <v>0.880251787842669</v>
      </c>
      <c r="F61">
        <v>0.99735344966227002</v>
      </c>
    </row>
    <row r="62" spans="1:6" x14ac:dyDescent="0.25">
      <c r="A62">
        <v>65.0393962860107</v>
      </c>
      <c r="B62">
        <v>59</v>
      </c>
      <c r="C62">
        <v>0.89162724692525996</v>
      </c>
      <c r="D62">
        <v>0.94270924504238596</v>
      </c>
      <c r="E62">
        <v>0.98931898700957799</v>
      </c>
      <c r="F62">
        <v>0.99586826341379397</v>
      </c>
    </row>
    <row r="63" spans="1:6" x14ac:dyDescent="0.25">
      <c r="A63">
        <v>68.127632141113196</v>
      </c>
      <c r="B63">
        <v>60</v>
      </c>
      <c r="C63">
        <v>0.883457547859126</v>
      </c>
      <c r="D63">
        <v>0.93812313302556505</v>
      </c>
      <c r="E63">
        <v>0.98271517975671197</v>
      </c>
      <c r="F63">
        <v>0.99590081697004396</v>
      </c>
    </row>
    <row r="64" spans="1:6" x14ac:dyDescent="0.25">
      <c r="A64">
        <v>67.0797824859619</v>
      </c>
      <c r="B64">
        <v>61</v>
      </c>
      <c r="C64">
        <v>0.91563029960429598</v>
      </c>
      <c r="D64">
        <v>0.955957211361121</v>
      </c>
      <c r="E64">
        <v>0.99326848032110604</v>
      </c>
      <c r="F64">
        <v>0.99377165180216698</v>
      </c>
    </row>
    <row r="65" spans="1:6" x14ac:dyDescent="0.25">
      <c r="A65">
        <v>75.033664703369098</v>
      </c>
      <c r="B65">
        <v>62</v>
      </c>
      <c r="C65">
        <v>0.86948239426139196</v>
      </c>
      <c r="D65">
        <v>0.93018516454648204</v>
      </c>
      <c r="E65">
        <v>0.98569307598866196</v>
      </c>
      <c r="F65">
        <v>0.99199235017749798</v>
      </c>
    </row>
    <row r="66" spans="1:6" x14ac:dyDescent="0.25">
      <c r="A66">
        <v>75.509548187255803</v>
      </c>
      <c r="B66">
        <v>63</v>
      </c>
      <c r="C66">
        <v>0.73359396367263496</v>
      </c>
      <c r="D66">
        <v>0.846327316597837</v>
      </c>
      <c r="E66">
        <v>0.82712958931940195</v>
      </c>
      <c r="F66">
        <v>0.99292464225606103</v>
      </c>
    </row>
    <row r="67" spans="1:6" x14ac:dyDescent="0.25">
      <c r="A67">
        <v>62.11519241333</v>
      </c>
      <c r="B67">
        <v>64</v>
      </c>
      <c r="C67">
        <v>0.45810971639009201</v>
      </c>
      <c r="D67">
        <v>0.62836110512212395</v>
      </c>
      <c r="E67">
        <v>0.99614257812499996</v>
      </c>
      <c r="F67">
        <v>0.926900649961099</v>
      </c>
    </row>
    <row r="68" spans="1:6" x14ac:dyDescent="0.25">
      <c r="A68">
        <v>66.957235336303697</v>
      </c>
      <c r="B68">
        <v>65</v>
      </c>
      <c r="C68">
        <v>0.88023561760731905</v>
      </c>
      <c r="D68">
        <v>0.93630352426517405</v>
      </c>
      <c r="E68">
        <v>0.98609857135269996</v>
      </c>
      <c r="F68">
        <v>0.99069313441423601</v>
      </c>
    </row>
    <row r="69" spans="1:6" x14ac:dyDescent="0.25">
      <c r="A69">
        <v>66.865682601928697</v>
      </c>
      <c r="B69">
        <v>66</v>
      </c>
      <c r="C69">
        <v>0.888406713838097</v>
      </c>
      <c r="D69">
        <v>0.94090611659863499</v>
      </c>
      <c r="E69">
        <v>0.96984149925326302</v>
      </c>
      <c r="F69">
        <v>0.99421274352254096</v>
      </c>
    </row>
    <row r="70" spans="1:6" x14ac:dyDescent="0.25">
      <c r="A70">
        <v>71.771144866943303</v>
      </c>
      <c r="B70">
        <v>67</v>
      </c>
      <c r="C70">
        <v>0.881178707224334</v>
      </c>
      <c r="D70">
        <v>0.93683678625568401</v>
      </c>
      <c r="E70">
        <v>0.98639833448993697</v>
      </c>
      <c r="F70">
        <v>0.99748675947772103</v>
      </c>
    </row>
    <row r="71" spans="1:6" x14ac:dyDescent="0.25">
      <c r="A71">
        <v>66.552400588989201</v>
      </c>
      <c r="B71">
        <v>68</v>
      </c>
      <c r="C71">
        <v>0.89642018779342703</v>
      </c>
      <c r="D71">
        <v>0.94538140182577701</v>
      </c>
      <c r="E71">
        <v>0.98058096613705603</v>
      </c>
      <c r="F71">
        <v>0.99652884225516403</v>
      </c>
    </row>
    <row r="72" spans="1:6" x14ac:dyDescent="0.25">
      <c r="A72">
        <v>69.810628890991197</v>
      </c>
      <c r="B72">
        <v>69</v>
      </c>
      <c r="C72">
        <v>0.65999120105587294</v>
      </c>
      <c r="D72">
        <v>0.79517433663030401</v>
      </c>
      <c r="E72">
        <v>0.786593678558694</v>
      </c>
      <c r="F72">
        <v>0.99086219660964103</v>
      </c>
    </row>
    <row r="73" spans="1:6" x14ac:dyDescent="0.25">
      <c r="A73">
        <v>71.727514266967702</v>
      </c>
      <c r="B73">
        <v>70</v>
      </c>
      <c r="C73">
        <v>0.79324314548216701</v>
      </c>
      <c r="D73">
        <v>0.88470227529449696</v>
      </c>
      <c r="E73">
        <v>0.91439769836967799</v>
      </c>
      <c r="F73">
        <v>0.996424921895816</v>
      </c>
    </row>
    <row r="74" spans="1:6" x14ac:dyDescent="0.25">
      <c r="A74">
        <v>60.920000076293903</v>
      </c>
      <c r="B74">
        <v>71</v>
      </c>
      <c r="C74">
        <v>0.898674675197493</v>
      </c>
      <c r="D74">
        <v>0.94663365655732001</v>
      </c>
      <c r="E74">
        <v>0.99407813966924197</v>
      </c>
      <c r="F74">
        <v>0.99562080761840399</v>
      </c>
    </row>
    <row r="75" spans="1:6" x14ac:dyDescent="0.25">
      <c r="A75">
        <v>69.987058639526296</v>
      </c>
      <c r="B75">
        <v>72</v>
      </c>
      <c r="C75">
        <v>0.87179822696195497</v>
      </c>
      <c r="D75">
        <v>0.93150876457120801</v>
      </c>
      <c r="E75">
        <v>0.98791518386714094</v>
      </c>
      <c r="F75">
        <v>0.99648296789349999</v>
      </c>
    </row>
    <row r="76" spans="1:6" x14ac:dyDescent="0.25">
      <c r="A76">
        <v>76.423645019531193</v>
      </c>
      <c r="B76">
        <v>73</v>
      </c>
      <c r="C76">
        <v>0.87030870308703001</v>
      </c>
      <c r="D76">
        <v>0.93065781242481105</v>
      </c>
      <c r="E76">
        <v>0.93901728490969105</v>
      </c>
      <c r="F76">
        <v>0.99505668897473398</v>
      </c>
    </row>
    <row r="77" spans="1:6" x14ac:dyDescent="0.25">
      <c r="A77">
        <v>75.120449066162095</v>
      </c>
      <c r="B77">
        <v>74</v>
      </c>
      <c r="C77">
        <v>0.81954048964218396</v>
      </c>
      <c r="D77">
        <v>0.90082138243963805</v>
      </c>
      <c r="E77">
        <v>0.89484939709486899</v>
      </c>
      <c r="F77">
        <v>0.99434493468733598</v>
      </c>
    </row>
    <row r="78" spans="1:6" x14ac:dyDescent="0.25">
      <c r="A78" s="3">
        <f>AVERAGE(A3:A77)</f>
        <v>79.923721949259431</v>
      </c>
      <c r="B78" s="4"/>
      <c r="C78" s="4">
        <f>SUBTOTAL(101,MobSam_test1[Column3])</f>
        <v>0.8024296240917087</v>
      </c>
      <c r="D78" s="4">
        <f>SUBTOTAL(101,MobSam_test1[Column4])</f>
        <v>0.8871448221088224</v>
      </c>
      <c r="E78" s="4">
        <f>SUBTOTAL(101,MobSam_test1[Column5])</f>
        <v>0.91515719785250083</v>
      </c>
      <c r="F78" s="4">
        <f>SUBTOTAL(101,MobSam_test1[Column6])</f>
        <v>0.99306963711635865</v>
      </c>
    </row>
    <row r="79" spans="1:6" x14ac:dyDescent="0.25">
      <c r="A79" s="4">
        <f>STDEVA(A4:A77)</f>
        <v>5.2557389399593344</v>
      </c>
      <c r="B79" s="4"/>
      <c r="C79" s="4">
        <f>STDEVA(C3:C77)</f>
        <v>9.3685138800153597E-2</v>
      </c>
      <c r="D79" s="4">
        <f>STDEVA(D3:D77)</f>
        <v>6.3426371346669536E-2</v>
      </c>
      <c r="E79" s="4">
        <f>STDEVA(E3:E77)</f>
        <v>8.0494257718027706E-2</v>
      </c>
      <c r="F79" s="4">
        <f>STDEVA(F3:F77)</f>
        <v>8.6019695395756525E-3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64E2-1635-497F-B2DB-BEFF68A3E82B}">
  <dimension ref="A1:F79"/>
  <sheetViews>
    <sheetView topLeftCell="A46" workbookViewId="0">
      <selection activeCell="C3" sqref="C3:C77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847.31435775756802</v>
      </c>
      <c r="B3" t="s">
        <v>12</v>
      </c>
      <c r="C3">
        <v>0.85524653432789299</v>
      </c>
      <c r="D3">
        <v>0.92197615627157203</v>
      </c>
      <c r="E3">
        <v>0.91912954524318702</v>
      </c>
      <c r="F3">
        <v>0.99596305227827198</v>
      </c>
    </row>
    <row r="4" spans="1:6" x14ac:dyDescent="0.25">
      <c r="A4">
        <v>72.449684143066406</v>
      </c>
      <c r="B4" t="s">
        <v>13</v>
      </c>
      <c r="C4">
        <v>0.91100400387104097</v>
      </c>
      <c r="D4">
        <v>0.95342971759939599</v>
      </c>
      <c r="E4">
        <v>0.98623636475687604</v>
      </c>
      <c r="F4">
        <v>0.99597958589734703</v>
      </c>
    </row>
    <row r="5" spans="1:6" x14ac:dyDescent="0.25">
      <c r="A5">
        <v>79.540252685546804</v>
      </c>
      <c r="B5" t="s">
        <v>14</v>
      </c>
      <c r="C5">
        <v>0.76270319427077404</v>
      </c>
      <c r="D5">
        <v>0.86537903459839405</v>
      </c>
      <c r="E5">
        <v>0.85892594252064203</v>
      </c>
      <c r="F5">
        <v>0.99409707629077104</v>
      </c>
    </row>
    <row r="6" spans="1:6" x14ac:dyDescent="0.25">
      <c r="A6">
        <v>74.1009712219238</v>
      </c>
      <c r="B6" t="s">
        <v>15</v>
      </c>
      <c r="C6">
        <v>0.83834598507414804</v>
      </c>
      <c r="D6">
        <v>0.91206551093300803</v>
      </c>
      <c r="E6">
        <v>0.97417001637635803</v>
      </c>
      <c r="F6">
        <v>0.99573948721160999</v>
      </c>
    </row>
    <row r="7" spans="1:6" x14ac:dyDescent="0.25">
      <c r="A7">
        <v>71.791887283325195</v>
      </c>
      <c r="B7" t="s">
        <v>16</v>
      </c>
      <c r="C7">
        <v>0.54323318049063196</v>
      </c>
      <c r="D7">
        <v>0.704019570545943</v>
      </c>
      <c r="E7">
        <v>0.97055074618938797</v>
      </c>
      <c r="F7">
        <v>0.93912726301296601</v>
      </c>
    </row>
    <row r="8" spans="1:6" x14ac:dyDescent="0.25">
      <c r="A8">
        <v>74.137926101684499</v>
      </c>
      <c r="B8" t="s">
        <v>17</v>
      </c>
      <c r="C8">
        <v>0.88661732298553197</v>
      </c>
      <c r="D8">
        <v>0.939901602920171</v>
      </c>
      <c r="E8">
        <v>0.98550280891397501</v>
      </c>
      <c r="F8">
        <v>0.99139356808408696</v>
      </c>
    </row>
    <row r="9" spans="1:6" x14ac:dyDescent="0.25">
      <c r="A9">
        <v>73.884010314941406</v>
      </c>
      <c r="B9" t="s">
        <v>18</v>
      </c>
      <c r="C9">
        <v>0.77012789079583799</v>
      </c>
      <c r="D9">
        <v>0.870138134990454</v>
      </c>
      <c r="E9">
        <v>0.90059861678839104</v>
      </c>
      <c r="F9">
        <v>0.99122830774045401</v>
      </c>
    </row>
    <row r="10" spans="1:6" x14ac:dyDescent="0.25">
      <c r="A10">
        <v>66.627025604248004</v>
      </c>
      <c r="B10" t="s">
        <v>19</v>
      </c>
      <c r="C10">
        <v>0.67854636776599997</v>
      </c>
      <c r="D10">
        <v>0.80849284928492804</v>
      </c>
      <c r="E10">
        <v>0.76659573580339602</v>
      </c>
      <c r="F10">
        <v>0.99696469580103197</v>
      </c>
    </row>
    <row r="11" spans="1:6" x14ac:dyDescent="0.25">
      <c r="A11">
        <v>71.639060974121094</v>
      </c>
      <c r="B11" t="s">
        <v>20</v>
      </c>
      <c r="C11">
        <v>0.68569906533003999</v>
      </c>
      <c r="D11">
        <v>0.81354860951505403</v>
      </c>
      <c r="E11">
        <v>0.78742040430442395</v>
      </c>
      <c r="F11">
        <v>0.99473145219348302</v>
      </c>
    </row>
    <row r="12" spans="1:6" x14ac:dyDescent="0.25">
      <c r="A12">
        <v>80.883026123046804</v>
      </c>
      <c r="B12" t="s">
        <v>21</v>
      </c>
      <c r="C12">
        <v>0.78805146400028603</v>
      </c>
      <c r="D12">
        <v>0.88146396215826095</v>
      </c>
      <c r="E12">
        <v>0.884317628843176</v>
      </c>
      <c r="F12">
        <v>0.993917975261427</v>
      </c>
    </row>
    <row r="13" spans="1:6" x14ac:dyDescent="0.25">
      <c r="A13">
        <v>73.589801788330007</v>
      </c>
      <c r="B13" t="s">
        <v>22</v>
      </c>
      <c r="C13">
        <v>0.90859499932746401</v>
      </c>
      <c r="D13">
        <v>0.95210874978466098</v>
      </c>
      <c r="E13">
        <v>0.97629715276774098</v>
      </c>
      <c r="F13">
        <v>0.995295572870461</v>
      </c>
    </row>
    <row r="14" spans="1:6" x14ac:dyDescent="0.25">
      <c r="A14">
        <v>73.626279830932603</v>
      </c>
      <c r="B14" t="s">
        <v>23</v>
      </c>
      <c r="C14">
        <v>0.61528272207964196</v>
      </c>
      <c r="D14">
        <v>0.76182666188304005</v>
      </c>
      <c r="E14">
        <v>0.82135160523843698</v>
      </c>
      <c r="F14">
        <v>0.98802625886276096</v>
      </c>
    </row>
    <row r="15" spans="1:6" x14ac:dyDescent="0.25">
      <c r="A15">
        <v>73.4100341796875</v>
      </c>
      <c r="B15" t="s">
        <v>24</v>
      </c>
      <c r="C15">
        <v>0.89639018358223099</v>
      </c>
      <c r="D15">
        <v>0.945364715914078</v>
      </c>
      <c r="E15">
        <v>0.98924025718409603</v>
      </c>
      <c r="F15">
        <v>0.99609390076508797</v>
      </c>
    </row>
    <row r="16" spans="1:6" x14ac:dyDescent="0.25">
      <c r="A16">
        <v>71.689128875732393</v>
      </c>
      <c r="B16" t="s">
        <v>25</v>
      </c>
      <c r="C16">
        <v>0.84238295405131103</v>
      </c>
      <c r="D16">
        <v>0.91444935722939902</v>
      </c>
      <c r="E16">
        <v>0.94602161739809798</v>
      </c>
      <c r="F16">
        <v>0.99628730866720305</v>
      </c>
    </row>
    <row r="17" spans="1:6" x14ac:dyDescent="0.25">
      <c r="A17">
        <v>78.599452972412095</v>
      </c>
      <c r="B17" t="s">
        <v>26</v>
      </c>
      <c r="C17">
        <v>0.807643194510684</v>
      </c>
      <c r="D17">
        <v>0.89358696114728198</v>
      </c>
      <c r="E17">
        <v>0.95036025924182599</v>
      </c>
      <c r="F17">
        <v>0.99017353609748104</v>
      </c>
    </row>
    <row r="18" spans="1:6" x14ac:dyDescent="0.25">
      <c r="A18">
        <v>83.280086517333899</v>
      </c>
      <c r="B18" t="s">
        <v>27</v>
      </c>
      <c r="C18">
        <v>0.80924756067050196</v>
      </c>
      <c r="D18">
        <v>0.89456808262391396</v>
      </c>
      <c r="E18">
        <v>0.93121131423636105</v>
      </c>
      <c r="F18">
        <v>0.99156495468277905</v>
      </c>
    </row>
    <row r="19" spans="1:6" x14ac:dyDescent="0.25">
      <c r="A19">
        <v>81.383466720580998</v>
      </c>
      <c r="B19" t="s">
        <v>28</v>
      </c>
      <c r="C19">
        <v>0.69028864453372796</v>
      </c>
      <c r="D19">
        <v>0.81677013777034102</v>
      </c>
      <c r="E19">
        <v>0.79667480170835803</v>
      </c>
      <c r="F19">
        <v>0.99502656045111404</v>
      </c>
    </row>
    <row r="20" spans="1:6" x14ac:dyDescent="0.25">
      <c r="A20">
        <v>66.852807998657198</v>
      </c>
      <c r="B20" t="s">
        <v>29</v>
      </c>
      <c r="C20">
        <v>0.84712116972156104</v>
      </c>
      <c r="D20">
        <v>0.91723400024618595</v>
      </c>
      <c r="E20">
        <v>0.98479149299554702</v>
      </c>
      <c r="F20">
        <v>0.99200214530219799</v>
      </c>
    </row>
    <row r="21" spans="1:6" x14ac:dyDescent="0.25">
      <c r="A21">
        <v>76.272487640380803</v>
      </c>
      <c r="B21" t="s">
        <v>30</v>
      </c>
      <c r="C21">
        <v>0.68380444569995902</v>
      </c>
      <c r="D21">
        <v>0.81221361238976997</v>
      </c>
      <c r="E21">
        <v>0.81230730510287497</v>
      </c>
      <c r="F21">
        <v>0.99104802991716401</v>
      </c>
    </row>
    <row r="22" spans="1:6" x14ac:dyDescent="0.25">
      <c r="A22">
        <v>77.082633972167898</v>
      </c>
      <c r="B22" t="s">
        <v>31</v>
      </c>
      <c r="C22">
        <v>0.87404048742622598</v>
      </c>
      <c r="D22">
        <v>0.93278719781195096</v>
      </c>
      <c r="E22">
        <v>0.99161284911515502</v>
      </c>
      <c r="F22">
        <v>0.99015084367240502</v>
      </c>
    </row>
    <row r="23" spans="1:6" x14ac:dyDescent="0.25">
      <c r="A23">
        <v>76.538801193237305</v>
      </c>
      <c r="B23" t="s">
        <v>32</v>
      </c>
      <c r="C23">
        <v>0.741484551620195</v>
      </c>
      <c r="D23">
        <v>0.85155455548583903</v>
      </c>
      <c r="E23">
        <v>0.83424477510704098</v>
      </c>
      <c r="F23">
        <v>0.99712093909483701</v>
      </c>
    </row>
    <row r="24" spans="1:6" x14ac:dyDescent="0.25">
      <c r="A24">
        <v>73.460578918457003</v>
      </c>
      <c r="B24" t="s">
        <v>33</v>
      </c>
      <c r="C24">
        <v>0.866369052018507</v>
      </c>
      <c r="D24">
        <v>0.92840057659712605</v>
      </c>
      <c r="E24">
        <v>0.965329248608228</v>
      </c>
      <c r="F24">
        <v>0.99297978867493597</v>
      </c>
    </row>
    <row r="25" spans="1:6" x14ac:dyDescent="0.25">
      <c r="A25">
        <v>69.072723388671804</v>
      </c>
      <c r="B25" t="s">
        <v>34</v>
      </c>
      <c r="C25">
        <v>0.86256895780527798</v>
      </c>
      <c r="D25">
        <v>0.92621425283675796</v>
      </c>
      <c r="E25">
        <v>0.962964504182098</v>
      </c>
      <c r="F25">
        <v>0.99727000766193696</v>
      </c>
    </row>
    <row r="26" spans="1:6" x14ac:dyDescent="0.25">
      <c r="A26">
        <v>73.709011077880803</v>
      </c>
      <c r="B26" t="s">
        <v>35</v>
      </c>
      <c r="C26">
        <v>0.89554853127705403</v>
      </c>
      <c r="D26">
        <v>0.94489644184811405</v>
      </c>
      <c r="E26">
        <v>0.98457213688078205</v>
      </c>
      <c r="F26">
        <v>0.99552420873870495</v>
      </c>
    </row>
    <row r="27" spans="1:6" x14ac:dyDescent="0.25">
      <c r="A27">
        <v>71.697711944580007</v>
      </c>
      <c r="B27" t="s">
        <v>36</v>
      </c>
      <c r="C27">
        <v>0.78521403840100701</v>
      </c>
      <c r="D27">
        <v>0.87968615696559604</v>
      </c>
      <c r="E27">
        <v>0.86547551932000499</v>
      </c>
      <c r="F27">
        <v>0.99770164707167197</v>
      </c>
    </row>
    <row r="28" spans="1:6" x14ac:dyDescent="0.25">
      <c r="A28">
        <v>63.812255859375</v>
      </c>
      <c r="B28" t="s">
        <v>37</v>
      </c>
      <c r="C28">
        <v>0.89599210974625598</v>
      </c>
      <c r="D28">
        <v>0.945143289511018</v>
      </c>
      <c r="E28">
        <v>0.982982490655124</v>
      </c>
      <c r="F28">
        <v>0.998080222204068</v>
      </c>
    </row>
    <row r="29" spans="1:6" x14ac:dyDescent="0.25">
      <c r="A29">
        <v>73.725461959838796</v>
      </c>
      <c r="B29" t="s">
        <v>38</v>
      </c>
      <c r="C29">
        <v>0.587018174555622</v>
      </c>
      <c r="D29">
        <v>0.73977498678613596</v>
      </c>
      <c r="E29">
        <v>0.68708214502781795</v>
      </c>
      <c r="F29">
        <v>0.99645050024971105</v>
      </c>
    </row>
    <row r="30" spans="1:6" x14ac:dyDescent="0.25">
      <c r="A30">
        <v>73.4448432922363</v>
      </c>
      <c r="B30" t="s">
        <v>39</v>
      </c>
      <c r="C30">
        <v>0.85059218667138004</v>
      </c>
      <c r="D30">
        <v>0.91926486321259304</v>
      </c>
      <c r="E30">
        <v>0.98232075779846395</v>
      </c>
      <c r="F30">
        <v>0.99629620226465798</v>
      </c>
    </row>
    <row r="31" spans="1:6" x14ac:dyDescent="0.25">
      <c r="A31">
        <v>78.641414642333899</v>
      </c>
      <c r="B31" t="s">
        <v>40</v>
      </c>
      <c r="C31">
        <v>0.85354330708661397</v>
      </c>
      <c r="D31">
        <v>0.92098555649957503</v>
      </c>
      <c r="E31">
        <v>0.93703366696997203</v>
      </c>
      <c r="F31">
        <v>0.99459051997431602</v>
      </c>
    </row>
    <row r="32" spans="1:6" x14ac:dyDescent="0.25">
      <c r="A32">
        <v>76.768159866332994</v>
      </c>
      <c r="B32" t="s">
        <v>41</v>
      </c>
      <c r="C32">
        <v>0.69081103944168298</v>
      </c>
      <c r="D32">
        <v>0.81713570981863604</v>
      </c>
      <c r="E32">
        <v>0.81720385272901597</v>
      </c>
      <c r="F32">
        <v>0.995717323854447</v>
      </c>
    </row>
    <row r="33" spans="1:6" x14ac:dyDescent="0.25">
      <c r="A33">
        <v>81.5908908843994</v>
      </c>
      <c r="B33" t="s">
        <v>42</v>
      </c>
      <c r="C33">
        <v>0.86943576001191003</v>
      </c>
      <c r="D33">
        <v>0.93015847734331403</v>
      </c>
      <c r="E33">
        <v>0.96070012666765303</v>
      </c>
      <c r="F33">
        <v>0.99354010530610304</v>
      </c>
    </row>
    <row r="34" spans="1:6" x14ac:dyDescent="0.25">
      <c r="A34">
        <v>81.306934356689396</v>
      </c>
      <c r="B34" t="s">
        <v>43</v>
      </c>
      <c r="C34">
        <v>0.84868770764119605</v>
      </c>
      <c r="D34">
        <v>0.91815151270093698</v>
      </c>
      <c r="E34">
        <v>0.92916378714581804</v>
      </c>
      <c r="F34">
        <v>0.99475236264455102</v>
      </c>
    </row>
    <row r="35" spans="1:6" x14ac:dyDescent="0.25">
      <c r="A35">
        <v>71.818351745605398</v>
      </c>
      <c r="B35" t="s">
        <v>44</v>
      </c>
      <c r="C35">
        <v>0.85186875691238095</v>
      </c>
      <c r="D35">
        <v>0.92000985894130105</v>
      </c>
      <c r="E35">
        <v>0.97549453200385905</v>
      </c>
      <c r="F35">
        <v>0.99277255834815004</v>
      </c>
    </row>
    <row r="36" spans="1:6" x14ac:dyDescent="0.25">
      <c r="A36">
        <v>76.831579208373995</v>
      </c>
      <c r="B36" t="s">
        <v>45</v>
      </c>
      <c r="C36">
        <v>0.76165286312227198</v>
      </c>
      <c r="D36">
        <v>0.86470255186638001</v>
      </c>
      <c r="E36">
        <v>0.85723163275533698</v>
      </c>
      <c r="F36">
        <v>0.99373179491954899</v>
      </c>
    </row>
    <row r="37" spans="1:6" x14ac:dyDescent="0.25">
      <c r="A37">
        <v>73.614120483398395</v>
      </c>
      <c r="B37" t="s">
        <v>46</v>
      </c>
      <c r="C37">
        <v>0.87276967930029103</v>
      </c>
      <c r="D37">
        <v>0.93206301762251698</v>
      </c>
      <c r="E37">
        <v>0.93873341509644304</v>
      </c>
      <c r="F37">
        <v>0.99444833460275295</v>
      </c>
    </row>
    <row r="38" spans="1:6" x14ac:dyDescent="0.25">
      <c r="A38">
        <v>78.509092330932603</v>
      </c>
      <c r="B38" t="s">
        <v>47</v>
      </c>
      <c r="C38">
        <v>0.71972195343509904</v>
      </c>
      <c r="D38">
        <v>0.83702130102773098</v>
      </c>
      <c r="E38">
        <v>0.80083498132278597</v>
      </c>
      <c r="F38">
        <v>0.99488667744694703</v>
      </c>
    </row>
    <row r="39" spans="1:6" x14ac:dyDescent="0.25">
      <c r="A39">
        <v>70.215463638305593</v>
      </c>
      <c r="B39" t="s">
        <v>48</v>
      </c>
      <c r="C39">
        <v>0.89481609637318904</v>
      </c>
      <c r="D39">
        <v>0.94448859505250105</v>
      </c>
      <c r="E39">
        <v>0.97561742411010499</v>
      </c>
      <c r="F39">
        <v>0.99478474199099698</v>
      </c>
    </row>
    <row r="40" spans="1:6" x14ac:dyDescent="0.25">
      <c r="A40">
        <v>78.4213542938232</v>
      </c>
      <c r="B40" t="s">
        <v>49</v>
      </c>
      <c r="C40">
        <v>0.71647696476964695</v>
      </c>
      <c r="D40">
        <v>0.83482269727493696</v>
      </c>
      <c r="E40">
        <v>0.77856525836343604</v>
      </c>
      <c r="F40">
        <v>0.99557555831762901</v>
      </c>
    </row>
    <row r="41" spans="1:6" x14ac:dyDescent="0.25">
      <c r="A41">
        <v>71.627616882324205</v>
      </c>
      <c r="B41" t="s">
        <v>50</v>
      </c>
      <c r="C41">
        <v>0.77762079683526397</v>
      </c>
      <c r="D41">
        <v>0.87490065172468601</v>
      </c>
      <c r="E41">
        <v>0.88914018012196505</v>
      </c>
      <c r="F41">
        <v>0.99653159994725604</v>
      </c>
    </row>
    <row r="42" spans="1:6" x14ac:dyDescent="0.25">
      <c r="A42">
        <v>73.467254638671804</v>
      </c>
      <c r="B42" t="s">
        <v>51</v>
      </c>
      <c r="C42">
        <v>0.87145618556700999</v>
      </c>
      <c r="D42">
        <v>0.93131347908417905</v>
      </c>
      <c r="E42">
        <v>0.989664319034116</v>
      </c>
      <c r="F42">
        <v>0.99711116089255902</v>
      </c>
    </row>
    <row r="43" spans="1:6" x14ac:dyDescent="0.25">
      <c r="A43">
        <v>81.930160522460895</v>
      </c>
      <c r="B43" t="s">
        <v>52</v>
      </c>
      <c r="C43">
        <v>0.79910354552780005</v>
      </c>
      <c r="D43">
        <v>0.88833524619992699</v>
      </c>
      <c r="E43">
        <v>0.88654840061461004</v>
      </c>
      <c r="F43">
        <v>0.99613243139434804</v>
      </c>
    </row>
    <row r="44" spans="1:6" x14ac:dyDescent="0.25">
      <c r="A44">
        <v>76.830625534057603</v>
      </c>
      <c r="B44" t="s">
        <v>53</v>
      </c>
      <c r="C44">
        <v>0.59263542460640695</v>
      </c>
      <c r="D44">
        <v>0.74421982011717103</v>
      </c>
      <c r="E44">
        <v>0.803420630678781</v>
      </c>
      <c r="F44">
        <v>0.99021862576689501</v>
      </c>
    </row>
    <row r="45" spans="1:6" x14ac:dyDescent="0.25">
      <c r="A45">
        <v>64.494609832763601</v>
      </c>
      <c r="B45" t="s">
        <v>54</v>
      </c>
      <c r="C45">
        <v>0.83598284128185696</v>
      </c>
      <c r="D45">
        <v>0.91066520065970302</v>
      </c>
      <c r="E45">
        <v>0.95499094053697897</v>
      </c>
      <c r="F45">
        <v>0.99662498584388004</v>
      </c>
    </row>
    <row r="46" spans="1:6" x14ac:dyDescent="0.25">
      <c r="A46">
        <v>71.698188781738196</v>
      </c>
      <c r="B46" t="s">
        <v>55</v>
      </c>
      <c r="C46">
        <v>0.81864395479849295</v>
      </c>
      <c r="D46">
        <v>0.90027952160564495</v>
      </c>
      <c r="E46">
        <v>0.92236765506750995</v>
      </c>
      <c r="F46">
        <v>0.993221309622485</v>
      </c>
    </row>
    <row r="47" spans="1:6" x14ac:dyDescent="0.25">
      <c r="A47">
        <v>73.834419250488196</v>
      </c>
      <c r="B47" t="s">
        <v>56</v>
      </c>
      <c r="C47">
        <v>0.856490859834525</v>
      </c>
      <c r="D47">
        <v>0.92269870901585405</v>
      </c>
      <c r="E47">
        <v>0.95074638996505101</v>
      </c>
      <c r="F47">
        <v>0.99598483687782002</v>
      </c>
    </row>
    <row r="48" spans="1:6" x14ac:dyDescent="0.25">
      <c r="A48">
        <v>83.978414535522404</v>
      </c>
      <c r="B48" t="s">
        <v>57</v>
      </c>
      <c r="C48">
        <v>0.70382763528449799</v>
      </c>
      <c r="D48">
        <v>0.826172343620868</v>
      </c>
      <c r="E48">
        <v>0.86329532370092399</v>
      </c>
      <c r="F48">
        <v>0.98773536537552897</v>
      </c>
    </row>
    <row r="49" spans="1:6" x14ac:dyDescent="0.25">
      <c r="A49">
        <v>73.683023452758704</v>
      </c>
      <c r="B49" t="s">
        <v>58</v>
      </c>
      <c r="C49">
        <v>0.89046604011239205</v>
      </c>
      <c r="D49">
        <v>0.94205981088076196</v>
      </c>
      <c r="E49">
        <v>0.98330926015085796</v>
      </c>
      <c r="F49">
        <v>0.99614513592895504</v>
      </c>
    </row>
    <row r="50" spans="1:6" x14ac:dyDescent="0.25">
      <c r="A50">
        <v>83.630323410034094</v>
      </c>
      <c r="B50" t="s">
        <v>59</v>
      </c>
      <c r="C50">
        <v>0.79027845627747895</v>
      </c>
      <c r="D50">
        <v>0.88285534968755897</v>
      </c>
      <c r="E50">
        <v>0.91359349409837898</v>
      </c>
      <c r="F50">
        <v>0.99454578833394802</v>
      </c>
    </row>
    <row r="51" spans="1:6" x14ac:dyDescent="0.25">
      <c r="A51">
        <v>76.673507690429602</v>
      </c>
      <c r="B51" t="s">
        <v>60</v>
      </c>
      <c r="C51">
        <v>0.84092048531033703</v>
      </c>
      <c r="D51">
        <v>0.91358697132274802</v>
      </c>
      <c r="E51">
        <v>0.97204728972684695</v>
      </c>
      <c r="F51">
        <v>0.99190216791565</v>
      </c>
    </row>
    <row r="52" spans="1:6" x14ac:dyDescent="0.25">
      <c r="A52">
        <v>71.521759033203097</v>
      </c>
      <c r="B52" t="s">
        <v>61</v>
      </c>
      <c r="C52">
        <v>0.69798332363777305</v>
      </c>
      <c r="D52">
        <v>0.82213213041740396</v>
      </c>
      <c r="E52">
        <v>0.76732040076742702</v>
      </c>
      <c r="F52">
        <v>0.99818996088606404</v>
      </c>
    </row>
    <row r="53" spans="1:6" x14ac:dyDescent="0.25">
      <c r="A53">
        <v>74.261188507080007</v>
      </c>
      <c r="B53" t="s">
        <v>62</v>
      </c>
      <c r="C53">
        <v>0.88146985668601197</v>
      </c>
      <c r="D53">
        <v>0.93700130624321298</v>
      </c>
      <c r="E53">
        <v>0.97390934519817396</v>
      </c>
      <c r="F53">
        <v>0.99350747334276501</v>
      </c>
    </row>
    <row r="54" spans="1:6" x14ac:dyDescent="0.25">
      <c r="A54">
        <v>79.262495040893498</v>
      </c>
      <c r="B54" t="s">
        <v>63</v>
      </c>
      <c r="C54">
        <v>0.77302009727447896</v>
      </c>
      <c r="D54">
        <v>0.871981201411964</v>
      </c>
      <c r="E54">
        <v>0.85494478726859302</v>
      </c>
      <c r="F54">
        <v>0.99477540547896903</v>
      </c>
    </row>
    <row r="55" spans="1:6" x14ac:dyDescent="0.25">
      <c r="A55">
        <v>86.829185485839801</v>
      </c>
      <c r="B55" t="s">
        <v>64</v>
      </c>
      <c r="C55">
        <v>0.72208456431271595</v>
      </c>
      <c r="D55">
        <v>0.83861684760051203</v>
      </c>
      <c r="E55">
        <v>0.82464446379335299</v>
      </c>
      <c r="F55">
        <v>0.99211835949138705</v>
      </c>
    </row>
    <row r="56" spans="1:6" x14ac:dyDescent="0.25">
      <c r="A56">
        <v>78.330039978027301</v>
      </c>
      <c r="B56" t="s">
        <v>65</v>
      </c>
      <c r="C56">
        <v>0.75866876919246395</v>
      </c>
      <c r="D56">
        <v>0.86277618899302499</v>
      </c>
      <c r="E56">
        <v>0.84159163306265905</v>
      </c>
      <c r="F56">
        <v>0.99402977268681303</v>
      </c>
    </row>
    <row r="57" spans="1:6" x14ac:dyDescent="0.25">
      <c r="A57">
        <v>73.463678359985295</v>
      </c>
      <c r="B57" t="s">
        <v>66</v>
      </c>
      <c r="C57">
        <v>0.86681192972899301</v>
      </c>
      <c r="D57">
        <v>0.92865480011671997</v>
      </c>
      <c r="E57">
        <v>0.94275346219358602</v>
      </c>
      <c r="F57">
        <v>0.99647940067475604</v>
      </c>
    </row>
    <row r="58" spans="1:6" x14ac:dyDescent="0.25">
      <c r="A58">
        <v>83.479166030883704</v>
      </c>
      <c r="B58" t="s">
        <v>67</v>
      </c>
      <c r="C58">
        <v>0.844846837225108</v>
      </c>
      <c r="D58">
        <v>0.91589916320193598</v>
      </c>
      <c r="E58">
        <v>0.95960078666348003</v>
      </c>
      <c r="F58">
        <v>0.99256665617213902</v>
      </c>
    </row>
    <row r="59" spans="1:6" x14ac:dyDescent="0.25">
      <c r="A59">
        <v>76.349258422851506</v>
      </c>
      <c r="B59" t="s">
        <v>68</v>
      </c>
      <c r="C59">
        <v>0.86965383878329605</v>
      </c>
      <c r="D59">
        <v>0.93028326500186298</v>
      </c>
      <c r="E59">
        <v>0.92965956495828295</v>
      </c>
      <c r="F59">
        <v>0.99627593277581195</v>
      </c>
    </row>
    <row r="60" spans="1:6" x14ac:dyDescent="0.25">
      <c r="A60">
        <v>83.470821380615206</v>
      </c>
      <c r="B60" t="s">
        <v>69</v>
      </c>
      <c r="C60">
        <v>0.90160738919210703</v>
      </c>
      <c r="D60">
        <v>0.94825818864234901</v>
      </c>
      <c r="E60">
        <v>0.97316631061047398</v>
      </c>
      <c r="F60">
        <v>0.99503034086348796</v>
      </c>
    </row>
    <row r="61" spans="1:6" x14ac:dyDescent="0.25">
      <c r="A61">
        <v>68.618297576904297</v>
      </c>
      <c r="B61" t="s">
        <v>70</v>
      </c>
      <c r="C61">
        <v>0.89054846046186098</v>
      </c>
      <c r="D61">
        <v>0.94210593284056798</v>
      </c>
      <c r="E61">
        <v>0.98030861077008202</v>
      </c>
      <c r="F61">
        <v>0.99584224977284796</v>
      </c>
    </row>
    <row r="62" spans="1:6" x14ac:dyDescent="0.25">
      <c r="A62">
        <v>69.015026092529297</v>
      </c>
      <c r="B62" t="s">
        <v>71</v>
      </c>
      <c r="C62">
        <v>0.470409292035398</v>
      </c>
      <c r="D62">
        <v>0.639834493135226</v>
      </c>
      <c r="E62">
        <v>0.99667968750000002</v>
      </c>
      <c r="F62">
        <v>0.93036825726141004</v>
      </c>
    </row>
    <row r="63" spans="1:6" x14ac:dyDescent="0.25">
      <c r="A63">
        <v>66.820859909057603</v>
      </c>
      <c r="B63" t="s">
        <v>72</v>
      </c>
      <c r="C63">
        <v>0.84886315440078097</v>
      </c>
      <c r="D63">
        <v>0.91825417406395204</v>
      </c>
      <c r="E63">
        <v>0.95512075690928699</v>
      </c>
      <c r="F63">
        <v>0.99396929166916503</v>
      </c>
    </row>
    <row r="64" spans="1:6" x14ac:dyDescent="0.25">
      <c r="A64">
        <v>78.858375549316406</v>
      </c>
      <c r="B64" t="s">
        <v>73</v>
      </c>
      <c r="C64">
        <v>0.81661385826319999</v>
      </c>
      <c r="D64">
        <v>0.89905056547783402</v>
      </c>
      <c r="E64">
        <v>0.878669608009502</v>
      </c>
      <c r="F64">
        <v>0.99499264551162703</v>
      </c>
    </row>
    <row r="65" spans="1:6" x14ac:dyDescent="0.25">
      <c r="A65">
        <v>78.678369522094698</v>
      </c>
      <c r="B65" t="s">
        <v>74</v>
      </c>
      <c r="C65">
        <v>0.80904191384591495</v>
      </c>
      <c r="D65">
        <v>0.89444242021561604</v>
      </c>
      <c r="E65">
        <v>0.93868370147105096</v>
      </c>
      <c r="F65">
        <v>0.99652943887398704</v>
      </c>
    </row>
    <row r="66" spans="1:6" x14ac:dyDescent="0.25">
      <c r="A66">
        <v>71.580648422241197</v>
      </c>
      <c r="B66" t="s">
        <v>75</v>
      </c>
      <c r="C66">
        <v>0.83342527801167199</v>
      </c>
      <c r="D66">
        <v>0.90914561723018394</v>
      </c>
      <c r="E66">
        <v>0.93460317460317399</v>
      </c>
      <c r="F66">
        <v>0.99244593785550494</v>
      </c>
    </row>
    <row r="67" spans="1:6" x14ac:dyDescent="0.25">
      <c r="A67">
        <v>78.787326812744098</v>
      </c>
      <c r="B67" t="s">
        <v>76</v>
      </c>
      <c r="C67">
        <v>0.884258681638594</v>
      </c>
      <c r="D67">
        <v>0.93857461319442903</v>
      </c>
      <c r="E67">
        <v>0.98366874855424402</v>
      </c>
      <c r="F67">
        <v>0.99763379524636198</v>
      </c>
    </row>
    <row r="68" spans="1:6" x14ac:dyDescent="0.25">
      <c r="A68">
        <v>73.864221572875906</v>
      </c>
      <c r="B68" t="s">
        <v>77</v>
      </c>
      <c r="C68">
        <v>0.71921967912631102</v>
      </c>
      <c r="D68">
        <v>0.83668153390590605</v>
      </c>
      <c r="E68">
        <v>0.99884120045765201</v>
      </c>
      <c r="F68">
        <v>0.97296517142967798</v>
      </c>
    </row>
    <row r="69" spans="1:6" x14ac:dyDescent="0.25">
      <c r="A69">
        <v>71.571111679077106</v>
      </c>
      <c r="B69" t="s">
        <v>78</v>
      </c>
      <c r="C69">
        <v>0.71550072276195897</v>
      </c>
      <c r="D69">
        <v>0.83415962846113101</v>
      </c>
      <c r="E69">
        <v>0.80329106280193197</v>
      </c>
      <c r="F69">
        <v>0.996819231371321</v>
      </c>
    </row>
    <row r="70" spans="1:6" x14ac:dyDescent="0.25">
      <c r="A70">
        <v>68.705081939697195</v>
      </c>
      <c r="B70" t="s">
        <v>79</v>
      </c>
      <c r="C70">
        <v>0.67702736560786103</v>
      </c>
      <c r="D70">
        <v>0.80741361708485104</v>
      </c>
      <c r="E70">
        <v>0.81349724034119397</v>
      </c>
      <c r="F70">
        <v>0.98781131609873096</v>
      </c>
    </row>
    <row r="71" spans="1:6" x14ac:dyDescent="0.25">
      <c r="A71">
        <v>77.035427093505803</v>
      </c>
      <c r="B71" t="s">
        <v>80</v>
      </c>
      <c r="C71">
        <v>0.78071722516166897</v>
      </c>
      <c r="D71">
        <v>0.87685704853086799</v>
      </c>
      <c r="E71">
        <v>0.85819793205317496</v>
      </c>
      <c r="F71">
        <v>0.99572244858979997</v>
      </c>
    </row>
    <row r="72" spans="1:6" x14ac:dyDescent="0.25">
      <c r="A72">
        <v>83.683252334594698</v>
      </c>
      <c r="B72" t="s">
        <v>81</v>
      </c>
      <c r="C72">
        <v>0.87133048360912102</v>
      </c>
      <c r="D72">
        <v>0.93124169273258295</v>
      </c>
      <c r="E72">
        <v>0.987009043055743</v>
      </c>
      <c r="F72">
        <v>0.99204592319448803</v>
      </c>
    </row>
    <row r="73" spans="1:6" x14ac:dyDescent="0.25">
      <c r="A73">
        <v>73.713779449462805</v>
      </c>
      <c r="B73" t="s">
        <v>82</v>
      </c>
      <c r="C73">
        <v>0.75718135348371995</v>
      </c>
      <c r="D73">
        <v>0.86181355382876201</v>
      </c>
      <c r="E73">
        <v>0.88238341130193998</v>
      </c>
      <c r="F73">
        <v>0.98964834783983302</v>
      </c>
    </row>
    <row r="74" spans="1:6" x14ac:dyDescent="0.25">
      <c r="A74">
        <v>64.511537551879798</v>
      </c>
      <c r="B74" t="s">
        <v>83</v>
      </c>
      <c r="C74">
        <v>0.61333729518634805</v>
      </c>
      <c r="D74">
        <v>0.76033362275370298</v>
      </c>
      <c r="E74">
        <v>0.67061171447136303</v>
      </c>
      <c r="F74">
        <v>0.99804095303934603</v>
      </c>
    </row>
    <row r="75" spans="1:6" x14ac:dyDescent="0.25">
      <c r="A75">
        <v>76.621532440185504</v>
      </c>
      <c r="B75" t="s">
        <v>84</v>
      </c>
      <c r="C75">
        <v>0.83734223085232895</v>
      </c>
      <c r="D75">
        <v>0.91147116393649996</v>
      </c>
      <c r="E75">
        <v>0.944211435267994</v>
      </c>
      <c r="F75">
        <v>0.99158605462507698</v>
      </c>
    </row>
    <row r="76" spans="1:6" x14ac:dyDescent="0.25">
      <c r="A76">
        <v>78.711748123168903</v>
      </c>
      <c r="B76" t="s">
        <v>85</v>
      </c>
      <c r="C76">
        <v>0.86390821036208798</v>
      </c>
      <c r="D76">
        <v>0.92698578777574303</v>
      </c>
      <c r="E76">
        <v>0.98528321470937097</v>
      </c>
      <c r="F76">
        <v>0.99629013312450998</v>
      </c>
    </row>
    <row r="77" spans="1:6" x14ac:dyDescent="0.25">
      <c r="A77">
        <v>71.739912033080998</v>
      </c>
      <c r="B77" t="s">
        <v>86</v>
      </c>
      <c r="C77">
        <v>0.83010137613991997</v>
      </c>
      <c r="D77">
        <v>0.90716436473129503</v>
      </c>
      <c r="E77">
        <v>0.98925709798882799</v>
      </c>
      <c r="F77">
        <v>0.98917523643907102</v>
      </c>
    </row>
    <row r="78" spans="1:6" x14ac:dyDescent="0.25">
      <c r="A78" s="3">
        <f>AVERAGE(A3:A77)</f>
        <v>85.368871688842759</v>
      </c>
      <c r="B78" s="4"/>
      <c r="C78" s="4">
        <f>SUBTOTAL(101,Edgesam_test1[Column3])</f>
        <v>0.79428456684163773</v>
      </c>
      <c r="D78" s="4">
        <f>SUBTOTAL(101,Edgesam_test1[Column4])</f>
        <v>0.88205358736608108</v>
      </c>
      <c r="E78" s="4">
        <f>SUBTOTAL(101,Edgesam_test1[Column5])</f>
        <v>0.91021198663934477</v>
      </c>
      <c r="F78" s="4">
        <f>SUBTOTAL(101,Edgesam_test1[Column6])</f>
        <v>0.99242730947520419</v>
      </c>
    </row>
    <row r="79" spans="1:6" x14ac:dyDescent="0.25">
      <c r="A79" s="5">
        <f>STDEVA(A4:A77)</f>
        <v>5.043898449640924</v>
      </c>
      <c r="B79" s="6"/>
      <c r="C79" s="6">
        <f>STDEVA(C3:C77)</f>
        <v>9.4830899440149344E-2</v>
      </c>
      <c r="D79" s="6">
        <f>STDEVA(D3:D77)</f>
        <v>6.337955642854709E-2</v>
      </c>
      <c r="E79" s="6">
        <f>STDEVA(E3:E77)</f>
        <v>7.8840230791933918E-2</v>
      </c>
      <c r="F79" s="7">
        <f>STDEVA(F3:F77)</f>
        <v>1.0268840935059656E-2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7FF3-83AC-4593-B9EC-1533EB8823A3}">
  <dimension ref="A1:F79"/>
  <sheetViews>
    <sheetView workbookViewId="0">
      <selection activeCell="C77" sqref="C3:C77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4" width="20.7109375" bestFit="1" customWidth="1"/>
    <col min="5" max="5" width="19.710937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1605.2784919738699</v>
      </c>
      <c r="B3" t="s">
        <v>12</v>
      </c>
      <c r="C3">
        <v>0.90903811474157104</v>
      </c>
      <c r="D3">
        <v>0.95235198053091596</v>
      </c>
      <c r="E3">
        <v>0.96234657117587397</v>
      </c>
      <c r="F3">
        <v>0.99725526860202895</v>
      </c>
    </row>
    <row r="4" spans="1:6" x14ac:dyDescent="0.25">
      <c r="A4">
        <v>151.78775787353501</v>
      </c>
      <c r="B4" t="s">
        <v>13</v>
      </c>
      <c r="C4">
        <v>0.92404315552484295</v>
      </c>
      <c r="D4">
        <v>0.96052227609497798</v>
      </c>
      <c r="E4">
        <v>0.96787261116753598</v>
      </c>
      <c r="F4">
        <v>0.997956176767821</v>
      </c>
    </row>
    <row r="5" spans="1:6" x14ac:dyDescent="0.25">
      <c r="A5">
        <v>132.803916931152</v>
      </c>
      <c r="B5" t="s">
        <v>14</v>
      </c>
      <c r="C5">
        <v>0.91241045949566102</v>
      </c>
      <c r="D5">
        <v>0.95419940313051899</v>
      </c>
      <c r="E5">
        <v>0.95546800673285603</v>
      </c>
      <c r="F5">
        <v>0.99805735448736499</v>
      </c>
    </row>
    <row r="6" spans="1:6" x14ac:dyDescent="0.25">
      <c r="A6">
        <v>139.99533653259201</v>
      </c>
      <c r="B6" t="s">
        <v>15</v>
      </c>
      <c r="C6">
        <v>0.888560054475931</v>
      </c>
      <c r="D6">
        <v>0.94099210916806497</v>
      </c>
      <c r="E6">
        <v>0.93340669922277997</v>
      </c>
      <c r="F6">
        <v>0.998166329735794</v>
      </c>
    </row>
    <row r="7" spans="1:6" x14ac:dyDescent="0.25">
      <c r="A7">
        <v>129.41789627075099</v>
      </c>
      <c r="B7" t="s">
        <v>16</v>
      </c>
      <c r="C7">
        <v>0.86113358763919301</v>
      </c>
      <c r="D7">
        <v>0.92538611237629897</v>
      </c>
      <c r="E7">
        <v>0.92950424222259098</v>
      </c>
      <c r="F7">
        <v>0.99811504449245403</v>
      </c>
    </row>
    <row r="8" spans="1:6" x14ac:dyDescent="0.25">
      <c r="A8">
        <v>129.48203086852999</v>
      </c>
      <c r="B8" t="s">
        <v>17</v>
      </c>
      <c r="C8">
        <v>0.87970381951230103</v>
      </c>
      <c r="D8">
        <v>0.93600258762100597</v>
      </c>
      <c r="E8">
        <v>0.951567821491485</v>
      </c>
      <c r="F8">
        <v>0.99828756416095299</v>
      </c>
    </row>
    <row r="9" spans="1:6" x14ac:dyDescent="0.25">
      <c r="A9">
        <v>133.978128433227</v>
      </c>
      <c r="B9" t="s">
        <v>18</v>
      </c>
      <c r="C9">
        <v>0.72599883226290696</v>
      </c>
      <c r="D9">
        <v>0.84125066447590902</v>
      </c>
      <c r="E9">
        <v>0.91796916197346501</v>
      </c>
      <c r="F9">
        <v>0.99381302157595197</v>
      </c>
    </row>
    <row r="10" spans="1:6" x14ac:dyDescent="0.25">
      <c r="A10">
        <v>140.07806777954099</v>
      </c>
      <c r="B10" t="s">
        <v>19</v>
      </c>
      <c r="C10">
        <v>0.91900215583615597</v>
      </c>
      <c r="D10">
        <v>0.95779168672765203</v>
      </c>
      <c r="E10">
        <v>0.96721769551464698</v>
      </c>
      <c r="F10">
        <v>0.99763422878832098</v>
      </c>
    </row>
    <row r="11" spans="1:6" x14ac:dyDescent="0.25">
      <c r="A11">
        <v>133.286476135253</v>
      </c>
      <c r="B11" t="s">
        <v>20</v>
      </c>
      <c r="C11">
        <v>0.71059389319903798</v>
      </c>
      <c r="D11">
        <v>0.83081542150268395</v>
      </c>
      <c r="E11">
        <v>0.777983091427492</v>
      </c>
      <c r="F11">
        <v>0.99516153802875995</v>
      </c>
    </row>
    <row r="12" spans="1:6" x14ac:dyDescent="0.25">
      <c r="A12">
        <v>132.94649124145499</v>
      </c>
      <c r="B12" t="s">
        <v>21</v>
      </c>
      <c r="C12">
        <v>0.78145676230100203</v>
      </c>
      <c r="D12">
        <v>0.87732329949073895</v>
      </c>
      <c r="E12">
        <v>0.83342919944945404</v>
      </c>
      <c r="F12">
        <v>0.99672357939968803</v>
      </c>
    </row>
    <row r="13" spans="1:6" x14ac:dyDescent="0.25">
      <c r="A13">
        <v>134.384393692016</v>
      </c>
      <c r="B13" t="s">
        <v>22</v>
      </c>
      <c r="C13">
        <v>0.87907608695652095</v>
      </c>
      <c r="D13">
        <v>0.93564714389009396</v>
      </c>
      <c r="E13">
        <v>0.94398911116986295</v>
      </c>
      <c r="F13">
        <v>0.99617494903567205</v>
      </c>
    </row>
    <row r="14" spans="1:6" x14ac:dyDescent="0.25">
      <c r="A14">
        <v>141.61348342895499</v>
      </c>
      <c r="B14" t="s">
        <v>23</v>
      </c>
      <c r="C14">
        <v>0.78864962024424201</v>
      </c>
      <c r="D14">
        <v>0.88183802050236204</v>
      </c>
      <c r="E14">
        <v>0.94976708651223896</v>
      </c>
      <c r="F14">
        <v>0.990273113669627</v>
      </c>
    </row>
    <row r="15" spans="1:6" x14ac:dyDescent="0.25">
      <c r="A15">
        <v>147.89915084838799</v>
      </c>
      <c r="B15" t="s">
        <v>24</v>
      </c>
      <c r="C15">
        <v>0.88482056508220397</v>
      </c>
      <c r="D15">
        <v>0.93889103448275801</v>
      </c>
      <c r="E15">
        <v>0.94691565487385498</v>
      </c>
      <c r="F15">
        <v>0.99682116080560801</v>
      </c>
    </row>
    <row r="16" spans="1:6" x14ac:dyDescent="0.25">
      <c r="A16">
        <v>137.25352287292401</v>
      </c>
      <c r="B16" t="s">
        <v>25</v>
      </c>
      <c r="C16">
        <v>0.86523320478308197</v>
      </c>
      <c r="D16">
        <v>0.92774801838647802</v>
      </c>
      <c r="E16">
        <v>0.94006491363186195</v>
      </c>
      <c r="F16">
        <v>0.99519834749446601</v>
      </c>
    </row>
    <row r="17" spans="1:6" x14ac:dyDescent="0.25">
      <c r="A17">
        <v>146.58594131469701</v>
      </c>
      <c r="B17" t="s">
        <v>26</v>
      </c>
      <c r="C17">
        <v>0.88009420169317898</v>
      </c>
      <c r="D17">
        <v>0.93622351571594797</v>
      </c>
      <c r="E17">
        <v>0.936380487532252</v>
      </c>
      <c r="F17">
        <v>0.99650806131286895</v>
      </c>
    </row>
    <row r="18" spans="1:6" x14ac:dyDescent="0.25">
      <c r="A18">
        <v>133.348941802978</v>
      </c>
      <c r="B18" t="s">
        <v>27</v>
      </c>
      <c r="C18">
        <v>6.2019780317391998E-2</v>
      </c>
      <c r="D18">
        <v>0.11679590430765199</v>
      </c>
      <c r="E18">
        <v>0.37040346223649301</v>
      </c>
      <c r="F18">
        <v>0.82209074062048804</v>
      </c>
    </row>
    <row r="19" spans="1:6" x14ac:dyDescent="0.25">
      <c r="A19">
        <v>136.88659667968699</v>
      </c>
      <c r="B19" t="s">
        <v>28</v>
      </c>
      <c r="C19">
        <v>0.57211154153600197</v>
      </c>
      <c r="D19">
        <v>0.72782563631207897</v>
      </c>
      <c r="E19">
        <v>0.88219119634010401</v>
      </c>
      <c r="F19">
        <v>0.98874428784299395</v>
      </c>
    </row>
    <row r="20" spans="1:6" x14ac:dyDescent="0.25">
      <c r="A20">
        <v>132.84707069396899</v>
      </c>
      <c r="B20" t="s">
        <v>29</v>
      </c>
      <c r="C20">
        <v>0.877300613496932</v>
      </c>
      <c r="D20">
        <v>0.934640522875817</v>
      </c>
      <c r="E20">
        <v>0.96007600548928496</v>
      </c>
      <c r="F20">
        <v>0.99779443154421799</v>
      </c>
    </row>
    <row r="21" spans="1:6" x14ac:dyDescent="0.25">
      <c r="A21">
        <v>133.64291191101</v>
      </c>
      <c r="B21" t="s">
        <v>30</v>
      </c>
      <c r="C21">
        <v>0.86493474323048103</v>
      </c>
      <c r="D21">
        <v>0.92757641667635105</v>
      </c>
      <c r="E21">
        <v>0.91895581800835602</v>
      </c>
      <c r="F21">
        <v>0.99811357875522999</v>
      </c>
    </row>
    <row r="22" spans="1:6" x14ac:dyDescent="0.25">
      <c r="A22">
        <v>135.65778732299799</v>
      </c>
      <c r="B22" t="s">
        <v>31</v>
      </c>
      <c r="C22">
        <v>0.86104399838058798</v>
      </c>
      <c r="D22">
        <v>0.92533438127184098</v>
      </c>
      <c r="E22">
        <v>0.92693454054661995</v>
      </c>
      <c r="F22">
        <v>0.99728185962150695</v>
      </c>
    </row>
    <row r="23" spans="1:6" x14ac:dyDescent="0.25">
      <c r="A23">
        <v>134.62686538696201</v>
      </c>
      <c r="B23" t="s">
        <v>32</v>
      </c>
      <c r="C23">
        <v>0.82460007391373202</v>
      </c>
      <c r="D23">
        <v>0.90386938562923602</v>
      </c>
      <c r="E23">
        <v>0.883663366336633</v>
      </c>
      <c r="F23">
        <v>0.99747166608417703</v>
      </c>
    </row>
    <row r="24" spans="1:6" x14ac:dyDescent="0.25">
      <c r="A24">
        <v>142.32850074768001</v>
      </c>
      <c r="B24" t="s">
        <v>33</v>
      </c>
      <c r="C24">
        <v>0.84403840375452499</v>
      </c>
      <c r="D24">
        <v>0.91542388925960905</v>
      </c>
      <c r="E24">
        <v>0.91049268383033899</v>
      </c>
      <c r="F24">
        <v>0.99746068820775602</v>
      </c>
    </row>
    <row r="25" spans="1:6" x14ac:dyDescent="0.25">
      <c r="A25">
        <v>144.116401672363</v>
      </c>
      <c r="B25" t="s">
        <v>34</v>
      </c>
      <c r="C25">
        <v>0.883232022934196</v>
      </c>
      <c r="D25">
        <v>0.93799596882179603</v>
      </c>
      <c r="E25">
        <v>0.95008851579007403</v>
      </c>
      <c r="F25">
        <v>0.99735370511231003</v>
      </c>
    </row>
    <row r="26" spans="1:6" x14ac:dyDescent="0.25">
      <c r="A26">
        <v>133.082389831542</v>
      </c>
      <c r="B26" t="s">
        <v>35</v>
      </c>
      <c r="C26">
        <v>0.334382505872726</v>
      </c>
      <c r="D26">
        <v>0.50117939106827603</v>
      </c>
      <c r="E26">
        <v>0.95479895994272102</v>
      </c>
      <c r="F26">
        <v>0.95126318592287296</v>
      </c>
    </row>
    <row r="27" spans="1:6" x14ac:dyDescent="0.25">
      <c r="A27">
        <v>133.45003128051701</v>
      </c>
      <c r="B27" t="s">
        <v>36</v>
      </c>
      <c r="C27">
        <v>0.74980209859700497</v>
      </c>
      <c r="D27">
        <v>0.85701360079313804</v>
      </c>
      <c r="E27">
        <v>0.93690546342284697</v>
      </c>
      <c r="F27">
        <v>0.99414782407836899</v>
      </c>
    </row>
    <row r="28" spans="1:6" x14ac:dyDescent="0.25">
      <c r="A28">
        <v>133.63790512084901</v>
      </c>
      <c r="B28" t="s">
        <v>37</v>
      </c>
      <c r="C28">
        <v>0.77235466260503405</v>
      </c>
      <c r="D28">
        <v>0.87155768413734502</v>
      </c>
      <c r="E28">
        <v>0.93065121458324696</v>
      </c>
      <c r="F28">
        <v>0.99509210875875098</v>
      </c>
    </row>
    <row r="29" spans="1:6" x14ac:dyDescent="0.25">
      <c r="A29">
        <v>139.91165161132801</v>
      </c>
      <c r="B29" t="s">
        <v>38</v>
      </c>
      <c r="C29">
        <v>0.75464973307808403</v>
      </c>
      <c r="D29">
        <v>0.86017137078890804</v>
      </c>
      <c r="E29">
        <v>0.927892067744713</v>
      </c>
      <c r="F29">
        <v>0.99406533768357197</v>
      </c>
    </row>
    <row r="30" spans="1:6" x14ac:dyDescent="0.25">
      <c r="A30">
        <v>131.49952888488701</v>
      </c>
      <c r="B30" t="s">
        <v>39</v>
      </c>
      <c r="C30">
        <v>0.87137038231972896</v>
      </c>
      <c r="D30">
        <v>0.93126447928452105</v>
      </c>
      <c r="E30">
        <v>0.94779900423310504</v>
      </c>
      <c r="F30">
        <v>0.99802811331519004</v>
      </c>
    </row>
    <row r="31" spans="1:6" x14ac:dyDescent="0.25">
      <c r="A31">
        <v>132.10463523864701</v>
      </c>
      <c r="B31" t="s">
        <v>40</v>
      </c>
      <c r="C31">
        <v>0.85814938502891502</v>
      </c>
      <c r="D31">
        <v>0.92366027397260198</v>
      </c>
      <c r="E31">
        <v>0.95962655129226904</v>
      </c>
      <c r="F31">
        <v>0.99744147490866797</v>
      </c>
    </row>
    <row r="32" spans="1:6" x14ac:dyDescent="0.25">
      <c r="A32">
        <v>132.24172592163001</v>
      </c>
      <c r="B32" t="s">
        <v>41</v>
      </c>
      <c r="C32">
        <v>0.70044149736962202</v>
      </c>
      <c r="D32">
        <v>0.82383486694852004</v>
      </c>
      <c r="E32">
        <v>0.95745467998520095</v>
      </c>
      <c r="F32">
        <v>0.99218411388764105</v>
      </c>
    </row>
    <row r="33" spans="1:6" x14ac:dyDescent="0.25">
      <c r="A33">
        <v>142.57311820983799</v>
      </c>
      <c r="B33" t="s">
        <v>42</v>
      </c>
      <c r="C33">
        <v>0.70220803864067605</v>
      </c>
      <c r="D33">
        <v>0.82505548405403395</v>
      </c>
      <c r="E33">
        <v>0.94943440233236098</v>
      </c>
      <c r="F33">
        <v>0.992566694160952</v>
      </c>
    </row>
    <row r="34" spans="1:6" x14ac:dyDescent="0.25">
      <c r="A34">
        <v>136.45839691162101</v>
      </c>
      <c r="B34" t="s">
        <v>43</v>
      </c>
      <c r="C34">
        <v>0.28672423179288598</v>
      </c>
      <c r="D34">
        <v>0.44566539544121703</v>
      </c>
      <c r="E34">
        <v>0.81269154111570696</v>
      </c>
      <c r="F34">
        <v>0.95777129948163198</v>
      </c>
    </row>
    <row r="35" spans="1:6" x14ac:dyDescent="0.25">
      <c r="A35">
        <v>130.630254745483</v>
      </c>
      <c r="B35" t="s">
        <v>44</v>
      </c>
      <c r="C35">
        <v>1.56740228823323E-2</v>
      </c>
      <c r="D35">
        <v>3.0864278359412599E-2</v>
      </c>
      <c r="E35">
        <v>0.23339214344867301</v>
      </c>
      <c r="F35">
        <v>0.61767375897770804</v>
      </c>
    </row>
    <row r="36" spans="1:6" x14ac:dyDescent="0.25">
      <c r="A36">
        <v>136.49845123291001</v>
      </c>
      <c r="B36" t="s">
        <v>45</v>
      </c>
      <c r="C36">
        <v>0.88812657719660404</v>
      </c>
      <c r="D36">
        <v>0.94074898147480102</v>
      </c>
      <c r="E36">
        <v>0.96565566806195302</v>
      </c>
      <c r="F36">
        <v>0.99424307989827798</v>
      </c>
    </row>
    <row r="37" spans="1:6" x14ac:dyDescent="0.25">
      <c r="A37">
        <v>135.382413864135</v>
      </c>
      <c r="B37" t="s">
        <v>46</v>
      </c>
      <c r="C37">
        <v>0.87987431664214699</v>
      </c>
      <c r="D37">
        <v>0.93609908795795305</v>
      </c>
      <c r="E37">
        <v>0.94720891582754896</v>
      </c>
      <c r="F37">
        <v>0.99602903652900798</v>
      </c>
    </row>
    <row r="38" spans="1:6" x14ac:dyDescent="0.25">
      <c r="A38">
        <v>132.24697113037101</v>
      </c>
      <c r="B38" t="s">
        <v>47</v>
      </c>
      <c r="C38">
        <v>0.88911512891592803</v>
      </c>
      <c r="D38">
        <v>0.94130327506947498</v>
      </c>
      <c r="E38">
        <v>0.98150354763581205</v>
      </c>
      <c r="F38">
        <v>0.99413548452177503</v>
      </c>
    </row>
    <row r="39" spans="1:6" x14ac:dyDescent="0.25">
      <c r="A39">
        <v>142.20595359802201</v>
      </c>
      <c r="B39" t="s">
        <v>48</v>
      </c>
      <c r="C39">
        <v>0.88975928270242999</v>
      </c>
      <c r="D39">
        <v>0.94166414828246103</v>
      </c>
      <c r="E39">
        <v>0.94831294256091803</v>
      </c>
      <c r="F39">
        <v>0.99671548627714202</v>
      </c>
    </row>
    <row r="40" spans="1:6" x14ac:dyDescent="0.25">
      <c r="A40">
        <v>132.97009468078599</v>
      </c>
      <c r="B40" t="s">
        <v>49</v>
      </c>
      <c r="C40">
        <v>0.87406614028254703</v>
      </c>
      <c r="D40">
        <v>0.93280180618467101</v>
      </c>
      <c r="E40">
        <v>0.93875669046555099</v>
      </c>
      <c r="F40">
        <v>0.99604503729654204</v>
      </c>
    </row>
    <row r="41" spans="1:6" x14ac:dyDescent="0.25">
      <c r="A41">
        <v>146.06595039367599</v>
      </c>
      <c r="B41" t="s">
        <v>50</v>
      </c>
      <c r="C41">
        <v>0.87658339756086501</v>
      </c>
      <c r="D41">
        <v>0.93423335056701995</v>
      </c>
      <c r="E41">
        <v>0.91061857709371397</v>
      </c>
      <c r="F41">
        <v>0.99790488844115399</v>
      </c>
    </row>
    <row r="42" spans="1:6" x14ac:dyDescent="0.25">
      <c r="A42">
        <v>131.69431686401299</v>
      </c>
      <c r="B42" t="s">
        <v>51</v>
      </c>
      <c r="C42">
        <v>0.90325153425738502</v>
      </c>
      <c r="D42">
        <v>0.94916674753641295</v>
      </c>
      <c r="E42">
        <v>0.95105457631313695</v>
      </c>
      <c r="F42">
        <v>0.99694614669717596</v>
      </c>
    </row>
    <row r="43" spans="1:6" x14ac:dyDescent="0.25">
      <c r="A43">
        <v>152.34827995300199</v>
      </c>
      <c r="B43" t="s">
        <v>52</v>
      </c>
      <c r="C43">
        <v>4.2820620384514903E-2</v>
      </c>
      <c r="D43">
        <v>8.2124613854923298E-2</v>
      </c>
      <c r="E43">
        <v>0.45706293181135399</v>
      </c>
      <c r="F43">
        <v>0.47610407753249501</v>
      </c>
    </row>
    <row r="44" spans="1:6" x14ac:dyDescent="0.25">
      <c r="A44">
        <v>143.375396728515</v>
      </c>
      <c r="B44" t="s">
        <v>53</v>
      </c>
      <c r="C44">
        <v>0.90602248077302305</v>
      </c>
      <c r="D44">
        <v>0.95069443294873202</v>
      </c>
      <c r="E44">
        <v>0.95490709564783605</v>
      </c>
      <c r="F44">
        <v>0.99667744321832297</v>
      </c>
    </row>
    <row r="45" spans="1:6" x14ac:dyDescent="0.25">
      <c r="A45">
        <v>144.747495651245</v>
      </c>
      <c r="B45" t="s">
        <v>54</v>
      </c>
      <c r="C45">
        <v>0.88951631389928898</v>
      </c>
      <c r="D45">
        <v>0.94152805917154903</v>
      </c>
      <c r="E45">
        <v>0.95127232908951198</v>
      </c>
      <c r="F45">
        <v>0.99564581447766598</v>
      </c>
    </row>
    <row r="46" spans="1:6" x14ac:dyDescent="0.25">
      <c r="A46">
        <v>140.06972312927201</v>
      </c>
      <c r="B46" t="s">
        <v>55</v>
      </c>
      <c r="C46">
        <v>0.87611560874496397</v>
      </c>
      <c r="D46">
        <v>0.93396761336157297</v>
      </c>
      <c r="E46">
        <v>0.90925843243901405</v>
      </c>
      <c r="F46">
        <v>0.99761076488849798</v>
      </c>
    </row>
    <row r="47" spans="1:6" x14ac:dyDescent="0.25">
      <c r="A47">
        <v>142.37141609191801</v>
      </c>
      <c r="B47" t="s">
        <v>56</v>
      </c>
      <c r="C47">
        <v>0.91556862838877295</v>
      </c>
      <c r="D47">
        <v>0.95592359868503096</v>
      </c>
      <c r="E47">
        <v>0.971003220925022</v>
      </c>
      <c r="F47">
        <v>0.99633715557269398</v>
      </c>
    </row>
    <row r="48" spans="1:6" x14ac:dyDescent="0.25">
      <c r="A48">
        <v>135.62202453613199</v>
      </c>
      <c r="B48" t="s">
        <v>57</v>
      </c>
      <c r="C48">
        <v>0.91593749999999996</v>
      </c>
      <c r="D48">
        <v>0.95612461262436799</v>
      </c>
      <c r="E48">
        <v>0.97088343436350899</v>
      </c>
      <c r="F48">
        <v>0.99629053831232794</v>
      </c>
    </row>
    <row r="49" spans="1:6" x14ac:dyDescent="0.25">
      <c r="A49">
        <v>138.501167297363</v>
      </c>
      <c r="B49" t="s">
        <v>58</v>
      </c>
      <c r="C49">
        <v>0.88851485562548305</v>
      </c>
      <c r="D49">
        <v>0.94096676335776397</v>
      </c>
      <c r="E49">
        <v>0.94537674915276804</v>
      </c>
      <c r="F49">
        <v>0.99554867597610597</v>
      </c>
    </row>
    <row r="50" spans="1:6" x14ac:dyDescent="0.25">
      <c r="A50">
        <v>132.51399993896399</v>
      </c>
      <c r="B50" t="s">
        <v>59</v>
      </c>
      <c r="C50">
        <v>8.3905533075824296E-2</v>
      </c>
      <c r="D50">
        <v>0.15482074870071599</v>
      </c>
      <c r="E50">
        <v>0.99826959681605798</v>
      </c>
      <c r="F50">
        <v>0.39069069696032999</v>
      </c>
    </row>
    <row r="51" spans="1:6" x14ac:dyDescent="0.25">
      <c r="A51">
        <v>135.68568229675199</v>
      </c>
      <c r="B51" t="s">
        <v>60</v>
      </c>
      <c r="C51">
        <v>0.87961602755686097</v>
      </c>
      <c r="D51">
        <v>0.93595289108083701</v>
      </c>
      <c r="E51">
        <v>0.96924450894476799</v>
      </c>
      <c r="F51">
        <v>0.99442909261805101</v>
      </c>
    </row>
    <row r="52" spans="1:6" x14ac:dyDescent="0.25">
      <c r="A52">
        <v>132.994651794433</v>
      </c>
      <c r="B52" t="s">
        <v>61</v>
      </c>
      <c r="C52">
        <v>0.89931396761927096</v>
      </c>
      <c r="D52">
        <v>0.94698821042898096</v>
      </c>
      <c r="E52">
        <v>0.97805196244787895</v>
      </c>
      <c r="F52">
        <v>0.99475137796774804</v>
      </c>
    </row>
    <row r="53" spans="1:6" x14ac:dyDescent="0.25">
      <c r="A53">
        <v>136.87753677368099</v>
      </c>
      <c r="B53" t="s">
        <v>62</v>
      </c>
      <c r="C53">
        <v>0.88194945534526603</v>
      </c>
      <c r="D53">
        <v>0.93727220233283204</v>
      </c>
      <c r="E53">
        <v>0.93416945219481196</v>
      </c>
      <c r="F53">
        <v>0.99672774036477296</v>
      </c>
    </row>
    <row r="54" spans="1:6" x14ac:dyDescent="0.25">
      <c r="A54">
        <v>134.84358787536601</v>
      </c>
      <c r="B54" t="s">
        <v>63</v>
      </c>
      <c r="C54">
        <v>0.905878595903712</v>
      </c>
      <c r="D54">
        <v>0.95061521531403803</v>
      </c>
      <c r="E54">
        <v>0.96493518433391501</v>
      </c>
      <c r="F54">
        <v>0.99639103637464799</v>
      </c>
    </row>
    <row r="55" spans="1:6" x14ac:dyDescent="0.25">
      <c r="A55">
        <v>135.23340225219701</v>
      </c>
      <c r="B55" t="s">
        <v>64</v>
      </c>
      <c r="C55">
        <v>0.15823105345694299</v>
      </c>
      <c r="D55">
        <v>0.27322882249560598</v>
      </c>
      <c r="E55">
        <v>0.98620668655989197</v>
      </c>
      <c r="F55">
        <v>0.73896826144235594</v>
      </c>
    </row>
    <row r="56" spans="1:6" x14ac:dyDescent="0.25">
      <c r="A56">
        <v>131.07442855834901</v>
      </c>
      <c r="B56" t="s">
        <v>65</v>
      </c>
      <c r="C56">
        <v>0.69617575264442599</v>
      </c>
      <c r="D56">
        <v>0.82087690684063996</v>
      </c>
      <c r="E56">
        <v>0.96170850505807404</v>
      </c>
      <c r="F56">
        <v>0.98992188969518102</v>
      </c>
    </row>
    <row r="57" spans="1:6" x14ac:dyDescent="0.25">
      <c r="A57">
        <v>130.250692367553</v>
      </c>
      <c r="B57" t="s">
        <v>66</v>
      </c>
      <c r="C57">
        <v>0.90120977990138695</v>
      </c>
      <c r="D57">
        <v>0.948038232738453</v>
      </c>
      <c r="E57">
        <v>0.95502168116566499</v>
      </c>
      <c r="F57">
        <v>0.99891135203987602</v>
      </c>
    </row>
    <row r="58" spans="1:6" x14ac:dyDescent="0.25">
      <c r="A58">
        <v>128.39102745056101</v>
      </c>
      <c r="B58" t="s">
        <v>67</v>
      </c>
      <c r="C58">
        <v>0.92063339500684804</v>
      </c>
      <c r="D58">
        <v>0.95867685879070696</v>
      </c>
      <c r="E58">
        <v>0.95277646532215898</v>
      </c>
      <c r="F58">
        <v>0.99930952642069604</v>
      </c>
    </row>
    <row r="59" spans="1:6" x14ac:dyDescent="0.25">
      <c r="A59">
        <v>133.095264434814</v>
      </c>
      <c r="B59" t="s">
        <v>68</v>
      </c>
      <c r="C59">
        <v>0.89163086048899198</v>
      </c>
      <c r="D59">
        <v>0.94271126477446299</v>
      </c>
      <c r="E59">
        <v>0.95925547146655699</v>
      </c>
      <c r="F59">
        <v>0.99816862661813299</v>
      </c>
    </row>
    <row r="60" spans="1:6" x14ac:dyDescent="0.25">
      <c r="A60">
        <v>131.52623176574701</v>
      </c>
      <c r="B60" t="s">
        <v>69</v>
      </c>
      <c r="C60">
        <v>8.13916965328393E-2</v>
      </c>
      <c r="D60">
        <v>0.15053138801379301</v>
      </c>
      <c r="E60">
        <v>0.61640117514308002</v>
      </c>
      <c r="F60">
        <v>0.67263593233999697</v>
      </c>
    </row>
    <row r="61" spans="1:6" x14ac:dyDescent="0.25">
      <c r="A61">
        <v>132.11703300476</v>
      </c>
      <c r="B61" t="s">
        <v>70</v>
      </c>
      <c r="C61">
        <v>0.89921181747826595</v>
      </c>
      <c r="D61">
        <v>0.94693157361691305</v>
      </c>
      <c r="E61">
        <v>0.98046878200244103</v>
      </c>
      <c r="F61">
        <v>0.99434805043609098</v>
      </c>
    </row>
    <row r="62" spans="1:6" x14ac:dyDescent="0.25">
      <c r="A62">
        <v>133.27956199645899</v>
      </c>
      <c r="B62" t="s">
        <v>71</v>
      </c>
      <c r="C62">
        <v>0.25956084760537901</v>
      </c>
      <c r="D62">
        <v>0.412144991802253</v>
      </c>
      <c r="E62">
        <v>0.96292821816805296</v>
      </c>
      <c r="F62">
        <v>0.83130703214367796</v>
      </c>
    </row>
    <row r="63" spans="1:6" x14ac:dyDescent="0.25">
      <c r="A63">
        <v>132.40647315979001</v>
      </c>
      <c r="B63" t="s">
        <v>72</v>
      </c>
      <c r="C63">
        <v>0.917382905279158</v>
      </c>
      <c r="D63">
        <v>0.95691153055898703</v>
      </c>
      <c r="E63">
        <v>0.97251149830462902</v>
      </c>
      <c r="F63">
        <v>0.99534984010204297</v>
      </c>
    </row>
    <row r="64" spans="1:6" x14ac:dyDescent="0.25">
      <c r="A64">
        <v>133.219480514526</v>
      </c>
      <c r="B64" t="s">
        <v>73</v>
      </c>
      <c r="C64">
        <v>0.74529375068804804</v>
      </c>
      <c r="D64">
        <v>0.85406110048148698</v>
      </c>
      <c r="E64">
        <v>0.92862694892780395</v>
      </c>
      <c r="F64">
        <v>0.98630517068899204</v>
      </c>
    </row>
    <row r="65" spans="1:6" x14ac:dyDescent="0.25">
      <c r="A65">
        <v>134.17816162109301</v>
      </c>
      <c r="B65" t="s">
        <v>74</v>
      </c>
      <c r="C65">
        <v>0.34379163622297598</v>
      </c>
      <c r="D65">
        <v>0.51167402290027497</v>
      </c>
      <c r="E65">
        <v>0.66979976763415905</v>
      </c>
      <c r="F65">
        <v>0.95419908688356903</v>
      </c>
    </row>
    <row r="66" spans="1:6" x14ac:dyDescent="0.25">
      <c r="A66">
        <v>132.87663459777801</v>
      </c>
      <c r="B66" t="s">
        <v>75</v>
      </c>
      <c r="C66">
        <v>0.34202462690801699</v>
      </c>
      <c r="D66">
        <v>0.50971438235978095</v>
      </c>
      <c r="E66">
        <v>0.95820361661257203</v>
      </c>
      <c r="F66">
        <v>0.93194035378343998</v>
      </c>
    </row>
    <row r="67" spans="1:6" x14ac:dyDescent="0.25">
      <c r="A67">
        <v>133.81600379943799</v>
      </c>
      <c r="B67" t="s">
        <v>76</v>
      </c>
      <c r="C67">
        <v>0.91390839184219297</v>
      </c>
      <c r="D67">
        <v>0.95501790549392895</v>
      </c>
      <c r="E67">
        <v>0.96043189772834703</v>
      </c>
      <c r="F67">
        <v>0.99811612416677098</v>
      </c>
    </row>
    <row r="68" spans="1:6" x14ac:dyDescent="0.25">
      <c r="A68">
        <v>131.24823570251399</v>
      </c>
      <c r="B68" t="s">
        <v>77</v>
      </c>
      <c r="C68">
        <v>0.43437249927638599</v>
      </c>
      <c r="D68">
        <v>0.60566205709537602</v>
      </c>
      <c r="E68">
        <v>0.95437371407194904</v>
      </c>
      <c r="F68">
        <v>0.95183918972812798</v>
      </c>
    </row>
    <row r="69" spans="1:6" x14ac:dyDescent="0.25">
      <c r="A69">
        <v>130.80930709838799</v>
      </c>
      <c r="B69" t="s">
        <v>78</v>
      </c>
      <c r="C69">
        <v>0.42688796457561901</v>
      </c>
      <c r="D69">
        <v>0.59834825883135501</v>
      </c>
      <c r="E69">
        <v>0.97970612412659197</v>
      </c>
      <c r="F69">
        <v>0.93622917805169303</v>
      </c>
    </row>
    <row r="70" spans="1:6" x14ac:dyDescent="0.25">
      <c r="A70">
        <v>130.98454475402801</v>
      </c>
      <c r="B70" t="s">
        <v>79</v>
      </c>
      <c r="C70">
        <v>0.34648772526823801</v>
      </c>
      <c r="D70">
        <v>0.51465411643349801</v>
      </c>
      <c r="E70">
        <v>0.98379000123238702</v>
      </c>
      <c r="F70">
        <v>0.88530420593426296</v>
      </c>
    </row>
    <row r="71" spans="1:6" x14ac:dyDescent="0.25">
      <c r="A71">
        <v>132.635831832885</v>
      </c>
      <c r="B71" t="s">
        <v>80</v>
      </c>
      <c r="C71">
        <v>0.13191148386552601</v>
      </c>
      <c r="D71">
        <v>0.233077384134389</v>
      </c>
      <c r="E71">
        <v>0.96939174257532401</v>
      </c>
      <c r="F71">
        <v>0.51053046578598504</v>
      </c>
    </row>
    <row r="72" spans="1:6" x14ac:dyDescent="0.25">
      <c r="A72">
        <v>132.187843322753</v>
      </c>
      <c r="B72" t="s">
        <v>81</v>
      </c>
      <c r="C72">
        <v>0.92200572065478603</v>
      </c>
      <c r="D72">
        <v>0.95942037086203702</v>
      </c>
      <c r="E72">
        <v>0.97068532852649003</v>
      </c>
      <c r="F72">
        <v>0.99613432808783997</v>
      </c>
    </row>
    <row r="73" spans="1:6" x14ac:dyDescent="0.25">
      <c r="A73">
        <v>138.27443122863701</v>
      </c>
      <c r="B73" t="s">
        <v>82</v>
      </c>
      <c r="C73">
        <v>0.59706895029575302</v>
      </c>
      <c r="D73">
        <v>0.74770591487009397</v>
      </c>
      <c r="E73">
        <v>0.84544105008203696</v>
      </c>
      <c r="F73">
        <v>0.97263480348065601</v>
      </c>
    </row>
    <row r="74" spans="1:6" x14ac:dyDescent="0.25">
      <c r="A74">
        <v>133.55374336242599</v>
      </c>
      <c r="B74" t="s">
        <v>83</v>
      </c>
      <c r="C74">
        <v>0.92424495572438004</v>
      </c>
      <c r="D74">
        <v>0.96063128862556801</v>
      </c>
      <c r="E74">
        <v>0.97675505561960496</v>
      </c>
      <c r="F74">
        <v>0.99723363075595695</v>
      </c>
    </row>
    <row r="75" spans="1:6" x14ac:dyDescent="0.25">
      <c r="A75">
        <v>134.78684425354001</v>
      </c>
      <c r="B75" t="s">
        <v>84</v>
      </c>
      <c r="C75">
        <v>0.937407443972751</v>
      </c>
      <c r="D75">
        <v>0.96769262128006495</v>
      </c>
      <c r="E75">
        <v>0.98323385988364398</v>
      </c>
      <c r="F75">
        <v>0.99736044087194398</v>
      </c>
    </row>
    <row r="76" spans="1:6" x14ac:dyDescent="0.25">
      <c r="A76">
        <v>134.08279418945301</v>
      </c>
      <c r="B76" t="s">
        <v>85</v>
      </c>
      <c r="C76">
        <v>0.88141886612743603</v>
      </c>
      <c r="D76">
        <v>0.93697249665799198</v>
      </c>
      <c r="E76">
        <v>0.98595804894289996</v>
      </c>
      <c r="F76">
        <v>0.99270576310751102</v>
      </c>
    </row>
    <row r="77" spans="1:6" x14ac:dyDescent="0.25">
      <c r="A77">
        <v>133.85796546936001</v>
      </c>
      <c r="B77" t="s">
        <v>86</v>
      </c>
      <c r="C77">
        <v>0.94019862265049203</v>
      </c>
      <c r="D77">
        <v>0.96917770343130405</v>
      </c>
      <c r="E77">
        <v>0.98871024610394098</v>
      </c>
      <c r="F77">
        <v>0.996212321215038</v>
      </c>
    </row>
    <row r="78" spans="1:6" x14ac:dyDescent="0.25">
      <c r="A78" s="3">
        <f>AVERAGE(A3:A77)</f>
        <v>155.42315800984653</v>
      </c>
      <c r="B78" s="4"/>
      <c r="C78" s="4">
        <f>SUBTOTAL(101,FastSAM_test1[Column3])</f>
        <v>0.72724318614453887</v>
      </c>
      <c r="D78" s="4">
        <f>SUBTOTAL(101,FastSAM_test1[Column4])</f>
        <v>0.80338093008162514</v>
      </c>
      <c r="E78" s="4">
        <f>SUBTOTAL(101,FastSAM_test1[Column5])</f>
        <v>0.91303020896213849</v>
      </c>
      <c r="F78" s="4">
        <f>SUBTOTAL(101,FastSAM_test1[Column6])</f>
        <v>0.95143439673367991</v>
      </c>
    </row>
    <row r="79" spans="1:6" x14ac:dyDescent="0.25">
      <c r="A79" s="5">
        <f>STDEVA(A4:A77)</f>
        <v>5.1933056907612567</v>
      </c>
      <c r="B79" s="6"/>
      <c r="C79" s="6">
        <f>STDEVA(C3:C77)</f>
        <v>0.27156014153914665</v>
      </c>
      <c r="D79" s="6">
        <f>STDEVA(D3:D77)</f>
        <v>0.25212052592619405</v>
      </c>
      <c r="E79" s="6">
        <f>STDEVA(E3:E77)</f>
        <v>0.13201432513691455</v>
      </c>
      <c r="F79" s="7">
        <f>STDEVA(F3:F77)</f>
        <v>0.12316501934484965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8F5C-1EB3-458C-A6A5-9B0737111C3B}">
  <dimension ref="A1:F79"/>
  <sheetViews>
    <sheetView topLeftCell="A49" workbookViewId="0">
      <selection activeCell="A78" sqref="A78:F79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517.80986785888604</v>
      </c>
      <c r="B3" t="s">
        <v>12</v>
      </c>
      <c r="C3">
        <v>0.87657606025871904</v>
      </c>
      <c r="D3">
        <v>0.93422918348203499</v>
      </c>
      <c r="E3">
        <v>0.97928290496661397</v>
      </c>
      <c r="F3">
        <v>0.99750465077772599</v>
      </c>
    </row>
    <row r="4" spans="1:6" x14ac:dyDescent="0.25">
      <c r="A4">
        <v>40.323972702026303</v>
      </c>
      <c r="B4" t="s">
        <v>13</v>
      </c>
      <c r="C4">
        <v>0.91720795443189695</v>
      </c>
      <c r="D4">
        <v>0.956816345677725</v>
      </c>
      <c r="E4">
        <v>0.97830952888509903</v>
      </c>
      <c r="F4">
        <v>0.99878618621651305</v>
      </c>
    </row>
    <row r="5" spans="1:6" x14ac:dyDescent="0.25">
      <c r="A5">
        <v>21.180152893066399</v>
      </c>
      <c r="B5" t="s">
        <v>14</v>
      </c>
      <c r="C5">
        <v>0.90580451127819495</v>
      </c>
      <c r="D5">
        <v>0.95057442242141099</v>
      </c>
      <c r="E5">
        <v>0.98040364583333295</v>
      </c>
      <c r="F5">
        <v>0.99487405990663902</v>
      </c>
    </row>
    <row r="6" spans="1:6" x14ac:dyDescent="0.25">
      <c r="A6">
        <v>20.396709442138601</v>
      </c>
      <c r="B6" t="s">
        <v>15</v>
      </c>
      <c r="C6">
        <v>0.87561916679701701</v>
      </c>
      <c r="D6">
        <v>0.93368545416637705</v>
      </c>
      <c r="E6">
        <v>0.93831540717977302</v>
      </c>
      <c r="F6">
        <v>0.99746934431036904</v>
      </c>
    </row>
    <row r="7" spans="1:6" x14ac:dyDescent="0.25">
      <c r="A7">
        <v>22.428989410400298</v>
      </c>
      <c r="B7" t="s">
        <v>16</v>
      </c>
      <c r="C7">
        <v>0.917541763608543</v>
      </c>
      <c r="D7">
        <v>0.95699794499584601</v>
      </c>
      <c r="E7">
        <v>0.96894506175572104</v>
      </c>
      <c r="F7">
        <v>0.99747757121301805</v>
      </c>
    </row>
    <row r="8" spans="1:6" x14ac:dyDescent="0.25">
      <c r="A8">
        <v>22.409915924072202</v>
      </c>
      <c r="B8" t="s">
        <v>17</v>
      </c>
      <c r="C8">
        <v>0.88176214160889499</v>
      </c>
      <c r="D8">
        <v>0.93716641663860201</v>
      </c>
      <c r="E8">
        <v>0.96302355334633605</v>
      </c>
      <c r="F8">
        <v>0.99560993788571595</v>
      </c>
    </row>
    <row r="9" spans="1:6" x14ac:dyDescent="0.25">
      <c r="A9">
        <v>20.787000656127901</v>
      </c>
      <c r="B9" t="s">
        <v>18</v>
      </c>
      <c r="C9">
        <v>0.90059041171376797</v>
      </c>
      <c r="D9">
        <v>0.94769541734318496</v>
      </c>
      <c r="E9">
        <v>0.965059387231745</v>
      </c>
      <c r="F9">
        <v>0.99571112620589797</v>
      </c>
    </row>
    <row r="10" spans="1:6" x14ac:dyDescent="0.25">
      <c r="A10">
        <v>20.8439826965332</v>
      </c>
      <c r="B10" t="s">
        <v>19</v>
      </c>
      <c r="C10">
        <v>0.90268093291656604</v>
      </c>
      <c r="D10">
        <v>0.94885160964205595</v>
      </c>
      <c r="E10">
        <v>0.96121103501248095</v>
      </c>
      <c r="F10">
        <v>0.99696617873290205</v>
      </c>
    </row>
    <row r="11" spans="1:6" x14ac:dyDescent="0.25">
      <c r="A11">
        <v>21.484375</v>
      </c>
      <c r="B11" t="s">
        <v>20</v>
      </c>
      <c r="C11">
        <v>0.85706028970848502</v>
      </c>
      <c r="D11">
        <v>0.92302904160749999</v>
      </c>
      <c r="E11">
        <v>0.93160043976755103</v>
      </c>
      <c r="F11">
        <v>0.99555952046830498</v>
      </c>
    </row>
    <row r="12" spans="1:6" x14ac:dyDescent="0.25">
      <c r="A12">
        <v>22.758722305297798</v>
      </c>
      <c r="B12" t="s">
        <v>21</v>
      </c>
      <c r="C12">
        <v>0.85022387105027497</v>
      </c>
      <c r="D12">
        <v>0.91904972620167003</v>
      </c>
      <c r="E12">
        <v>0.91813560258606397</v>
      </c>
      <c r="F12">
        <v>0.99714435855240402</v>
      </c>
    </row>
    <row r="13" spans="1:6" x14ac:dyDescent="0.25">
      <c r="A13">
        <v>20.751714706420898</v>
      </c>
      <c r="B13" t="s">
        <v>22</v>
      </c>
      <c r="C13">
        <v>0.94265137369965302</v>
      </c>
      <c r="D13">
        <v>0.97047919813263706</v>
      </c>
      <c r="E13">
        <v>0.97807081807081797</v>
      </c>
      <c r="F13">
        <v>0.99766195850482797</v>
      </c>
    </row>
    <row r="14" spans="1:6" x14ac:dyDescent="0.25">
      <c r="A14">
        <v>21.353006362915</v>
      </c>
      <c r="B14" t="s">
        <v>23</v>
      </c>
      <c r="C14">
        <v>0.89280698488976096</v>
      </c>
      <c r="D14">
        <v>0.94336822720649305</v>
      </c>
      <c r="E14">
        <v>0.96980167993089095</v>
      </c>
      <c r="F14">
        <v>0.99528048048168805</v>
      </c>
    </row>
    <row r="15" spans="1:6" x14ac:dyDescent="0.25">
      <c r="A15">
        <v>20.858526229858398</v>
      </c>
      <c r="B15" t="s">
        <v>24</v>
      </c>
      <c r="C15">
        <v>0.86376499661206096</v>
      </c>
      <c r="D15">
        <v>0.92690333618477305</v>
      </c>
      <c r="E15">
        <v>0.93980658311288401</v>
      </c>
      <c r="F15">
        <v>0.99802051063024799</v>
      </c>
    </row>
    <row r="16" spans="1:6" x14ac:dyDescent="0.25">
      <c r="A16">
        <v>20.6625461578369</v>
      </c>
      <c r="B16" t="s">
        <v>25</v>
      </c>
      <c r="C16">
        <v>0.87096895862407098</v>
      </c>
      <c r="D16">
        <v>0.93103517790545298</v>
      </c>
      <c r="E16">
        <v>0.95091418217756496</v>
      </c>
      <c r="F16">
        <v>0.99782386272664403</v>
      </c>
    </row>
    <row r="17" spans="1:6" x14ac:dyDescent="0.25">
      <c r="A17">
        <v>21.628856658935501</v>
      </c>
      <c r="B17" t="s">
        <v>26</v>
      </c>
      <c r="C17">
        <v>0.90988742661184596</v>
      </c>
      <c r="D17">
        <v>0.9528178613396</v>
      </c>
      <c r="E17">
        <v>0.94379469606674604</v>
      </c>
      <c r="F17">
        <v>0.99798870215503299</v>
      </c>
    </row>
    <row r="18" spans="1:6" x14ac:dyDescent="0.25">
      <c r="A18">
        <v>20.7061767578125</v>
      </c>
      <c r="B18" t="s">
        <v>27</v>
      </c>
      <c r="C18">
        <v>0.89441738336250798</v>
      </c>
      <c r="D18">
        <v>0.94426644436186102</v>
      </c>
      <c r="E18">
        <v>0.95418561221175702</v>
      </c>
      <c r="F18">
        <v>0.99670573354467795</v>
      </c>
    </row>
    <row r="19" spans="1:6" x14ac:dyDescent="0.25">
      <c r="A19">
        <v>21.645307540893501</v>
      </c>
      <c r="B19" t="s">
        <v>28</v>
      </c>
      <c r="C19">
        <v>0.91416826358409997</v>
      </c>
      <c r="D19">
        <v>0.95515977458784695</v>
      </c>
      <c r="E19">
        <v>0.95737036317731505</v>
      </c>
      <c r="F19">
        <v>0.99704090442932003</v>
      </c>
    </row>
    <row r="20" spans="1:6" x14ac:dyDescent="0.25">
      <c r="A20">
        <v>20.4620361328125</v>
      </c>
      <c r="B20" t="s">
        <v>29</v>
      </c>
      <c r="C20">
        <v>0.89021598107303601</v>
      </c>
      <c r="D20">
        <v>0.94191985464822803</v>
      </c>
      <c r="E20">
        <v>0.95251510697370501</v>
      </c>
      <c r="F20">
        <v>0.99832630916995002</v>
      </c>
    </row>
    <row r="21" spans="1:6" x14ac:dyDescent="0.25">
      <c r="A21">
        <v>22.179841995239201</v>
      </c>
      <c r="B21" t="s">
        <v>30</v>
      </c>
      <c r="C21">
        <v>0.92343808286489704</v>
      </c>
      <c r="D21">
        <v>0.96019527853942299</v>
      </c>
      <c r="E21">
        <v>0.95568305865438297</v>
      </c>
      <c r="F21">
        <v>0.99730548210605896</v>
      </c>
    </row>
    <row r="22" spans="1:6" x14ac:dyDescent="0.25">
      <c r="A22">
        <v>20.5137729644775</v>
      </c>
      <c r="B22" t="s">
        <v>31</v>
      </c>
      <c r="C22">
        <v>0.91026173660157805</v>
      </c>
      <c r="D22">
        <v>0.95302305350152205</v>
      </c>
      <c r="E22">
        <v>0.99305566796704203</v>
      </c>
      <c r="F22">
        <v>0.99430583127870997</v>
      </c>
    </row>
    <row r="23" spans="1:6" x14ac:dyDescent="0.25">
      <c r="A23">
        <v>21.9993591308593</v>
      </c>
      <c r="B23" t="s">
        <v>32</v>
      </c>
      <c r="C23">
        <v>0.80745736828709502</v>
      </c>
      <c r="D23">
        <v>0.89347320988523504</v>
      </c>
      <c r="E23">
        <v>0.88994342886530398</v>
      </c>
      <c r="F23">
        <v>0.99787283133450799</v>
      </c>
    </row>
    <row r="24" spans="1:6" x14ac:dyDescent="0.25">
      <c r="A24">
        <v>20.289659500121999</v>
      </c>
      <c r="B24" t="s">
        <v>33</v>
      </c>
      <c r="C24">
        <v>0.88411393810980299</v>
      </c>
      <c r="D24">
        <v>0.93849307117463499</v>
      </c>
      <c r="E24">
        <v>0.96090703116294596</v>
      </c>
      <c r="F24">
        <v>0.99529822162797899</v>
      </c>
    </row>
    <row r="25" spans="1:6" x14ac:dyDescent="0.25">
      <c r="A25">
        <v>21.253108978271399</v>
      </c>
      <c r="B25" t="s">
        <v>34</v>
      </c>
      <c r="C25">
        <v>0.85207100591715901</v>
      </c>
      <c r="D25">
        <v>0.92012779552715596</v>
      </c>
      <c r="E25">
        <v>0.88737781555461104</v>
      </c>
      <c r="F25">
        <v>0.99784813555241203</v>
      </c>
    </row>
    <row r="26" spans="1:6" x14ac:dyDescent="0.25">
      <c r="A26">
        <v>20.379066467285099</v>
      </c>
      <c r="B26" t="s">
        <v>35</v>
      </c>
      <c r="C26">
        <v>0.86636253192175094</v>
      </c>
      <c r="D26">
        <v>0.92839683298793696</v>
      </c>
      <c r="E26">
        <v>0.91701876394173998</v>
      </c>
      <c r="F26">
        <v>0.99779508763734903</v>
      </c>
    </row>
    <row r="27" spans="1:6" x14ac:dyDescent="0.25">
      <c r="A27">
        <v>21.389722824096602</v>
      </c>
      <c r="B27" t="s">
        <v>36</v>
      </c>
      <c r="C27">
        <v>0.84817764904658399</v>
      </c>
      <c r="D27">
        <v>0.91785294501763004</v>
      </c>
      <c r="E27">
        <v>0.87970960070096305</v>
      </c>
      <c r="F27">
        <v>0.99913039998672604</v>
      </c>
    </row>
    <row r="28" spans="1:6" x14ac:dyDescent="0.25">
      <c r="A28">
        <v>20.398855209350501</v>
      </c>
      <c r="B28" t="s">
        <v>37</v>
      </c>
      <c r="C28">
        <v>0.79789641044456605</v>
      </c>
      <c r="D28">
        <v>0.88758885752185301</v>
      </c>
      <c r="E28">
        <v>0.84958979033728299</v>
      </c>
      <c r="F28">
        <v>0.99804491776865101</v>
      </c>
    </row>
    <row r="29" spans="1:6" x14ac:dyDescent="0.25">
      <c r="A29">
        <v>21.012067794799801</v>
      </c>
      <c r="B29" t="s">
        <v>38</v>
      </c>
      <c r="C29">
        <v>0.90115042155858405</v>
      </c>
      <c r="D29">
        <v>0.94800538804268897</v>
      </c>
      <c r="E29">
        <v>0.95181224252007801</v>
      </c>
      <c r="F29">
        <v>0.99868136587460699</v>
      </c>
    </row>
    <row r="30" spans="1:6" x14ac:dyDescent="0.25">
      <c r="A30">
        <v>20.6451416015625</v>
      </c>
      <c r="B30" t="s">
        <v>39</v>
      </c>
      <c r="C30">
        <v>0.91557473655019395</v>
      </c>
      <c r="D30">
        <v>0.95592692791415201</v>
      </c>
      <c r="E30">
        <v>0.97267487893351001</v>
      </c>
      <c r="F30">
        <v>0.99659347036560597</v>
      </c>
    </row>
    <row r="31" spans="1:6" x14ac:dyDescent="0.25">
      <c r="A31">
        <v>20.876646041870099</v>
      </c>
      <c r="B31" t="s">
        <v>40</v>
      </c>
      <c r="C31">
        <v>0.89685778599271604</v>
      </c>
      <c r="D31">
        <v>0.94562469850458197</v>
      </c>
      <c r="E31">
        <v>0.94939847730486804</v>
      </c>
      <c r="F31">
        <v>0.99696676988074695</v>
      </c>
    </row>
    <row r="32" spans="1:6" x14ac:dyDescent="0.25">
      <c r="A32">
        <v>20.8194255828857</v>
      </c>
      <c r="B32" t="s">
        <v>41</v>
      </c>
      <c r="C32">
        <v>0.88536436422852405</v>
      </c>
      <c r="D32">
        <v>0.939197092113076</v>
      </c>
      <c r="E32">
        <v>0.96741548042704595</v>
      </c>
      <c r="F32">
        <v>0.99755285826155005</v>
      </c>
    </row>
    <row r="33" spans="1:6" x14ac:dyDescent="0.25">
      <c r="A33">
        <v>20.964622497558501</v>
      </c>
      <c r="B33" t="s">
        <v>42</v>
      </c>
      <c r="C33">
        <v>0.89869407153157099</v>
      </c>
      <c r="D33">
        <v>0.94664441734591198</v>
      </c>
      <c r="E33">
        <v>0.91810523694912405</v>
      </c>
      <c r="F33">
        <v>0.998959395429736</v>
      </c>
    </row>
    <row r="34" spans="1:6" x14ac:dyDescent="0.25">
      <c r="A34">
        <v>20.417213439941399</v>
      </c>
      <c r="B34" t="s">
        <v>43</v>
      </c>
      <c r="C34">
        <v>0.87215069943710599</v>
      </c>
      <c r="D34">
        <v>0.93170993093593701</v>
      </c>
      <c r="E34">
        <v>0.95478950579621702</v>
      </c>
      <c r="F34">
        <v>0.996942299438076</v>
      </c>
    </row>
    <row r="35" spans="1:6" x14ac:dyDescent="0.25">
      <c r="A35">
        <v>22.1698284149169</v>
      </c>
      <c r="B35" t="s">
        <v>44</v>
      </c>
      <c r="C35">
        <v>0.91156794116343898</v>
      </c>
      <c r="D35">
        <v>0.95373846938302498</v>
      </c>
      <c r="E35">
        <v>0.95493363037222601</v>
      </c>
      <c r="F35">
        <v>0.99900197657322498</v>
      </c>
    </row>
    <row r="36" spans="1:6" x14ac:dyDescent="0.25">
      <c r="A36">
        <v>20.377159118652301</v>
      </c>
      <c r="B36" t="s">
        <v>45</v>
      </c>
      <c r="C36">
        <v>0.87865058470581003</v>
      </c>
      <c r="D36">
        <v>0.93540607482727101</v>
      </c>
      <c r="E36">
        <v>0.94601186552406002</v>
      </c>
      <c r="F36">
        <v>0.99652166457640801</v>
      </c>
    </row>
    <row r="37" spans="1:6" x14ac:dyDescent="0.25">
      <c r="A37">
        <v>21.204471588134702</v>
      </c>
      <c r="B37" t="s">
        <v>46</v>
      </c>
      <c r="C37">
        <v>0.86511970155894302</v>
      </c>
      <c r="D37">
        <v>0.92768276570757402</v>
      </c>
      <c r="E37">
        <v>0.91522140555414699</v>
      </c>
      <c r="F37">
        <v>0.996779545330995</v>
      </c>
    </row>
    <row r="38" spans="1:6" x14ac:dyDescent="0.25">
      <c r="A38">
        <v>20.4777717590332</v>
      </c>
      <c r="B38" t="s">
        <v>47</v>
      </c>
      <c r="C38">
        <v>0.89768753347405505</v>
      </c>
      <c r="D38">
        <v>0.94608571499721905</v>
      </c>
      <c r="E38">
        <v>0.95311925071082104</v>
      </c>
      <c r="F38">
        <v>0.99626612836346795</v>
      </c>
    </row>
    <row r="39" spans="1:6" x14ac:dyDescent="0.25">
      <c r="A39">
        <v>21.0084915161132</v>
      </c>
      <c r="B39" t="s">
        <v>48</v>
      </c>
      <c r="C39">
        <v>0.87783837735714498</v>
      </c>
      <c r="D39">
        <v>0.934945614001784</v>
      </c>
      <c r="E39">
        <v>0.92942330917874305</v>
      </c>
      <c r="F39">
        <v>0.99847663587977398</v>
      </c>
    </row>
    <row r="40" spans="1:6" x14ac:dyDescent="0.25">
      <c r="A40">
        <v>21.600723266601499</v>
      </c>
      <c r="B40" t="s">
        <v>49</v>
      </c>
      <c r="C40">
        <v>0.887910226550921</v>
      </c>
      <c r="D40">
        <v>0.94062759347733405</v>
      </c>
      <c r="E40">
        <v>0.97006708304418199</v>
      </c>
      <c r="F40">
        <v>0.99805250637560705</v>
      </c>
    </row>
    <row r="41" spans="1:6" x14ac:dyDescent="0.25">
      <c r="A41">
        <v>21.121501922607401</v>
      </c>
      <c r="B41" t="s">
        <v>50</v>
      </c>
      <c r="C41">
        <v>0.890993673241533</v>
      </c>
      <c r="D41">
        <v>0.94235500186967303</v>
      </c>
      <c r="E41">
        <v>0.962568349951753</v>
      </c>
      <c r="F41">
        <v>0.99599932721418605</v>
      </c>
    </row>
    <row r="42" spans="1:6" x14ac:dyDescent="0.25">
      <c r="A42">
        <v>21.0461616516113</v>
      </c>
      <c r="B42" t="s">
        <v>51</v>
      </c>
      <c r="C42">
        <v>0.87876311635249305</v>
      </c>
      <c r="D42">
        <v>0.93546984045392501</v>
      </c>
      <c r="E42">
        <v>0.95145884860549701</v>
      </c>
      <c r="F42">
        <v>0.99588124283547497</v>
      </c>
    </row>
    <row r="43" spans="1:6" x14ac:dyDescent="0.25">
      <c r="A43">
        <v>21.157026290893501</v>
      </c>
      <c r="B43" t="s">
        <v>52</v>
      </c>
      <c r="C43">
        <v>0.89800403750976798</v>
      </c>
      <c r="D43">
        <v>0.94626146179116999</v>
      </c>
      <c r="E43">
        <v>0.98433178078769301</v>
      </c>
      <c r="F43">
        <v>0.99457250546326104</v>
      </c>
    </row>
    <row r="44" spans="1:6" x14ac:dyDescent="0.25">
      <c r="A44">
        <v>22.558212280273398</v>
      </c>
      <c r="B44" t="s">
        <v>53</v>
      </c>
      <c r="C44">
        <v>0.940920174281488</v>
      </c>
      <c r="D44">
        <v>0.96956091935085198</v>
      </c>
      <c r="E44">
        <v>0.98712572339176297</v>
      </c>
      <c r="F44">
        <v>0.99640443872193296</v>
      </c>
    </row>
    <row r="45" spans="1:6" x14ac:dyDescent="0.25">
      <c r="A45">
        <v>21.0216045379638</v>
      </c>
      <c r="B45" t="s">
        <v>54</v>
      </c>
      <c r="C45">
        <v>0.90716732951121604</v>
      </c>
      <c r="D45">
        <v>0.95132431798075301</v>
      </c>
      <c r="E45">
        <v>0.95826210308078397</v>
      </c>
      <c r="F45">
        <v>0.99688302015922003</v>
      </c>
    </row>
    <row r="46" spans="1:6" x14ac:dyDescent="0.25">
      <c r="A46">
        <v>20.290136337280199</v>
      </c>
      <c r="B46" t="s">
        <v>55</v>
      </c>
      <c r="C46">
        <v>0.92663860493084704</v>
      </c>
      <c r="D46">
        <v>0.961922596754057</v>
      </c>
      <c r="E46">
        <v>0.98987054056724899</v>
      </c>
      <c r="F46">
        <v>0.99580609437350498</v>
      </c>
    </row>
    <row r="47" spans="1:6" x14ac:dyDescent="0.25">
      <c r="A47">
        <v>21.049737930297798</v>
      </c>
      <c r="B47" t="s">
        <v>56</v>
      </c>
      <c r="C47">
        <v>0.83082953543764804</v>
      </c>
      <c r="D47">
        <v>0.90759900837960195</v>
      </c>
      <c r="E47">
        <v>0.90069739544151395</v>
      </c>
      <c r="F47">
        <v>0.99586148792316898</v>
      </c>
    </row>
    <row r="48" spans="1:6" x14ac:dyDescent="0.25">
      <c r="A48">
        <v>20.450353622436499</v>
      </c>
      <c r="B48" t="s">
        <v>57</v>
      </c>
      <c r="C48">
        <v>0.879731347946061</v>
      </c>
      <c r="D48">
        <v>0.93601816973188501</v>
      </c>
      <c r="E48">
        <v>0.95425537922855297</v>
      </c>
      <c r="F48">
        <v>0.99703897303688804</v>
      </c>
    </row>
    <row r="49" spans="1:6" x14ac:dyDescent="0.25">
      <c r="A49">
        <v>20.759344100952099</v>
      </c>
      <c r="B49" t="s">
        <v>58</v>
      </c>
      <c r="C49">
        <v>0.83366838211643601</v>
      </c>
      <c r="D49">
        <v>0.90929024053325103</v>
      </c>
      <c r="E49">
        <v>0.93279049889783605</v>
      </c>
      <c r="F49">
        <v>0.99742484754181504</v>
      </c>
    </row>
    <row r="50" spans="1:6" x14ac:dyDescent="0.25">
      <c r="A50">
        <v>22.474288940429599</v>
      </c>
      <c r="B50" t="s">
        <v>59</v>
      </c>
      <c r="C50">
        <v>0.930757311640519</v>
      </c>
      <c r="D50">
        <v>0.964137031649696</v>
      </c>
      <c r="E50">
        <v>0.98718133075864301</v>
      </c>
      <c r="F50">
        <v>0.99704869601568902</v>
      </c>
    </row>
    <row r="51" spans="1:6" x14ac:dyDescent="0.25">
      <c r="A51">
        <v>21.1169719696044</v>
      </c>
      <c r="B51" t="s">
        <v>60</v>
      </c>
      <c r="C51">
        <v>0.88474332936480105</v>
      </c>
      <c r="D51">
        <v>0.93884755083651406</v>
      </c>
      <c r="E51">
        <v>0.948958705000845</v>
      </c>
      <c r="F51">
        <v>0.99611684625624797</v>
      </c>
    </row>
    <row r="52" spans="1:6" x14ac:dyDescent="0.25">
      <c r="A52">
        <v>20.409822463989201</v>
      </c>
      <c r="B52" t="s">
        <v>61</v>
      </c>
      <c r="C52">
        <v>0.89596167008897998</v>
      </c>
      <c r="D52">
        <v>0.94512635379061305</v>
      </c>
      <c r="E52">
        <v>0.97089305402425496</v>
      </c>
      <c r="F52">
        <v>0.99582253169398705</v>
      </c>
    </row>
    <row r="53" spans="1:6" x14ac:dyDescent="0.25">
      <c r="A53">
        <v>21.213054656982401</v>
      </c>
      <c r="B53" t="s">
        <v>62</v>
      </c>
      <c r="C53">
        <v>0.87441929917706396</v>
      </c>
      <c r="D53">
        <v>0.93300287674264204</v>
      </c>
      <c r="E53">
        <v>0.95601146422870398</v>
      </c>
      <c r="F53">
        <v>0.99482207423035696</v>
      </c>
    </row>
    <row r="54" spans="1:6" x14ac:dyDescent="0.25">
      <c r="A54">
        <v>20.364761352538999</v>
      </c>
      <c r="B54" t="s">
        <v>63</v>
      </c>
      <c r="C54">
        <v>0.90246686851640401</v>
      </c>
      <c r="D54">
        <v>0.94873333507266</v>
      </c>
      <c r="E54">
        <v>0.95270199462046301</v>
      </c>
      <c r="F54">
        <v>0.99678510110741003</v>
      </c>
    </row>
    <row r="55" spans="1:6" x14ac:dyDescent="0.25">
      <c r="A55">
        <v>22.181749343871999</v>
      </c>
      <c r="B55" t="s">
        <v>64</v>
      </c>
      <c r="C55">
        <v>0.91812293210308005</v>
      </c>
      <c r="D55">
        <v>0.957313962245815</v>
      </c>
      <c r="E55">
        <v>0.94917377270318404</v>
      </c>
      <c r="F55">
        <v>0.99786475785887696</v>
      </c>
    </row>
    <row r="56" spans="1:6" x14ac:dyDescent="0.25">
      <c r="A56">
        <v>20.304918289184499</v>
      </c>
      <c r="B56" t="s">
        <v>65</v>
      </c>
      <c r="C56">
        <v>0.85908836016983003</v>
      </c>
      <c r="D56">
        <v>0.92420390399448404</v>
      </c>
      <c r="E56">
        <v>0.96480495177774495</v>
      </c>
      <c r="F56">
        <v>0.99311278952668602</v>
      </c>
    </row>
    <row r="57" spans="1:6" x14ac:dyDescent="0.25">
      <c r="A57">
        <v>20.895481109619102</v>
      </c>
      <c r="B57" t="s">
        <v>66</v>
      </c>
      <c r="C57">
        <v>0.94021796449288098</v>
      </c>
      <c r="D57">
        <v>0.96918797959756797</v>
      </c>
      <c r="E57">
        <v>0.99486654887008197</v>
      </c>
      <c r="F57">
        <v>0.99685869979322705</v>
      </c>
    </row>
    <row r="58" spans="1:6" x14ac:dyDescent="0.25">
      <c r="A58">
        <v>21.130084991455</v>
      </c>
      <c r="B58" t="s">
        <v>67</v>
      </c>
      <c r="C58">
        <v>0.93019380029522403</v>
      </c>
      <c r="D58">
        <v>0.96383461614367405</v>
      </c>
      <c r="E58">
        <v>0.96080070824316299</v>
      </c>
      <c r="F58">
        <v>0.99934937621809605</v>
      </c>
    </row>
    <row r="59" spans="1:6" x14ac:dyDescent="0.25">
      <c r="A59">
        <v>20.972251892089801</v>
      </c>
      <c r="B59" t="s">
        <v>68</v>
      </c>
      <c r="C59">
        <v>0.90459527071296597</v>
      </c>
      <c r="D59">
        <v>0.94990813494390303</v>
      </c>
      <c r="E59">
        <v>0.93715193681255105</v>
      </c>
      <c r="F59">
        <v>0.99762846974799502</v>
      </c>
    </row>
    <row r="60" spans="1:6" x14ac:dyDescent="0.25">
      <c r="A60">
        <v>20.591259002685501</v>
      </c>
      <c r="B60" t="s">
        <v>69</v>
      </c>
      <c r="C60">
        <v>0.87244971092742096</v>
      </c>
      <c r="D60">
        <v>0.93188052617477002</v>
      </c>
      <c r="E60">
        <v>0.90150336962156497</v>
      </c>
      <c r="F60">
        <v>0.99866179529733601</v>
      </c>
    </row>
    <row r="61" spans="1:6" x14ac:dyDescent="0.25">
      <c r="A61">
        <v>21.56662940979</v>
      </c>
      <c r="B61" t="s">
        <v>70</v>
      </c>
      <c r="C61">
        <v>0.92618177312434102</v>
      </c>
      <c r="D61">
        <v>0.96167639632685198</v>
      </c>
      <c r="E61">
        <v>0.97816236729753103</v>
      </c>
      <c r="F61">
        <v>0.99652536905927702</v>
      </c>
    </row>
    <row r="62" spans="1:6" x14ac:dyDescent="0.25">
      <c r="A62">
        <v>20.4260349273681</v>
      </c>
      <c r="B62" t="s">
        <v>71</v>
      </c>
      <c r="C62">
        <v>0.900994667760459</v>
      </c>
      <c r="D62">
        <v>0.94791919518839096</v>
      </c>
      <c r="E62">
        <v>0.952182276286202</v>
      </c>
      <c r="F62">
        <v>0.99792717945169596</v>
      </c>
    </row>
    <row r="63" spans="1:6" x14ac:dyDescent="0.25">
      <c r="A63">
        <v>20.786046981811499</v>
      </c>
      <c r="B63" t="s">
        <v>72</v>
      </c>
      <c r="C63">
        <v>0.92093950043931205</v>
      </c>
      <c r="D63">
        <v>0.95884279565149899</v>
      </c>
      <c r="E63">
        <v>0.96558587902416504</v>
      </c>
      <c r="F63">
        <v>0.99701656328742905</v>
      </c>
    </row>
    <row r="64" spans="1:6" x14ac:dyDescent="0.25">
      <c r="A64">
        <v>21.741151809692301</v>
      </c>
      <c r="B64" t="s">
        <v>73</v>
      </c>
      <c r="C64">
        <v>0.86056191467221599</v>
      </c>
      <c r="D64">
        <v>0.92505592841163298</v>
      </c>
      <c r="E64">
        <v>0.93518032389645001</v>
      </c>
      <c r="F64">
        <v>0.99790294144938296</v>
      </c>
    </row>
    <row r="65" spans="1:6" x14ac:dyDescent="0.25">
      <c r="A65">
        <v>20.929336547851499</v>
      </c>
      <c r="B65" t="s">
        <v>74</v>
      </c>
      <c r="C65">
        <v>0.91676211453744405</v>
      </c>
      <c r="D65">
        <v>0.956573700601004</v>
      </c>
      <c r="E65">
        <v>0.96060284342688296</v>
      </c>
      <c r="F65">
        <v>0.99793881708792198</v>
      </c>
    </row>
    <row r="66" spans="1:6" x14ac:dyDescent="0.25">
      <c r="A66">
        <v>20.4086303710937</v>
      </c>
      <c r="B66" t="s">
        <v>75</v>
      </c>
      <c r="C66">
        <v>0.91516727098583805</v>
      </c>
      <c r="D66">
        <v>0.95570479388440299</v>
      </c>
      <c r="E66">
        <v>0.98109249860650605</v>
      </c>
      <c r="F66">
        <v>0.99499083029206303</v>
      </c>
    </row>
    <row r="67" spans="1:6" x14ac:dyDescent="0.25">
      <c r="A67">
        <v>21.034479141235298</v>
      </c>
      <c r="B67" t="s">
        <v>76</v>
      </c>
      <c r="C67">
        <v>0.92132908040739403</v>
      </c>
      <c r="D67">
        <v>0.95905390680084601</v>
      </c>
      <c r="E67">
        <v>0.99329491741462606</v>
      </c>
      <c r="F67">
        <v>0.99395536650021499</v>
      </c>
    </row>
    <row r="68" spans="1:6" x14ac:dyDescent="0.25">
      <c r="A68">
        <v>20.690441131591701</v>
      </c>
      <c r="B68" t="s">
        <v>77</v>
      </c>
      <c r="C68">
        <v>0.90310869071930999</v>
      </c>
      <c r="D68">
        <v>0.94908787409085404</v>
      </c>
      <c r="E68">
        <v>0.95808959822825601</v>
      </c>
      <c r="F68">
        <v>0.997488667226064</v>
      </c>
    </row>
    <row r="69" spans="1:6" x14ac:dyDescent="0.25">
      <c r="A69">
        <v>22.6271152496337</v>
      </c>
      <c r="B69" t="s">
        <v>78</v>
      </c>
      <c r="C69">
        <v>0.87257902791704001</v>
      </c>
      <c r="D69">
        <v>0.93195428861301699</v>
      </c>
      <c r="E69">
        <v>0.91952840419319803</v>
      </c>
      <c r="F69">
        <v>0.99808910215452495</v>
      </c>
    </row>
    <row r="70" spans="1:6" x14ac:dyDescent="0.25">
      <c r="A70">
        <v>20.522594451904201</v>
      </c>
      <c r="B70" t="s">
        <v>79</v>
      </c>
      <c r="C70">
        <v>0.91520723126701198</v>
      </c>
      <c r="D70">
        <v>0.95572658282159195</v>
      </c>
      <c r="E70">
        <v>0.95329802599903701</v>
      </c>
      <c r="F70">
        <v>0.99846121895983897</v>
      </c>
    </row>
    <row r="71" spans="1:6" x14ac:dyDescent="0.25">
      <c r="A71">
        <v>21.730422973632798</v>
      </c>
      <c r="B71" t="s">
        <v>80</v>
      </c>
      <c r="C71">
        <v>0.81547535458502995</v>
      </c>
      <c r="D71">
        <v>0.89836014851485102</v>
      </c>
      <c r="E71">
        <v>0.86452285246389704</v>
      </c>
      <c r="F71">
        <v>0.99841833478841302</v>
      </c>
    </row>
    <row r="72" spans="1:6" x14ac:dyDescent="0.25">
      <c r="A72">
        <v>20.419836044311499</v>
      </c>
      <c r="B72" t="s">
        <v>81</v>
      </c>
      <c r="C72">
        <v>0.71724410486101897</v>
      </c>
      <c r="D72">
        <v>0.83534321396790301</v>
      </c>
      <c r="E72">
        <v>0.96999821842152101</v>
      </c>
      <c r="F72">
        <v>0.99030877668148598</v>
      </c>
    </row>
    <row r="73" spans="1:6" x14ac:dyDescent="0.25">
      <c r="A73">
        <v>24.803400039672798</v>
      </c>
      <c r="B73" t="s">
        <v>82</v>
      </c>
      <c r="C73">
        <v>0.77290090916036303</v>
      </c>
      <c r="D73">
        <v>0.87190536726207102</v>
      </c>
      <c r="E73">
        <v>0.85773029802026302</v>
      </c>
      <c r="F73">
        <v>0.99747411430583999</v>
      </c>
    </row>
    <row r="74" spans="1:6" x14ac:dyDescent="0.25">
      <c r="A74">
        <v>20.485877990722599</v>
      </c>
      <c r="B74" t="s">
        <v>83</v>
      </c>
      <c r="C74">
        <v>0.87445486472926504</v>
      </c>
      <c r="D74">
        <v>0.933023121744322</v>
      </c>
      <c r="E74">
        <v>0.94475253304423901</v>
      </c>
      <c r="F74">
        <v>0.99811827720860802</v>
      </c>
    </row>
    <row r="75" spans="1:6" x14ac:dyDescent="0.25">
      <c r="A75">
        <v>21.7387676239013</v>
      </c>
      <c r="B75" t="s">
        <v>84</v>
      </c>
      <c r="C75">
        <v>0.89805029000456504</v>
      </c>
      <c r="D75">
        <v>0.94628713973896295</v>
      </c>
      <c r="E75">
        <v>0.96647861692447601</v>
      </c>
      <c r="F75">
        <v>0.99578614086185302</v>
      </c>
    </row>
    <row r="76" spans="1:6" x14ac:dyDescent="0.25">
      <c r="A76">
        <v>21.007061004638601</v>
      </c>
      <c r="B76" t="s">
        <v>85</v>
      </c>
      <c r="C76">
        <v>0.88133498145859002</v>
      </c>
      <c r="D76">
        <v>0.93692509855453299</v>
      </c>
      <c r="E76">
        <v>0.96749521988527698</v>
      </c>
      <c r="F76">
        <v>0.99355510285405202</v>
      </c>
    </row>
    <row r="77" spans="1:6" x14ac:dyDescent="0.25">
      <c r="A77">
        <v>21.583318710327099</v>
      </c>
      <c r="B77" t="s">
        <v>86</v>
      </c>
      <c r="C77">
        <v>0.93616404417384802</v>
      </c>
      <c r="D77">
        <v>0.96702967601415701</v>
      </c>
      <c r="E77">
        <v>0.99004905786598196</v>
      </c>
      <c r="F77">
        <v>0.99577201215367295</v>
      </c>
    </row>
    <row r="78" spans="1:6" x14ac:dyDescent="0.25">
      <c r="A78" s="3">
        <f>AVERAGE(A4:A77)</f>
        <v>21.40903795087657</v>
      </c>
      <c r="B78" s="4"/>
      <c r="C78" s="4">
        <f>SUBTOTAL(101,CMTUnet_test1[Column3])</f>
        <v>0.88653976238335419</v>
      </c>
      <c r="D78" s="4">
        <f>SUBTOTAL(101,CMTUnet_test1[Column4])</f>
        <v>0.9394031763223154</v>
      </c>
      <c r="E78" s="4">
        <f>SUBTOTAL(101,CMTUnet_test1[Column5])</f>
        <v>0.95000607359197398</v>
      </c>
      <c r="F78" s="4">
        <f>SUBTOTAL(101,CMTUnet_test1[Column6])</f>
        <v>0.99685358411855685</v>
      </c>
    </row>
    <row r="79" spans="1:6" x14ac:dyDescent="0.25">
      <c r="A79" s="5">
        <f>STDEVA(A4:A77)</f>
        <v>2.3608188224307352</v>
      </c>
      <c r="B79" s="6"/>
      <c r="C79" s="6">
        <f>STDEVA(C3:C77)</f>
        <v>3.8624044146068785E-2</v>
      </c>
      <c r="D79" s="6">
        <f>STDEVA(D3:D77)</f>
        <v>2.2534431178372592E-2</v>
      </c>
      <c r="E79" s="6">
        <f>STDEVA(E3:E77)</f>
        <v>3.1504011483424237E-2</v>
      </c>
      <c r="F79" s="7">
        <f>STDEVA(F3:F77)</f>
        <v>1.5568860532926101E-3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A923-FEC7-4459-8B1F-075AAC4A5AA5}">
  <dimension ref="A1:F79"/>
  <sheetViews>
    <sheetView topLeftCell="A64" workbookViewId="0">
      <selection activeCell="A78" sqref="A78:F79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589.73479270935002</v>
      </c>
      <c r="B3">
        <v>0</v>
      </c>
      <c r="C3">
        <v>0.73678544515017697</v>
      </c>
      <c r="D3">
        <v>0.84844728196863495</v>
      </c>
      <c r="E3">
        <v>0.97544984856582895</v>
      </c>
      <c r="F3">
        <v>0.99109171777668204</v>
      </c>
    </row>
    <row r="4" spans="1:6" x14ac:dyDescent="0.25">
      <c r="A4">
        <v>42.261838912963803</v>
      </c>
      <c r="B4">
        <v>1</v>
      </c>
      <c r="C4">
        <v>0.90372856971586102</v>
      </c>
      <c r="D4">
        <v>0.94943006486554504</v>
      </c>
      <c r="E4">
        <v>0.94354737764426</v>
      </c>
      <c r="F4">
        <v>0.99896936294723104</v>
      </c>
    </row>
    <row r="5" spans="1:6" x14ac:dyDescent="0.25">
      <c r="A5">
        <v>25.050401687621999</v>
      </c>
      <c r="B5">
        <v>2</v>
      </c>
      <c r="C5">
        <v>0.88306479616639999</v>
      </c>
      <c r="D5">
        <v>0.93790165687784099</v>
      </c>
      <c r="E5">
        <v>0.95511821374246497</v>
      </c>
      <c r="F5">
        <v>0.995634591716273</v>
      </c>
    </row>
    <row r="6" spans="1:6" x14ac:dyDescent="0.25">
      <c r="A6">
        <v>24.560928344726499</v>
      </c>
      <c r="B6">
        <v>3</v>
      </c>
      <c r="C6">
        <v>0.87882274571549601</v>
      </c>
      <c r="D6">
        <v>0.93550362610797699</v>
      </c>
      <c r="E6">
        <v>0.95662491760052704</v>
      </c>
      <c r="F6">
        <v>0.99598331515573202</v>
      </c>
    </row>
    <row r="7" spans="1:6" x14ac:dyDescent="0.25">
      <c r="A7">
        <v>24.514675140380799</v>
      </c>
      <c r="B7">
        <v>4</v>
      </c>
      <c r="C7">
        <v>0.86597214914588305</v>
      </c>
      <c r="D7">
        <v>0.92817264131435895</v>
      </c>
      <c r="E7">
        <v>0.93176328502415395</v>
      </c>
      <c r="F7">
        <v>0.99803048685034401</v>
      </c>
    </row>
    <row r="8" spans="1:6" x14ac:dyDescent="0.25">
      <c r="A8">
        <v>23.776054382324201</v>
      </c>
      <c r="B8">
        <v>5</v>
      </c>
      <c r="C8">
        <v>0.77239846281365299</v>
      </c>
      <c r="D8">
        <v>0.87158557064813003</v>
      </c>
      <c r="E8">
        <v>0.86909152571113601</v>
      </c>
      <c r="F8">
        <v>0.99711898785057695</v>
      </c>
    </row>
    <row r="9" spans="1:6" x14ac:dyDescent="0.25">
      <c r="A9">
        <v>26.010990142822202</v>
      </c>
      <c r="B9">
        <v>6</v>
      </c>
      <c r="C9">
        <v>0.89373121033292502</v>
      </c>
      <c r="D9">
        <v>0.94388391072226496</v>
      </c>
      <c r="E9">
        <v>0.96610577501745198</v>
      </c>
      <c r="F9">
        <v>0.99665950041458296</v>
      </c>
    </row>
    <row r="10" spans="1:6" x14ac:dyDescent="0.25">
      <c r="A10">
        <v>23.945569992065401</v>
      </c>
      <c r="B10">
        <v>7</v>
      </c>
      <c r="C10">
        <v>0.82043566706221305</v>
      </c>
      <c r="D10">
        <v>0.90136189035036596</v>
      </c>
      <c r="E10">
        <v>0.90509140212258599</v>
      </c>
      <c r="F10">
        <v>0.99785141361796803</v>
      </c>
    </row>
    <row r="11" spans="1:6" x14ac:dyDescent="0.25">
      <c r="A11">
        <v>25.0587463378906</v>
      </c>
      <c r="B11">
        <v>8</v>
      </c>
      <c r="C11">
        <v>0.90606607317145305</v>
      </c>
      <c r="D11">
        <v>0.95071843093442499</v>
      </c>
      <c r="E11">
        <v>0.991793062142868</v>
      </c>
      <c r="F11">
        <v>0.994076807941637</v>
      </c>
    </row>
    <row r="12" spans="1:6" x14ac:dyDescent="0.25">
      <c r="A12">
        <v>25.370836257934499</v>
      </c>
      <c r="B12">
        <v>9</v>
      </c>
      <c r="C12">
        <v>0.87083955554430603</v>
      </c>
      <c r="D12">
        <v>0.93096123926131302</v>
      </c>
      <c r="E12">
        <v>0.97153668040887697</v>
      </c>
      <c r="F12">
        <v>0.99595819819535203</v>
      </c>
    </row>
    <row r="13" spans="1:6" x14ac:dyDescent="0.25">
      <c r="A13">
        <v>24.430751800537099</v>
      </c>
      <c r="B13">
        <v>10</v>
      </c>
      <c r="C13">
        <v>0.82455467633422797</v>
      </c>
      <c r="D13">
        <v>0.90384211230201905</v>
      </c>
      <c r="E13">
        <v>0.88037814500521006</v>
      </c>
      <c r="F13">
        <v>0.99821964788373896</v>
      </c>
    </row>
    <row r="14" spans="1:6" x14ac:dyDescent="0.25">
      <c r="A14">
        <v>24.5110988616943</v>
      </c>
      <c r="B14">
        <v>11</v>
      </c>
      <c r="C14">
        <v>0.85810512367491099</v>
      </c>
      <c r="D14">
        <v>0.92363463481309804</v>
      </c>
      <c r="E14">
        <v>0.97878580682308902</v>
      </c>
      <c r="F14">
        <v>0.99212890231621298</v>
      </c>
    </row>
    <row r="15" spans="1:6" x14ac:dyDescent="0.25">
      <c r="A15">
        <v>24.9066352844238</v>
      </c>
      <c r="B15">
        <v>12</v>
      </c>
      <c r="C15">
        <v>0.87218336215574399</v>
      </c>
      <c r="D15">
        <v>0.93172856867124298</v>
      </c>
      <c r="E15">
        <v>0.93960459361009896</v>
      </c>
      <c r="F15">
        <v>0.99725462738479498</v>
      </c>
    </row>
    <row r="16" spans="1:6" x14ac:dyDescent="0.25">
      <c r="A16">
        <v>25.658369064331001</v>
      </c>
      <c r="B16">
        <v>13</v>
      </c>
      <c r="C16">
        <v>0.92655175603589102</v>
      </c>
      <c r="D16">
        <v>0.96187580025608199</v>
      </c>
      <c r="E16">
        <v>0.98306970048909703</v>
      </c>
      <c r="F16">
        <v>0.99622357948762597</v>
      </c>
    </row>
    <row r="17" spans="1:6" x14ac:dyDescent="0.25">
      <c r="A17">
        <v>24.362325668334901</v>
      </c>
      <c r="B17">
        <v>14</v>
      </c>
      <c r="C17">
        <v>0.845679497250589</v>
      </c>
      <c r="D17">
        <v>0.91638824455746803</v>
      </c>
      <c r="E17">
        <v>0.93373520100611396</v>
      </c>
      <c r="F17">
        <v>0.99765874188336201</v>
      </c>
    </row>
    <row r="18" spans="1:6" x14ac:dyDescent="0.25">
      <c r="A18">
        <v>24.638652801513601</v>
      </c>
      <c r="B18">
        <v>15</v>
      </c>
      <c r="C18">
        <v>0.870889315419065</v>
      </c>
      <c r="D18">
        <v>0.93098967238902897</v>
      </c>
      <c r="E18">
        <v>0.93533061096277603</v>
      </c>
      <c r="F18">
        <v>0.99622208411851898</v>
      </c>
    </row>
    <row r="19" spans="1:6" x14ac:dyDescent="0.25">
      <c r="A19">
        <v>24.4331359863281</v>
      </c>
      <c r="B19">
        <v>16</v>
      </c>
      <c r="C19">
        <v>0.86004176391106701</v>
      </c>
      <c r="D19">
        <v>0.92475532603383803</v>
      </c>
      <c r="E19">
        <v>0.93639330230567597</v>
      </c>
      <c r="F19">
        <v>0.99671772861677799</v>
      </c>
    </row>
    <row r="20" spans="1:6" x14ac:dyDescent="0.25">
      <c r="A20">
        <v>24.325847625732401</v>
      </c>
      <c r="B20">
        <v>17</v>
      </c>
      <c r="C20">
        <v>0.89130391113075202</v>
      </c>
      <c r="D20">
        <v>0.94252849146583595</v>
      </c>
      <c r="E20">
        <v>0.92061581874014398</v>
      </c>
      <c r="F20">
        <v>0.99841560207121205</v>
      </c>
    </row>
    <row r="21" spans="1:6" x14ac:dyDescent="0.25">
      <c r="A21">
        <v>25.531530380248999</v>
      </c>
      <c r="B21">
        <v>18</v>
      </c>
      <c r="C21">
        <v>0.88742130601160296</v>
      </c>
      <c r="D21">
        <v>0.94035317200784796</v>
      </c>
      <c r="E21">
        <v>0.98632580261593295</v>
      </c>
      <c r="F21">
        <v>0.99762639888576099</v>
      </c>
    </row>
    <row r="22" spans="1:6" x14ac:dyDescent="0.25">
      <c r="A22">
        <v>24.0287780761718</v>
      </c>
      <c r="B22">
        <v>19</v>
      </c>
      <c r="C22">
        <v>0.86259120840007097</v>
      </c>
      <c r="D22">
        <v>0.92622708032753898</v>
      </c>
      <c r="E22">
        <v>0.97161471384183595</v>
      </c>
      <c r="F22">
        <v>0.99368673593734202</v>
      </c>
    </row>
    <row r="23" spans="1:6" x14ac:dyDescent="0.25">
      <c r="A23">
        <v>27.8680324554443</v>
      </c>
      <c r="B23">
        <v>20</v>
      </c>
      <c r="C23">
        <v>0.92419926085617399</v>
      </c>
      <c r="D23">
        <v>0.96060660624612304</v>
      </c>
      <c r="E23">
        <v>0.98633907845271995</v>
      </c>
      <c r="F23">
        <v>0.99672666284627298</v>
      </c>
    </row>
    <row r="24" spans="1:6" x14ac:dyDescent="0.25">
      <c r="A24">
        <v>24.041414260864201</v>
      </c>
      <c r="B24">
        <v>21</v>
      </c>
      <c r="C24">
        <v>0.82922345649833196</v>
      </c>
      <c r="D24">
        <v>0.90663986792046503</v>
      </c>
      <c r="E24">
        <v>0.96327028676021897</v>
      </c>
      <c r="F24">
        <v>0.99478340139161803</v>
      </c>
    </row>
    <row r="25" spans="1:6" x14ac:dyDescent="0.25">
      <c r="A25">
        <v>24.6200561523437</v>
      </c>
      <c r="B25">
        <v>22</v>
      </c>
      <c r="C25">
        <v>0.91754708001903595</v>
      </c>
      <c r="D25">
        <v>0.95700083672514202</v>
      </c>
      <c r="E25">
        <v>0.98983483439434305</v>
      </c>
      <c r="F25">
        <v>0.99452163500278401</v>
      </c>
    </row>
    <row r="26" spans="1:6" x14ac:dyDescent="0.25">
      <c r="A26">
        <v>25.115728378295898</v>
      </c>
      <c r="B26">
        <v>23</v>
      </c>
      <c r="C26">
        <v>0.88521680012086401</v>
      </c>
      <c r="D26">
        <v>0.93911405846172302</v>
      </c>
      <c r="E26">
        <v>0.95692471010942304</v>
      </c>
      <c r="F26">
        <v>0.99806265892251</v>
      </c>
    </row>
    <row r="27" spans="1:6" x14ac:dyDescent="0.25">
      <c r="A27">
        <v>24.5873928070068</v>
      </c>
      <c r="B27">
        <v>24</v>
      </c>
      <c r="C27">
        <v>0.86904960981047896</v>
      </c>
      <c r="D27">
        <v>0.92993744547914903</v>
      </c>
      <c r="E27">
        <v>0.96162030469376403</v>
      </c>
      <c r="F27">
        <v>0.992977705128674</v>
      </c>
    </row>
    <row r="28" spans="1:6" x14ac:dyDescent="0.25">
      <c r="A28">
        <v>24.574995040893501</v>
      </c>
      <c r="B28">
        <v>25</v>
      </c>
      <c r="C28">
        <v>0.88895853690013005</v>
      </c>
      <c r="D28">
        <v>0.94121551059448105</v>
      </c>
      <c r="E28">
        <v>0.96932293341910503</v>
      </c>
      <c r="F28">
        <v>0.99549774136191005</v>
      </c>
    </row>
    <row r="29" spans="1:6" x14ac:dyDescent="0.25">
      <c r="A29">
        <v>24.465084075927699</v>
      </c>
      <c r="B29">
        <v>26</v>
      </c>
      <c r="C29">
        <v>0.88775335070446704</v>
      </c>
      <c r="D29">
        <v>0.94053955764207997</v>
      </c>
      <c r="E29">
        <v>0.95993048994466101</v>
      </c>
      <c r="F29">
        <v>0.99512889870050003</v>
      </c>
    </row>
    <row r="30" spans="1:6" x14ac:dyDescent="0.25">
      <c r="A30">
        <v>24.310111999511701</v>
      </c>
      <c r="B30">
        <v>27</v>
      </c>
      <c r="C30">
        <v>0.81617791773272896</v>
      </c>
      <c r="D30">
        <v>0.89878630255743297</v>
      </c>
      <c r="E30">
        <v>0.93279049889783605</v>
      </c>
      <c r="F30">
        <v>0.99690553000106197</v>
      </c>
    </row>
    <row r="31" spans="1:6" x14ac:dyDescent="0.25">
      <c r="A31">
        <v>25.043725967407202</v>
      </c>
      <c r="B31">
        <v>28</v>
      </c>
      <c r="C31">
        <v>0.94580983078162695</v>
      </c>
      <c r="D31">
        <v>0.97215032612071595</v>
      </c>
      <c r="E31">
        <v>0.98444183510861305</v>
      </c>
      <c r="F31">
        <v>0.99700932819399002</v>
      </c>
    </row>
    <row r="32" spans="1:6" x14ac:dyDescent="0.25">
      <c r="A32">
        <v>24.026393890380799</v>
      </c>
      <c r="B32">
        <v>29</v>
      </c>
      <c r="C32">
        <v>0.80583256515545099</v>
      </c>
      <c r="D32">
        <v>0.89247760916979901</v>
      </c>
      <c r="E32">
        <v>0.93918478968615704</v>
      </c>
      <c r="F32">
        <v>0.99500618945631003</v>
      </c>
    </row>
    <row r="33" spans="1:6" x14ac:dyDescent="0.25">
      <c r="A33">
        <v>25.6013870239257</v>
      </c>
      <c r="B33">
        <v>30</v>
      </c>
      <c r="C33">
        <v>0.87828291363866795</v>
      </c>
      <c r="D33">
        <v>0.93519768216091703</v>
      </c>
      <c r="E33">
        <v>0.96322657176749704</v>
      </c>
      <c r="F33">
        <v>0.99744616288175403</v>
      </c>
    </row>
    <row r="34" spans="1:6" x14ac:dyDescent="0.25">
      <c r="A34">
        <v>24.007797241210898</v>
      </c>
      <c r="B34">
        <v>31</v>
      </c>
      <c r="C34">
        <v>0.92475052662330604</v>
      </c>
      <c r="D34">
        <v>0.96090429781115105</v>
      </c>
      <c r="E34">
        <v>0.96582678935620103</v>
      </c>
      <c r="F34">
        <v>0.99719559365510602</v>
      </c>
    </row>
    <row r="35" spans="1:6" x14ac:dyDescent="0.25">
      <c r="A35">
        <v>25.693416595458899</v>
      </c>
      <c r="B35">
        <v>32</v>
      </c>
      <c r="C35">
        <v>0.84445099810148705</v>
      </c>
      <c r="D35">
        <v>0.91566650344269296</v>
      </c>
      <c r="E35">
        <v>0.88502105629177397</v>
      </c>
      <c r="F35">
        <v>0.99750504108104798</v>
      </c>
    </row>
    <row r="36" spans="1:6" x14ac:dyDescent="0.25">
      <c r="A36">
        <v>24.262428283691399</v>
      </c>
      <c r="B36">
        <v>33</v>
      </c>
      <c r="C36">
        <v>0.887386517288004</v>
      </c>
      <c r="D36">
        <v>0.94033364036434297</v>
      </c>
      <c r="E36">
        <v>0.98377857487017495</v>
      </c>
      <c r="F36">
        <v>0.99386724350378097</v>
      </c>
    </row>
    <row r="37" spans="1:6" x14ac:dyDescent="0.25">
      <c r="A37">
        <v>24.805545806884702</v>
      </c>
      <c r="B37">
        <v>34</v>
      </c>
      <c r="C37">
        <v>0.78618004409626097</v>
      </c>
      <c r="D37">
        <v>0.88029204748397905</v>
      </c>
      <c r="E37">
        <v>0.92606509366193202</v>
      </c>
      <c r="F37">
        <v>0.99363876481407198</v>
      </c>
    </row>
    <row r="38" spans="1:6" x14ac:dyDescent="0.25">
      <c r="A38">
        <v>25.360822677612301</v>
      </c>
      <c r="B38">
        <v>35</v>
      </c>
      <c r="C38">
        <v>0.818591474312659</v>
      </c>
      <c r="D38">
        <v>0.90024778613024903</v>
      </c>
      <c r="E38">
        <v>0.87536343858650301</v>
      </c>
      <c r="F38">
        <v>0.99658692826545703</v>
      </c>
    </row>
    <row r="39" spans="1:6" x14ac:dyDescent="0.25">
      <c r="A39">
        <v>24.692058563232401</v>
      </c>
      <c r="B39">
        <v>36</v>
      </c>
      <c r="C39">
        <v>0.93277046515286499</v>
      </c>
      <c r="D39">
        <v>0.96521597568916795</v>
      </c>
      <c r="E39">
        <v>0.99248581791127999</v>
      </c>
      <c r="F39">
        <v>0.99654004630025195</v>
      </c>
    </row>
    <row r="40" spans="1:6" x14ac:dyDescent="0.25">
      <c r="A40">
        <v>24.763584136962798</v>
      </c>
      <c r="B40">
        <v>37</v>
      </c>
      <c r="C40">
        <v>0.88847092865539301</v>
      </c>
      <c r="D40">
        <v>0.94094212960746104</v>
      </c>
      <c r="E40">
        <v>0.951742575408279</v>
      </c>
      <c r="F40">
        <v>0.99631277978889698</v>
      </c>
    </row>
    <row r="41" spans="1:6" x14ac:dyDescent="0.25">
      <c r="A41">
        <v>24.6946811676025</v>
      </c>
      <c r="B41">
        <v>38</v>
      </c>
      <c r="C41">
        <v>0.87803514770915103</v>
      </c>
      <c r="D41">
        <v>0.93505720463239295</v>
      </c>
      <c r="E41">
        <v>0.96883616311130405</v>
      </c>
      <c r="F41">
        <v>0.99426140069736901</v>
      </c>
    </row>
    <row r="42" spans="1:6" x14ac:dyDescent="0.25">
      <c r="A42">
        <v>24.630308151245099</v>
      </c>
      <c r="B42">
        <v>39</v>
      </c>
      <c r="C42">
        <v>0.90966974859592298</v>
      </c>
      <c r="D42">
        <v>0.95269849592030598</v>
      </c>
      <c r="E42">
        <v>0.95653818947506897</v>
      </c>
      <c r="F42">
        <v>0.99682927594714199</v>
      </c>
    </row>
    <row r="43" spans="1:6" x14ac:dyDescent="0.25">
      <c r="A43">
        <v>24.393558502197202</v>
      </c>
      <c r="B43">
        <v>40</v>
      </c>
      <c r="C43">
        <v>0.92027534803498801</v>
      </c>
      <c r="D43">
        <v>0.95848269778258899</v>
      </c>
      <c r="E43">
        <v>0.96716190846118899</v>
      </c>
      <c r="F43">
        <v>0.99680985176147197</v>
      </c>
    </row>
    <row r="44" spans="1:6" x14ac:dyDescent="0.25">
      <c r="A44">
        <v>24.375438690185501</v>
      </c>
      <c r="B44">
        <v>41</v>
      </c>
      <c r="C44">
        <v>0.88721930604236199</v>
      </c>
      <c r="D44">
        <v>0.94023975189499898</v>
      </c>
      <c r="E44">
        <v>0.96276615104640495</v>
      </c>
      <c r="F44">
        <v>0.99529098473671096</v>
      </c>
    </row>
    <row r="45" spans="1:6" x14ac:dyDescent="0.25">
      <c r="A45">
        <v>24.507045745849599</v>
      </c>
      <c r="B45">
        <v>42</v>
      </c>
      <c r="C45">
        <v>0.88577703202882097</v>
      </c>
      <c r="D45">
        <v>0.93942922942046203</v>
      </c>
      <c r="E45">
        <v>0.94205484844508502</v>
      </c>
      <c r="F45">
        <v>0.99760408759875296</v>
      </c>
    </row>
    <row r="46" spans="1:6" x14ac:dyDescent="0.25">
      <c r="A46">
        <v>25.0647068023681</v>
      </c>
      <c r="B46">
        <v>43</v>
      </c>
      <c r="C46">
        <v>0.87931100186730604</v>
      </c>
      <c r="D46">
        <v>0.93578018858359502</v>
      </c>
      <c r="E46">
        <v>0.96209815285827405</v>
      </c>
      <c r="F46">
        <v>0.99779619810012299</v>
      </c>
    </row>
    <row r="47" spans="1:6" x14ac:dyDescent="0.25">
      <c r="A47">
        <v>24.2102146148681</v>
      </c>
      <c r="B47">
        <v>44</v>
      </c>
      <c r="C47">
        <v>0.91911205903262905</v>
      </c>
      <c r="D47">
        <v>0.95785137163478395</v>
      </c>
      <c r="E47">
        <v>0.99557862871102998</v>
      </c>
      <c r="F47">
        <v>0.99356184370055201</v>
      </c>
    </row>
    <row r="48" spans="1:6" x14ac:dyDescent="0.25">
      <c r="A48">
        <v>23.910284042358398</v>
      </c>
      <c r="B48">
        <v>45</v>
      </c>
      <c r="C48">
        <v>0.93154422277312099</v>
      </c>
      <c r="D48">
        <v>0.96455904223171396</v>
      </c>
      <c r="E48">
        <v>0.98979819377857003</v>
      </c>
      <c r="F48">
        <v>0.99540654201780399</v>
      </c>
    </row>
    <row r="49" spans="1:6" x14ac:dyDescent="0.25">
      <c r="A49">
        <v>24.2128372192382</v>
      </c>
      <c r="B49">
        <v>46</v>
      </c>
      <c r="C49">
        <v>0.87202315835535205</v>
      </c>
      <c r="D49">
        <v>0.93163714825137101</v>
      </c>
      <c r="E49">
        <v>0.96224417784050797</v>
      </c>
      <c r="F49">
        <v>0.99439948528746402</v>
      </c>
    </row>
    <row r="50" spans="1:6" x14ac:dyDescent="0.25">
      <c r="A50">
        <v>23.8025188446044</v>
      </c>
      <c r="B50">
        <v>47</v>
      </c>
      <c r="C50">
        <v>0.89916553133514898</v>
      </c>
      <c r="D50">
        <v>0.94690590841022604</v>
      </c>
      <c r="E50">
        <v>0.96022623940639396</v>
      </c>
      <c r="F50">
        <v>0.99624191064724799</v>
      </c>
    </row>
    <row r="51" spans="1:6" x14ac:dyDescent="0.25">
      <c r="A51">
        <v>26.1595249176025</v>
      </c>
      <c r="B51">
        <v>48</v>
      </c>
      <c r="C51">
        <v>0.86349804917206396</v>
      </c>
      <c r="D51">
        <v>0.92674961431347802</v>
      </c>
      <c r="E51">
        <v>0.97013360179533903</v>
      </c>
      <c r="F51">
        <v>0.99411727680270801</v>
      </c>
    </row>
    <row r="52" spans="1:6" x14ac:dyDescent="0.25">
      <c r="A52">
        <v>24.160623550415</v>
      </c>
      <c r="B52">
        <v>49</v>
      </c>
      <c r="C52">
        <v>0.88797182993628199</v>
      </c>
      <c r="D52">
        <v>0.94066216016183901</v>
      </c>
      <c r="E52">
        <v>0.96746102630724196</v>
      </c>
      <c r="F52">
        <v>0.995586963831115</v>
      </c>
    </row>
    <row r="53" spans="1:6" x14ac:dyDescent="0.25">
      <c r="A53">
        <v>24.4925022125244</v>
      </c>
      <c r="B53">
        <v>50</v>
      </c>
      <c r="C53">
        <v>0.87886969708177598</v>
      </c>
      <c r="D53">
        <v>0.93553022697297195</v>
      </c>
      <c r="E53">
        <v>0.95965429506078104</v>
      </c>
      <c r="F53">
        <v>0.99777694212333201</v>
      </c>
    </row>
    <row r="54" spans="1:6" x14ac:dyDescent="0.25">
      <c r="A54">
        <v>24.704217910766602</v>
      </c>
      <c r="B54">
        <v>51</v>
      </c>
      <c r="C54">
        <v>0.89312720218535901</v>
      </c>
      <c r="D54">
        <v>0.94354695358490903</v>
      </c>
      <c r="E54">
        <v>0.96266188738825198</v>
      </c>
      <c r="F54">
        <v>0.996357218228484</v>
      </c>
    </row>
    <row r="55" spans="1:6" x14ac:dyDescent="0.25">
      <c r="A55">
        <v>25.4652500152587</v>
      </c>
      <c r="B55">
        <v>52</v>
      </c>
      <c r="C55">
        <v>0.91196850122934603</v>
      </c>
      <c r="D55">
        <v>0.95395766263196702</v>
      </c>
      <c r="E55">
        <v>0.97665212027472403</v>
      </c>
      <c r="F55">
        <v>0.99612578914919203</v>
      </c>
    </row>
    <row r="56" spans="1:6" x14ac:dyDescent="0.25">
      <c r="A56">
        <v>23.914575576782202</v>
      </c>
      <c r="B56">
        <v>53</v>
      </c>
      <c r="C56">
        <v>0.90091304458404298</v>
      </c>
      <c r="D56">
        <v>0.94787401996200205</v>
      </c>
      <c r="E56">
        <v>0.95968681422881996</v>
      </c>
      <c r="F56">
        <v>0.99761976543618602</v>
      </c>
    </row>
    <row r="57" spans="1:6" x14ac:dyDescent="0.25">
      <c r="A57">
        <v>24.579763412475501</v>
      </c>
      <c r="B57">
        <v>54</v>
      </c>
      <c r="C57">
        <v>0.91631378139281305</v>
      </c>
      <c r="D57">
        <v>0.95632958473723295</v>
      </c>
      <c r="E57">
        <v>0.96750630838018503</v>
      </c>
      <c r="F57">
        <v>0.99748454750756899</v>
      </c>
    </row>
    <row r="58" spans="1:6" x14ac:dyDescent="0.25">
      <c r="A58">
        <v>25.342464447021399</v>
      </c>
      <c r="B58">
        <v>55</v>
      </c>
      <c r="C58">
        <v>0.89606469837093194</v>
      </c>
      <c r="D58">
        <v>0.94518367346938703</v>
      </c>
      <c r="E58">
        <v>0.96363031084848705</v>
      </c>
      <c r="F58">
        <v>0.99823141004055405</v>
      </c>
    </row>
    <row r="59" spans="1:6" x14ac:dyDescent="0.25">
      <c r="A59">
        <v>24.832248687744102</v>
      </c>
      <c r="B59">
        <v>56</v>
      </c>
      <c r="C59">
        <v>0.92223294871205497</v>
      </c>
      <c r="D59">
        <v>0.95954337826741998</v>
      </c>
      <c r="E59">
        <v>0.99127054715551599</v>
      </c>
      <c r="F59">
        <v>0.99539915494269404</v>
      </c>
    </row>
    <row r="60" spans="1:6" x14ac:dyDescent="0.25">
      <c r="A60">
        <v>24.001598358154201</v>
      </c>
      <c r="B60">
        <v>57</v>
      </c>
      <c r="C60">
        <v>0.90739916303089596</v>
      </c>
      <c r="D60">
        <v>0.95145177854541996</v>
      </c>
      <c r="E60">
        <v>0.94327630624932501</v>
      </c>
      <c r="F60">
        <v>0.997394671223366</v>
      </c>
    </row>
    <row r="61" spans="1:6" x14ac:dyDescent="0.25">
      <c r="A61">
        <v>24.470806121826101</v>
      </c>
      <c r="B61">
        <v>58</v>
      </c>
      <c r="C61">
        <v>0.90534838076545598</v>
      </c>
      <c r="D61">
        <v>0.95032319538512999</v>
      </c>
      <c r="E61">
        <v>0.98331912172244695</v>
      </c>
      <c r="F61">
        <v>0.99843078154070797</v>
      </c>
    </row>
    <row r="62" spans="1:6" x14ac:dyDescent="0.25">
      <c r="A62">
        <v>24.771928787231399</v>
      </c>
      <c r="B62">
        <v>59</v>
      </c>
      <c r="C62">
        <v>0.86887132663239397</v>
      </c>
      <c r="D62">
        <v>0.92983536560331703</v>
      </c>
      <c r="E62">
        <v>0.94907109931554601</v>
      </c>
      <c r="F62">
        <v>0.99673769551364</v>
      </c>
    </row>
    <row r="63" spans="1:6" x14ac:dyDescent="0.25">
      <c r="A63">
        <v>24.515628814697202</v>
      </c>
      <c r="B63">
        <v>60</v>
      </c>
      <c r="C63">
        <v>0.89354272797813805</v>
      </c>
      <c r="D63">
        <v>0.94377878542221505</v>
      </c>
      <c r="E63">
        <v>0.97360633741981695</v>
      </c>
      <c r="F63">
        <v>0.99509640715009195</v>
      </c>
    </row>
    <row r="64" spans="1:6" x14ac:dyDescent="0.25">
      <c r="A64">
        <v>25.5050659179687</v>
      </c>
      <c r="B64">
        <v>61</v>
      </c>
      <c r="C64">
        <v>0.90439418170740904</v>
      </c>
      <c r="D64">
        <v>0.94979725352506905</v>
      </c>
      <c r="E64">
        <v>0.96643880208333299</v>
      </c>
      <c r="F64">
        <v>0.99573007164159699</v>
      </c>
    </row>
    <row r="65" spans="1:6" x14ac:dyDescent="0.25">
      <c r="A65">
        <v>24.9333381652832</v>
      </c>
      <c r="B65">
        <v>62</v>
      </c>
      <c r="C65">
        <v>0.88884926901329497</v>
      </c>
      <c r="D65">
        <v>0.94115426105717304</v>
      </c>
      <c r="E65">
        <v>0.947662840798001</v>
      </c>
      <c r="F65">
        <v>0.99632048708496002</v>
      </c>
    </row>
    <row r="66" spans="1:6" x14ac:dyDescent="0.25">
      <c r="A66">
        <v>24.173974990844702</v>
      </c>
      <c r="B66">
        <v>63</v>
      </c>
      <c r="C66">
        <v>0.92357861902736405</v>
      </c>
      <c r="D66">
        <v>0.96027124640672201</v>
      </c>
      <c r="E66">
        <v>0.96114499311430202</v>
      </c>
      <c r="F66">
        <v>0.99919571619187597</v>
      </c>
    </row>
    <row r="67" spans="1:6" x14ac:dyDescent="0.25">
      <c r="A67">
        <v>24.5513916015625</v>
      </c>
      <c r="B67">
        <v>64</v>
      </c>
      <c r="C67">
        <v>0.85789374882673097</v>
      </c>
      <c r="D67">
        <v>0.92351217540668895</v>
      </c>
      <c r="E67">
        <v>0.94094877285455403</v>
      </c>
      <c r="F67">
        <v>0.99770475606565301</v>
      </c>
    </row>
    <row r="68" spans="1:6" x14ac:dyDescent="0.25">
      <c r="A68">
        <v>25.277137756347599</v>
      </c>
      <c r="B68">
        <v>65</v>
      </c>
      <c r="C68">
        <v>0.91543291766162505</v>
      </c>
      <c r="D68">
        <v>0.95584962461561196</v>
      </c>
      <c r="E68">
        <v>0.96383343265792598</v>
      </c>
      <c r="F68">
        <v>0.997146389514313</v>
      </c>
    </row>
    <row r="69" spans="1:6" x14ac:dyDescent="0.25">
      <c r="A69">
        <v>24.557590484619102</v>
      </c>
      <c r="B69">
        <v>66</v>
      </c>
      <c r="C69">
        <v>0.94125067011447106</v>
      </c>
      <c r="D69">
        <v>0.96973635049302298</v>
      </c>
      <c r="E69">
        <v>0.97185185185185097</v>
      </c>
      <c r="F69">
        <v>0.99797700655725397</v>
      </c>
    </row>
    <row r="70" spans="1:6" x14ac:dyDescent="0.25">
      <c r="A70">
        <v>23.973941802978501</v>
      </c>
      <c r="B70">
        <v>67</v>
      </c>
      <c r="C70">
        <v>0.88557340814418095</v>
      </c>
      <c r="D70">
        <v>0.93931469792605904</v>
      </c>
      <c r="E70">
        <v>0.96386768447837101</v>
      </c>
      <c r="F70">
        <v>0.99813916984189199</v>
      </c>
    </row>
    <row r="71" spans="1:6" x14ac:dyDescent="0.25">
      <c r="A71">
        <v>25.333166122436499</v>
      </c>
      <c r="B71">
        <v>68</v>
      </c>
      <c r="C71">
        <v>0.89683290185561204</v>
      </c>
      <c r="D71">
        <v>0.94561086638498104</v>
      </c>
      <c r="E71">
        <v>0.96758655293527296</v>
      </c>
      <c r="F71">
        <v>0.995229503653975</v>
      </c>
    </row>
    <row r="72" spans="1:6" x14ac:dyDescent="0.25">
      <c r="A72">
        <v>23.948431015014599</v>
      </c>
      <c r="B72">
        <v>69</v>
      </c>
      <c r="C72">
        <v>0.91855860612460405</v>
      </c>
      <c r="D72">
        <v>0.95755073959408299</v>
      </c>
      <c r="E72">
        <v>0.96895015316067901</v>
      </c>
      <c r="F72">
        <v>0.99884910859468501</v>
      </c>
    </row>
    <row r="73" spans="1:6" x14ac:dyDescent="0.25">
      <c r="A73">
        <v>24.546623229980401</v>
      </c>
      <c r="B73">
        <v>70</v>
      </c>
      <c r="C73">
        <v>0.912736515108726</v>
      </c>
      <c r="D73">
        <v>0.95437767606673496</v>
      </c>
      <c r="E73">
        <v>0.95965347399308298</v>
      </c>
      <c r="F73">
        <v>0.99703123707533903</v>
      </c>
    </row>
    <row r="74" spans="1:6" x14ac:dyDescent="0.25">
      <c r="A74">
        <v>24.385929107666001</v>
      </c>
      <c r="B74">
        <v>71</v>
      </c>
      <c r="C74">
        <v>0.89804023137356404</v>
      </c>
      <c r="D74">
        <v>0.94628155560609495</v>
      </c>
      <c r="E74">
        <v>0.96030280649926103</v>
      </c>
      <c r="F74">
        <v>0.997011682689246</v>
      </c>
    </row>
    <row r="75" spans="1:6" x14ac:dyDescent="0.25">
      <c r="A75">
        <v>24.491786956787099</v>
      </c>
      <c r="B75">
        <v>72</v>
      </c>
      <c r="C75">
        <v>0.88444846626899798</v>
      </c>
      <c r="D75">
        <v>0.93868151037328096</v>
      </c>
      <c r="E75">
        <v>0.96302105326657395</v>
      </c>
      <c r="F75">
        <v>0.99557689130946203</v>
      </c>
    </row>
    <row r="76" spans="1:6" x14ac:dyDescent="0.25">
      <c r="A76">
        <v>23.9923000335693</v>
      </c>
      <c r="B76">
        <v>73</v>
      </c>
      <c r="C76">
        <v>0.91261837727156303</v>
      </c>
      <c r="D76">
        <v>0.95431309049059199</v>
      </c>
      <c r="E76">
        <v>0.94933304933571105</v>
      </c>
      <c r="F76">
        <v>0.99689560309741099</v>
      </c>
    </row>
    <row r="77" spans="1:6" x14ac:dyDescent="0.25">
      <c r="A77">
        <v>25.1824855804443</v>
      </c>
      <c r="B77">
        <v>74</v>
      </c>
      <c r="C77">
        <v>0.86879612546125395</v>
      </c>
      <c r="D77">
        <v>0.92979230171169003</v>
      </c>
      <c r="E77">
        <v>0.92994149448270702</v>
      </c>
      <c r="F77">
        <v>0.99717181496864704</v>
      </c>
    </row>
    <row r="78" spans="1:6" x14ac:dyDescent="0.25">
      <c r="A78" s="3">
        <f>AVERAGE(A4:A77)</f>
        <v>24.936257181940832</v>
      </c>
      <c r="B78" s="4"/>
      <c r="C78" s="4">
        <f>SUBTOTAL(101,CMTSam_test1[Column3])</f>
        <v>0.88265435755194666</v>
      </c>
      <c r="D78" s="4">
        <f>SUBTOTAL(101,CMTSam_test1[Column4])</f>
        <v>0.93721611182612585</v>
      </c>
      <c r="E78" s="4">
        <f>SUBTOTAL(101,CMTSam_test1[Column5])</f>
        <v>0.95691886471323362</v>
      </c>
      <c r="F78" s="4">
        <f>SUBTOTAL(101,CMTSam_test1[Column6])</f>
        <v>0.99634373846157742</v>
      </c>
    </row>
    <row r="79" spans="1:6" x14ac:dyDescent="0.25">
      <c r="A79" s="5">
        <f>STDEVA(A4:A77)</f>
        <v>2.1448308001775072</v>
      </c>
      <c r="B79" s="6"/>
      <c r="C79" s="6">
        <f>STDEVA(C3:C77)</f>
        <v>3.8618076161676403E-2</v>
      </c>
      <c r="D79" s="6">
        <f>STDEVA(D3:D77)</f>
        <v>2.2444387774639456E-2</v>
      </c>
      <c r="E79" s="6">
        <f>STDEVA(E3:E77)</f>
        <v>2.6315534170859321E-2</v>
      </c>
      <c r="F79" s="7">
        <f>STDEVA(F3:F77)</f>
        <v>1.6278635752832219E-3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B4E-9BB7-4638-AF98-2D191671DE3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5289C-BD98-45FC-937D-2FCC26CE2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Sam_test1</vt:lpstr>
      <vt:lpstr>MobSam_test1</vt:lpstr>
      <vt:lpstr>Edgesam_test1</vt:lpstr>
      <vt:lpstr>FastSAM_test1</vt:lpstr>
      <vt:lpstr>CMTUnet_test1</vt:lpstr>
      <vt:lpstr>CMTSam_test1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2025-09-01T15:24:19Z</dcterms:created>
  <dcterms:modified xsi:type="dcterms:W3CDTF">2025-10-21T08:19:31Z</dcterms:modified>
</cp:coreProperties>
</file>