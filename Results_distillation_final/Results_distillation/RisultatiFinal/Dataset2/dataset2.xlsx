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992134_polimi_it/Documents/Documenti/POLIMI/Tesi/distillation/Results_distillation_final/Results_distillation/RisultatiFinal/Dataset2/"/>
    </mc:Choice>
  </mc:AlternateContent>
  <xr:revisionPtr revIDLastSave="2" documentId="13_ncr:2001_{B4FDDADD-7932-457D-A5D6-6556DFF8CCEF}" xr6:coauthVersionLast="47" xr6:coauthVersionMax="47" xr10:uidLastSave="{F17BC617-ADED-481D-AB49-3B1D91D13E92}"/>
  <bookViews>
    <workbookView xWindow="28680" yWindow="-240" windowWidth="29040" windowHeight="15720" activeTab="4" xr2:uid="{DE1B8046-7972-4D1B-9CD5-4C1626BBB1CD}"/>
  </bookViews>
  <sheets>
    <sheet name="Sam_test2" sheetId="7" r:id="rId1"/>
    <sheet name="MobSam_test2" sheetId="6" r:id="rId2"/>
    <sheet name="FastSAM_test2" sheetId="5" r:id="rId3"/>
    <sheet name="Edgesam_test2" sheetId="4" r:id="rId4"/>
    <sheet name="CMTUnet_test2" sheetId="3" r:id="rId5"/>
    <sheet name="CMTSam_test2" sheetId="2" r:id="rId6"/>
    <sheet name="Foglio1" sheetId="1" r:id="rId7"/>
  </sheets>
  <definedNames>
    <definedName name="DatiEsterni_1" localSheetId="5" hidden="1">'CMTSam_test2'!$A$1:$F$77</definedName>
    <definedName name="DatiEsterni_2" localSheetId="4" hidden="1">'CMTUnet_test2'!$A$1:$F$77</definedName>
    <definedName name="DatiEsterni_3" localSheetId="3" hidden="1">Edgesam_test2!$A$1:$F$77</definedName>
    <definedName name="DatiEsterni_4" localSheetId="2" hidden="1">FastSAM_test2!$A$1:$F$77</definedName>
    <definedName name="DatiEsterni_5" localSheetId="1" hidden="1">MobSam_test2!$A$1:$F$77</definedName>
    <definedName name="DatiEsterni_6" localSheetId="0" hidden="1">Sam_test2!$A$1:$F$77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8" i="3" l="1"/>
  <c r="E78" i="3"/>
  <c r="D78" i="3"/>
  <c r="C78" i="3"/>
  <c r="F78" i="2"/>
  <c r="E78" i="2"/>
  <c r="D78" i="2"/>
  <c r="C78" i="2"/>
  <c r="A78" i="2"/>
  <c r="A79" i="2"/>
  <c r="A79" i="3"/>
  <c r="A78" i="3"/>
  <c r="F79" i="2"/>
  <c r="E79" i="2"/>
  <c r="D79" i="2"/>
  <c r="C79" i="2"/>
  <c r="F79" i="3"/>
  <c r="E79" i="3"/>
  <c r="D79" i="3"/>
  <c r="C79" i="3"/>
  <c r="F78" i="5"/>
  <c r="E78" i="5"/>
  <c r="D78" i="5"/>
  <c r="C78" i="5"/>
  <c r="F79" i="5"/>
  <c r="E79" i="5"/>
  <c r="D79" i="5"/>
  <c r="C79" i="5"/>
  <c r="F79" i="6"/>
  <c r="E79" i="6"/>
  <c r="D79" i="6"/>
  <c r="C79" i="6"/>
  <c r="F78" i="6"/>
  <c r="E78" i="6"/>
  <c r="D78" i="6"/>
  <c r="C78" i="6"/>
  <c r="A79" i="5"/>
  <c r="A78" i="5"/>
  <c r="A79" i="6"/>
  <c r="A78" i="6"/>
  <c r="F79" i="4"/>
  <c r="E79" i="4"/>
  <c r="D79" i="4"/>
  <c r="C79" i="4"/>
  <c r="F78" i="4"/>
  <c r="E78" i="4"/>
  <c r="D78" i="4"/>
  <c r="C78" i="4"/>
  <c r="A79" i="4"/>
  <c r="A78" i="4"/>
  <c r="F79" i="7"/>
  <c r="E79" i="7"/>
  <c r="D79" i="7"/>
  <c r="C79" i="7"/>
  <c r="F78" i="7"/>
  <c r="E78" i="7"/>
  <c r="D78" i="7"/>
  <c r="C78" i="7"/>
  <c r="A79" i="7"/>
  <c r="A7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D0FD4D-F05B-4E20-8DB2-D48E99522828}" keepAlive="1" name="Query - CMTSam_test2" description="Connessione alla query 'CMTSam_test2' nella cartella di lavoro." type="5" refreshedVersion="8" background="1" saveData="1">
    <dbPr connection="Provider=Microsoft.Mashup.OleDb.1;Data Source=$Workbook$;Location=CMTSam_test2;Extended Properties=&quot;&quot;" command="SELECT * FROM [CMTSam_test2]"/>
  </connection>
  <connection id="2" xr16:uid="{09D69A19-F953-409A-A3FD-CAF89CC21A30}" keepAlive="1" name="Query - CMTUnet_test2" description="Connessione alla query 'CMTUnet_test2' nella cartella di lavoro." type="5" refreshedVersion="8" background="1" saveData="1">
    <dbPr connection="Provider=Microsoft.Mashup.OleDb.1;Data Source=$Workbook$;Location=CMTUnet_test2;Extended Properties=&quot;&quot;" command="SELECT * FROM [CMTUnet_test2]"/>
  </connection>
  <connection id="3" xr16:uid="{1AD2E6A2-E7FA-485B-9651-396B44C1E52E}" keepAlive="1" name="Query - Edgesam_test2" description="Connessione alla query 'Edgesam_test2' nella cartella di lavoro." type="5" refreshedVersion="8" background="1" saveData="1">
    <dbPr connection="Provider=Microsoft.Mashup.OleDb.1;Data Source=$Workbook$;Location=Edgesam_test2;Extended Properties=&quot;&quot;" command="SELECT * FROM [Edgesam_test2]"/>
  </connection>
  <connection id="4" xr16:uid="{66D11E68-03A6-4ECA-8420-05596D5BB413}" keepAlive="1" name="Query - FastSAM_test2" description="Connessione alla query 'FastSAM_test2' nella cartella di lavoro." type="5" refreshedVersion="8" background="1" saveData="1">
    <dbPr connection="Provider=Microsoft.Mashup.OleDb.1;Data Source=$Workbook$;Location=FastSAM_test2;Extended Properties=&quot;&quot;" command="SELECT * FROM [FastSAM_test2]"/>
  </connection>
  <connection id="5" xr16:uid="{CE881FB8-D16B-44A2-9CB7-94630C1328D4}" keepAlive="1" name="Query - MobSam_test2" description="Connessione alla query 'MobSam_test2' nella cartella di lavoro." type="5" refreshedVersion="8" background="1" saveData="1">
    <dbPr connection="Provider=Microsoft.Mashup.OleDb.1;Data Source=$Workbook$;Location=MobSam_test2;Extended Properties=&quot;&quot;" command="SELECT * FROM [MobSam_test2]"/>
  </connection>
  <connection id="6" xr16:uid="{0BA9AA0C-C107-4211-8C68-30F6801EA252}" keepAlive="1" name="Query - Sam_test2" description="Connessione alla query 'Sam_test2' nella cartella di lavoro." type="5" refreshedVersion="8" background="1" saveData="1">
    <dbPr connection="Provider=Microsoft.Mashup.OleDb.1;Data Source=$Workbook$;Location=Sam_test2;Extended Properties=&quot;&quot;" command="SELECT * FROM [Sam_test2]"/>
  </connection>
</connections>
</file>

<file path=xl/sharedStrings.xml><?xml version="1.0" encoding="utf-8"?>
<sst xmlns="http://schemas.openxmlformats.org/spreadsheetml/2006/main" count="447" uniqueCount="87">
  <si>
    <t>Column1</t>
  </si>
  <si>
    <t>Column2</t>
  </si>
  <si>
    <t>Column3</t>
  </si>
  <si>
    <t>Column4</t>
  </si>
  <si>
    <t>Column5</t>
  </si>
  <si>
    <t>Column6</t>
  </si>
  <si>
    <t>time</t>
  </si>
  <si>
    <t>index</t>
  </si>
  <si>
    <t>iou</t>
  </si>
  <si>
    <t>dice</t>
  </si>
  <si>
    <t>sensitivity</t>
  </si>
  <si>
    <t>specificity</t>
  </si>
  <si>
    <t>0.0</t>
  </si>
  <si>
    <t>1.0</t>
  </si>
  <si>
    <t>2.0</t>
  </si>
  <si>
    <t>3.0</t>
  </si>
  <si>
    <t>4.0</t>
  </si>
  <si>
    <t>5.0</t>
  </si>
  <si>
    <t>6.0</t>
  </si>
  <si>
    <t>7.0</t>
  </si>
  <si>
    <t>8.0</t>
  </si>
  <si>
    <t>9.0</t>
  </si>
  <si>
    <t>10.0</t>
  </si>
  <si>
    <t>11.0</t>
  </si>
  <si>
    <t>12.0</t>
  </si>
  <si>
    <t>13.0</t>
  </si>
  <si>
    <t>14.0</t>
  </si>
  <si>
    <t>15.0</t>
  </si>
  <si>
    <t>16.0</t>
  </si>
  <si>
    <t>17.0</t>
  </si>
  <si>
    <t>18.0</t>
  </si>
  <si>
    <t>19.0</t>
  </si>
  <si>
    <t>20.0</t>
  </si>
  <si>
    <t>21.0</t>
  </si>
  <si>
    <t>22.0</t>
  </si>
  <si>
    <t>23.0</t>
  </si>
  <si>
    <t>24.0</t>
  </si>
  <si>
    <t>25.0</t>
  </si>
  <si>
    <t>26.0</t>
  </si>
  <si>
    <t>27.0</t>
  </si>
  <si>
    <t>28.0</t>
  </si>
  <si>
    <t>29.0</t>
  </si>
  <si>
    <t>30.0</t>
  </si>
  <si>
    <t>31.0</t>
  </si>
  <si>
    <t>32.0</t>
  </si>
  <si>
    <t>33.0</t>
  </si>
  <si>
    <t>34.0</t>
  </si>
  <si>
    <t>35.0</t>
  </si>
  <si>
    <t>36.0</t>
  </si>
  <si>
    <t>37.0</t>
  </si>
  <si>
    <t>38.0</t>
  </si>
  <si>
    <t>39.0</t>
  </si>
  <si>
    <t>40.0</t>
  </si>
  <si>
    <t>41.0</t>
  </si>
  <si>
    <t>42.0</t>
  </si>
  <si>
    <t>43.0</t>
  </si>
  <si>
    <t>44.0</t>
  </si>
  <si>
    <t>45.0</t>
  </si>
  <si>
    <t>46.0</t>
  </si>
  <si>
    <t>47.0</t>
  </si>
  <si>
    <t>48.0</t>
  </si>
  <si>
    <t>49.0</t>
  </si>
  <si>
    <t>50.0</t>
  </si>
  <si>
    <t>51.0</t>
  </si>
  <si>
    <t>52.0</t>
  </si>
  <si>
    <t>53.0</t>
  </si>
  <si>
    <t>54.0</t>
  </si>
  <si>
    <t>55.0</t>
  </si>
  <si>
    <t>56.0</t>
  </si>
  <si>
    <t>57.0</t>
  </si>
  <si>
    <t>58.0</t>
  </si>
  <si>
    <t>59.0</t>
  </si>
  <si>
    <t>60.0</t>
  </si>
  <si>
    <t>61.0</t>
  </si>
  <si>
    <t>62.0</t>
  </si>
  <si>
    <t>63.0</t>
  </si>
  <si>
    <t>64.0</t>
  </si>
  <si>
    <t>65.0</t>
  </si>
  <si>
    <t>66.0</t>
  </si>
  <si>
    <t>67.0</t>
  </si>
  <si>
    <t>68.0</t>
  </si>
  <si>
    <t>69.0</t>
  </si>
  <si>
    <t>70.0</t>
  </si>
  <si>
    <t>71.0</t>
  </si>
  <si>
    <t>72.0</t>
  </si>
  <si>
    <t>73.0</t>
  </si>
  <si>
    <t>74.0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</si>
</sst>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78"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164" formatCode="0.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6" connectionId="6" xr16:uid="{CE389E25-9B29-43DB-9B90-EAA2426423D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5" xr16:uid="{CBC3A528-30ED-47AE-83E4-A0999122469E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4" xr16:uid="{25B21BE1-26B1-4817-A347-02FE5A82703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978675DC-9678-4925-AB78-B8CAA15DCD7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4B1E78D4-C340-4BEA-B4AC-8A4E07EA975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D8E6D00-CFF5-4AB9-A835-E2B8D662E304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159159-87FD-43C4-99B3-360699FEEA7C}" name="Sam_test2" displayName="Sam_test2" ref="A1:F78" tableType="queryTable" totalsRowCount="1" totalsRowDxfId="77">
  <autoFilter ref="A1:F77" xr:uid="{1C159159-87FD-43C4-99B3-360699FEEA7C}"/>
  <tableColumns count="6">
    <tableColumn id="1" xr3:uid="{D6469BAD-97BD-4FA8-BF0C-5BA48FCD50D1}" uniqueName="1" name="Column1" totalsRowFunction="custom" queryTableFieldId="1" dataDxfId="76" totalsRowDxfId="11">
      <totalsRowFormula>AVERAGE(A4:A77)</totalsRowFormula>
    </tableColumn>
    <tableColumn id="2" xr3:uid="{D4BDA4DE-5CB1-4085-A5AA-1610BD825D89}" uniqueName="2" name="Column2" queryTableFieldId="2" dataDxfId="75" totalsRowDxfId="10"/>
    <tableColumn id="3" xr3:uid="{D9FE2352-80C7-4E96-96ED-2213EE7FC669}" uniqueName="3" name="Column3" totalsRowFunction="average" queryTableFieldId="3" dataDxfId="74" totalsRowDxfId="9"/>
    <tableColumn id="4" xr3:uid="{A6B83680-EC06-4CA9-9382-3F0B21248B55}" uniqueName="4" name="Column4" totalsRowFunction="average" queryTableFieldId="4" dataDxfId="73" totalsRowDxfId="8"/>
    <tableColumn id="5" xr3:uid="{6EACAB49-7886-4931-A5EF-047BA678D516}" uniqueName="5" name="Column5" totalsRowFunction="average" queryTableFieldId="5" dataDxfId="72" totalsRowDxfId="7"/>
    <tableColumn id="6" xr3:uid="{6DFC5AA0-C18D-4CB6-B3BE-FF4F77A726A0}" uniqueName="6" name="Column6" totalsRowFunction="average" queryTableFieldId="6" dataDxfId="71" totalsRow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E83D94-7AAE-4F37-966C-C7D7C5B8D42E}" name="MobSam_test2" displayName="MobSam_test2" ref="A1:F78" tableType="queryTable" totalsRowCount="1" totalsRowDxfId="70">
  <autoFilter ref="A1:F77" xr:uid="{26E83D94-7AAE-4F37-966C-C7D7C5B8D42E}"/>
  <tableColumns count="6">
    <tableColumn id="1" xr3:uid="{ACBD75BB-8F03-46DF-A246-D8CAF56C42ED}" uniqueName="1" name="Column1" totalsRowFunction="custom" queryTableFieldId="1" dataDxfId="69" totalsRowDxfId="68">
      <totalsRowFormula>AVERAGE(A4:A77)</totalsRowFormula>
    </tableColumn>
    <tableColumn id="2" xr3:uid="{139D9C06-1232-4471-8BAD-8B32FF563612}" uniqueName="2" name="Column2" queryTableFieldId="2" dataDxfId="67" totalsRowDxfId="66"/>
    <tableColumn id="3" xr3:uid="{9BDABB84-3F94-4A6F-B624-B872FF53E10C}" uniqueName="3" name="Column3" totalsRowFunction="average" queryTableFieldId="3" dataDxfId="65" totalsRowDxfId="64"/>
    <tableColumn id="4" xr3:uid="{DF54AA48-693F-487A-902C-AAB8B6B0E586}" uniqueName="4" name="Column4" totalsRowFunction="average" queryTableFieldId="4" dataDxfId="63" totalsRowDxfId="62"/>
    <tableColumn id="5" xr3:uid="{45E732DE-386F-437E-8287-AF4827D8BD79}" uniqueName="5" name="Column5" totalsRowFunction="average" queryTableFieldId="5" dataDxfId="61" totalsRowDxfId="60"/>
    <tableColumn id="6" xr3:uid="{D1EEFB84-EB91-47A6-844A-2326B947658C}" uniqueName="6" name="Column6" totalsRowFunction="average" queryTableFieldId="6" dataDxfId="59" totalsRowDxfId="5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F8D63F2-9625-43CD-9605-7B288DF45D57}" name="FastSAM_test2" displayName="FastSAM_test2" ref="A1:F78" tableType="queryTable" totalsRowCount="1" totalsRowDxfId="57">
  <autoFilter ref="A1:F77" xr:uid="{5F8D63F2-9625-43CD-9605-7B288DF45D57}"/>
  <tableColumns count="6">
    <tableColumn id="1" xr3:uid="{84E7CD64-4B0B-4B31-879A-D74E847D7B81}" uniqueName="1" name="Column1" totalsRowFunction="custom" queryTableFieldId="1" dataDxfId="56" totalsRowDxfId="55">
      <totalsRowFormula>AVERAGE(A4:A77)</totalsRowFormula>
    </tableColumn>
    <tableColumn id="2" xr3:uid="{AB119505-7F6B-4E6A-B8BA-7FC1BECD33DF}" uniqueName="2" name="Column2" queryTableFieldId="2" dataDxfId="54" totalsRowDxfId="53"/>
    <tableColumn id="3" xr3:uid="{F42B591F-BF5C-484F-A1BD-BA24180A2ABC}" uniqueName="3" name="Column3" totalsRowFunction="average" queryTableFieldId="3" dataDxfId="52" totalsRowDxfId="51"/>
    <tableColumn id="4" xr3:uid="{49975F99-38E2-4DFA-A7FF-AB0CC5C69520}" uniqueName="4" name="Column4" totalsRowFunction="average" queryTableFieldId="4" dataDxfId="50" totalsRowDxfId="49"/>
    <tableColumn id="5" xr3:uid="{28AEC2ED-3AAD-4266-A967-101B5F95F1BB}" uniqueName="5" name="Column5" totalsRowFunction="average" queryTableFieldId="5" dataDxfId="48" totalsRowDxfId="47"/>
    <tableColumn id="6" xr3:uid="{AD4EB37D-A999-4A12-A6FA-487BCD8260C1}" uniqueName="6" name="Column6" totalsRowFunction="average" queryTableFieldId="6" dataDxfId="46" totalsRowDxfId="4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C5F2CE-D566-42A7-B786-3C2F2A4C5FF2}" name="Edgesam_test2" displayName="Edgesam_test2" ref="A1:F78" tableType="queryTable" totalsRowCount="1" totalsRowDxfId="44">
  <autoFilter ref="A1:F77" xr:uid="{46C5F2CE-D566-42A7-B786-3C2F2A4C5FF2}"/>
  <tableColumns count="6">
    <tableColumn id="1" xr3:uid="{C8BC0517-5581-4907-8E5E-BFABCBA92C96}" uniqueName="1" name="Column1" totalsRowFunction="custom" queryTableFieldId="1" dataDxfId="43" totalsRowDxfId="42">
      <totalsRowFormula>AVERAGE(A4:A77)</totalsRowFormula>
    </tableColumn>
    <tableColumn id="2" xr3:uid="{FDC16706-4E3D-4416-B07C-F8E9DCDD3FC7}" uniqueName="2" name="Column2" queryTableFieldId="2" dataDxfId="41" totalsRowDxfId="40"/>
    <tableColumn id="3" xr3:uid="{49DF3F35-C92E-4D1D-8D63-379E7C7E8374}" uniqueName="3" name="Column3" totalsRowFunction="average" queryTableFieldId="3" dataDxfId="39" totalsRowDxfId="38"/>
    <tableColumn id="4" xr3:uid="{16882491-C742-40EB-846C-E269CE49BBD4}" uniqueName="4" name="Column4" totalsRowFunction="average" queryTableFieldId="4" dataDxfId="37" totalsRowDxfId="36"/>
    <tableColumn id="5" xr3:uid="{95650E93-1133-4960-9A79-A4E0D5CE31E0}" uniqueName="5" name="Column5" totalsRowFunction="average" queryTableFieldId="5" dataDxfId="35" totalsRowDxfId="34"/>
    <tableColumn id="6" xr3:uid="{4C818B74-4942-47A3-B872-3D47A70D134A}" uniqueName="6" name="Column6" totalsRowFunction="average" queryTableFieldId="6" dataDxfId="33" totalsRowDxfId="3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4CD172-CFE2-496D-8D30-F880C17AD729}" name="CMTUnet_test2" displayName="CMTUnet_test2" ref="A1:F78" tableType="queryTable" totalsRowCount="1" totalsRowDxfId="31">
  <autoFilter ref="A1:F77" xr:uid="{254CD172-CFE2-496D-8D30-F880C17AD729}"/>
  <tableColumns count="6">
    <tableColumn id="1" xr3:uid="{695290F8-A4F4-40F5-B97D-E59D8196BA55}" uniqueName="1" name="Column1" totalsRowFunction="custom" queryTableFieldId="1" dataDxfId="30" totalsRowDxfId="29">
      <totalsRowFormula>AVERAGE(A4:A77)</totalsRowFormula>
    </tableColumn>
    <tableColumn id="2" xr3:uid="{DAFEC8E9-3FBA-46C7-A365-1EDDB92E2412}" uniqueName="2" name="Column2" queryTableFieldId="2" dataDxfId="28" totalsRowDxfId="27"/>
    <tableColumn id="3" xr3:uid="{779EC6A6-4B6A-4E09-8922-642243EDA82D}" uniqueName="3" name="Column3" totalsRowFunction="average" queryTableFieldId="3" dataDxfId="26" totalsRowDxfId="25"/>
    <tableColumn id="4" xr3:uid="{608ED012-0664-40CE-AB23-447B300EB064}" uniqueName="4" name="Column4" totalsRowFunction="average" queryTableFieldId="4" dataDxfId="24" totalsRowDxfId="23"/>
    <tableColumn id="5" xr3:uid="{A2C0E293-A9B2-45D9-B6FA-9130A6DA54CE}" uniqueName="5" name="Column5" totalsRowFunction="average" queryTableFieldId="5" dataDxfId="22" totalsRowDxfId="21"/>
    <tableColumn id="6" xr3:uid="{758CEC7A-C79B-44D9-BC0F-1C98695A06A2}" uniqueName="6" name="Column6" totalsRowFunction="average" queryTableFieldId="6" dataDxfId="20" totalsRowDxfId="1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4E412-AD56-479E-BE36-CB7D31A18E73}" name="CMTSam_test2" displayName="CMTSam_test2" ref="A1:F78" tableType="queryTable" totalsRowCount="1" totalsRowDxfId="18">
  <autoFilter ref="A1:F77" xr:uid="{CC74E412-AD56-479E-BE36-CB7D31A18E73}"/>
  <tableColumns count="6">
    <tableColumn id="1" xr3:uid="{F901DA67-CC60-4483-BFB5-4C932B914409}" uniqueName="1" name="Column1" totalsRowFunction="custom" queryTableFieldId="1" dataDxfId="17" totalsRowDxfId="5">
      <totalsRowFormula>AVERAGE(A4:A77)</totalsRowFormula>
    </tableColumn>
    <tableColumn id="2" xr3:uid="{E44CC5D3-37EF-41FF-9E8C-5C42B92232C1}" uniqueName="2" name="Column2" queryTableFieldId="2" dataDxfId="16" totalsRowDxfId="4"/>
    <tableColumn id="3" xr3:uid="{1E2C54D6-4B85-4E2E-9D0E-DBEDAD24FA96}" uniqueName="3" name="Column3" totalsRowFunction="average" queryTableFieldId="3" dataDxfId="15" totalsRowDxfId="3"/>
    <tableColumn id="4" xr3:uid="{08D7FEED-4073-4EBC-BEC7-746CB7312899}" uniqueName="4" name="Column4" totalsRowFunction="average" queryTableFieldId="4" dataDxfId="14" totalsRowDxfId="2"/>
    <tableColumn id="5" xr3:uid="{220ADDA1-E0BC-481A-9B02-B8616D411CC2}" uniqueName="5" name="Column5" totalsRowFunction="average" queryTableFieldId="5" dataDxfId="13" totalsRowDxfId="1"/>
    <tableColumn id="6" xr3:uid="{B296EDF4-B678-40B1-935B-F726BF50F37C}" uniqueName="6" name="Column6" totalsRowFunction="average" queryTableFieldId="6" dataDxfId="12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4EE30-7887-4061-A2AB-D015F3B46C9D}">
  <dimension ref="A1:F79"/>
  <sheetViews>
    <sheetView workbookViewId="0">
      <selection activeCell="F77" sqref="F3:F77"/>
    </sheetView>
  </sheetViews>
  <sheetFormatPr defaultRowHeight="15" x14ac:dyDescent="0.25"/>
  <cols>
    <col min="1" max="1" width="18.7109375" bestFit="1" customWidth="1"/>
    <col min="2" max="2" width="11.140625" bestFit="1" customWidth="1"/>
    <col min="3" max="4" width="20.7109375" bestFit="1" customWidth="1"/>
    <col min="5" max="5" width="19.7109375" bestFit="1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1772.15480804443</v>
      </c>
      <c r="B3">
        <v>0</v>
      </c>
      <c r="C3">
        <v>0.91908153784895796</v>
      </c>
      <c r="D3">
        <v>0.95783479724277798</v>
      </c>
      <c r="E3">
        <v>0.98078466550210097</v>
      </c>
      <c r="F3">
        <v>0.99717356347655595</v>
      </c>
    </row>
    <row r="4" spans="1:6" x14ac:dyDescent="0.25">
      <c r="A4">
        <v>1060.1212978363001</v>
      </c>
      <c r="B4">
        <v>1</v>
      </c>
      <c r="C4">
        <v>0.80977706743090105</v>
      </c>
      <c r="D4">
        <v>0.89489151122953903</v>
      </c>
      <c r="E4">
        <v>0.84314119301064405</v>
      </c>
      <c r="F4">
        <v>0.99858343946028605</v>
      </c>
    </row>
    <row r="5" spans="1:6" x14ac:dyDescent="0.25">
      <c r="A5">
        <v>1056.0286045074399</v>
      </c>
      <c r="B5">
        <v>2</v>
      </c>
      <c r="C5">
        <v>0.93031892101450697</v>
      </c>
      <c r="D5">
        <v>0.96390177901334995</v>
      </c>
      <c r="E5">
        <v>0.97331568610707797</v>
      </c>
      <c r="F5">
        <v>0.99783874329661004</v>
      </c>
    </row>
    <row r="6" spans="1:6" x14ac:dyDescent="0.25">
      <c r="A6">
        <v>1056.8413734436001</v>
      </c>
      <c r="B6">
        <v>3</v>
      </c>
      <c r="C6">
        <v>0.895952944484803</v>
      </c>
      <c r="D6">
        <v>0.94512149902355802</v>
      </c>
      <c r="E6">
        <v>0.96384904328535004</v>
      </c>
      <c r="F6">
        <v>0.99702054397373796</v>
      </c>
    </row>
    <row r="7" spans="1:6" x14ac:dyDescent="0.25">
      <c r="A7">
        <v>1056.7715167999199</v>
      </c>
      <c r="B7">
        <v>4</v>
      </c>
      <c r="C7">
        <v>0.89261253601624801</v>
      </c>
      <c r="D7">
        <v>0.94325966781885995</v>
      </c>
      <c r="E7">
        <v>0.95765975776617795</v>
      </c>
      <c r="F7">
        <v>0.99714996382951304</v>
      </c>
    </row>
    <row r="8" spans="1:6" x14ac:dyDescent="0.25">
      <c r="A8">
        <v>1057.8496456146199</v>
      </c>
      <c r="B8">
        <v>5</v>
      </c>
      <c r="C8">
        <v>0.920611596505162</v>
      </c>
      <c r="D8">
        <v>0.95866504001157904</v>
      </c>
      <c r="E8">
        <v>0.98060449671101302</v>
      </c>
      <c r="F8">
        <v>0.99692299088082703</v>
      </c>
    </row>
    <row r="9" spans="1:6" x14ac:dyDescent="0.25">
      <c r="A9">
        <v>1057.12485313415</v>
      </c>
      <c r="B9">
        <v>6</v>
      </c>
      <c r="C9">
        <v>0.91912875312319098</v>
      </c>
      <c r="D9">
        <v>0.95786043706280799</v>
      </c>
      <c r="E9">
        <v>0.97799540381813499</v>
      </c>
      <c r="F9">
        <v>0.99565783671877395</v>
      </c>
    </row>
    <row r="10" spans="1:6" x14ac:dyDescent="0.25">
      <c r="A10">
        <v>1059.4654083251901</v>
      </c>
      <c r="B10">
        <v>7</v>
      </c>
      <c r="C10">
        <v>0.92567881502406701</v>
      </c>
      <c r="D10">
        <v>0.96140520194952395</v>
      </c>
      <c r="E10">
        <v>0.98403666824719405</v>
      </c>
      <c r="F10">
        <v>0.99680247705318803</v>
      </c>
    </row>
    <row r="11" spans="1:6" x14ac:dyDescent="0.25">
      <c r="A11">
        <v>1058.66479873657</v>
      </c>
      <c r="B11">
        <v>8</v>
      </c>
      <c r="C11">
        <v>0.8469268487371</v>
      </c>
      <c r="D11">
        <v>0.91712007902880999</v>
      </c>
      <c r="E11">
        <v>0.88907676193326302</v>
      </c>
      <c r="F11">
        <v>0.99661215833830696</v>
      </c>
    </row>
    <row r="12" spans="1:6" x14ac:dyDescent="0.25">
      <c r="A12">
        <v>1059.0527057647701</v>
      </c>
      <c r="B12">
        <v>9</v>
      </c>
      <c r="C12">
        <v>0.87885476750555802</v>
      </c>
      <c r="D12">
        <v>0.93552176858497704</v>
      </c>
      <c r="E12">
        <v>0.91458895726094402</v>
      </c>
      <c r="F12">
        <v>0.99754786715001398</v>
      </c>
    </row>
    <row r="13" spans="1:6" x14ac:dyDescent="0.25">
      <c r="A13">
        <v>1056.4303398132299</v>
      </c>
      <c r="B13">
        <v>10</v>
      </c>
      <c r="C13">
        <v>0.79254174181162296</v>
      </c>
      <c r="D13">
        <v>0.88426587044008798</v>
      </c>
      <c r="E13">
        <v>0.83041755562328501</v>
      </c>
      <c r="F13">
        <v>0.998456337384791</v>
      </c>
    </row>
    <row r="14" spans="1:6" x14ac:dyDescent="0.25">
      <c r="A14">
        <v>1059.77296829223</v>
      </c>
      <c r="B14">
        <v>11</v>
      </c>
      <c r="C14">
        <v>0.95192016060312801</v>
      </c>
      <c r="D14">
        <v>0.97536792725066401</v>
      </c>
      <c r="E14">
        <v>0.98345245378176305</v>
      </c>
      <c r="F14">
        <v>0.99773828723140801</v>
      </c>
    </row>
    <row r="15" spans="1:6" x14ac:dyDescent="0.25">
      <c r="A15">
        <v>1055.9754371643</v>
      </c>
      <c r="B15">
        <v>12</v>
      </c>
      <c r="C15">
        <v>0.92648289796507399</v>
      </c>
      <c r="D15">
        <v>0.96183869469457395</v>
      </c>
      <c r="E15">
        <v>0.98927448683967201</v>
      </c>
      <c r="F15">
        <v>0.99783590682294498</v>
      </c>
    </row>
    <row r="16" spans="1:6" x14ac:dyDescent="0.25">
      <c r="A16">
        <v>1057.7414035797101</v>
      </c>
      <c r="B16">
        <v>13</v>
      </c>
      <c r="C16">
        <v>0.93198482529966797</v>
      </c>
      <c r="D16">
        <v>0.96479518171692502</v>
      </c>
      <c r="E16">
        <v>0.98947386234790402</v>
      </c>
      <c r="F16">
        <v>0.99631626553206898</v>
      </c>
    </row>
    <row r="17" spans="1:6" x14ac:dyDescent="0.25">
      <c r="A17">
        <v>1056.9014549255301</v>
      </c>
      <c r="B17">
        <v>14</v>
      </c>
      <c r="C17">
        <v>0.79887278012122898</v>
      </c>
      <c r="D17">
        <v>0.88819263813352201</v>
      </c>
      <c r="E17">
        <v>0.828870908422214</v>
      </c>
      <c r="F17">
        <v>0.99900037791784801</v>
      </c>
    </row>
    <row r="18" spans="1:6" x14ac:dyDescent="0.25">
      <c r="A18">
        <v>1058.7177276611301</v>
      </c>
      <c r="B18">
        <v>15</v>
      </c>
      <c r="C18">
        <v>0.84447654820379403</v>
      </c>
      <c r="D18">
        <v>0.91568152387317703</v>
      </c>
      <c r="E18">
        <v>0.87531445913029504</v>
      </c>
      <c r="F18">
        <v>0.99816823403338995</v>
      </c>
    </row>
    <row r="19" spans="1:6" x14ac:dyDescent="0.25">
      <c r="A19">
        <v>1056.00547790527</v>
      </c>
      <c r="B19">
        <v>16</v>
      </c>
      <c r="C19">
        <v>0.92428568361848695</v>
      </c>
      <c r="D19">
        <v>0.96065328707370601</v>
      </c>
      <c r="E19">
        <v>0.97211623128852298</v>
      </c>
      <c r="F19">
        <v>0.99771777931563199</v>
      </c>
    </row>
    <row r="20" spans="1:6" x14ac:dyDescent="0.25">
      <c r="A20">
        <v>1057.89732933044</v>
      </c>
      <c r="B20">
        <v>17</v>
      </c>
      <c r="C20">
        <v>0.89809425321317704</v>
      </c>
      <c r="D20">
        <v>0.94631154558615205</v>
      </c>
      <c r="E20">
        <v>0.93399705014749201</v>
      </c>
      <c r="F20">
        <v>0.99735431444003297</v>
      </c>
    </row>
    <row r="21" spans="1:6" x14ac:dyDescent="0.25">
      <c r="A21">
        <v>1056.11276626586</v>
      </c>
      <c r="B21">
        <v>18</v>
      </c>
      <c r="C21">
        <v>0.92830443688889797</v>
      </c>
      <c r="D21">
        <v>0.96281937554073405</v>
      </c>
      <c r="E21">
        <v>0.95658607707875398</v>
      </c>
      <c r="F21">
        <v>0.99860366259301803</v>
      </c>
    </row>
    <row r="22" spans="1:6" x14ac:dyDescent="0.25">
      <c r="A22">
        <v>1054.8734664916899</v>
      </c>
      <c r="B22">
        <v>19</v>
      </c>
      <c r="C22">
        <v>0.90632380531950096</v>
      </c>
      <c r="D22">
        <v>0.95086029224463298</v>
      </c>
      <c r="E22">
        <v>0.96727915194346203</v>
      </c>
      <c r="F22">
        <v>0.99716238324026996</v>
      </c>
    </row>
    <row r="23" spans="1:6" x14ac:dyDescent="0.25">
      <c r="A23">
        <v>1056.1637878417901</v>
      </c>
      <c r="B23">
        <v>20</v>
      </c>
      <c r="C23">
        <v>0.91060936158975303</v>
      </c>
      <c r="D23">
        <v>0.95321354526606705</v>
      </c>
      <c r="E23">
        <v>0.97737203864232203</v>
      </c>
      <c r="F23">
        <v>0.99691524578156798</v>
      </c>
    </row>
    <row r="24" spans="1:6" x14ac:dyDescent="0.25">
      <c r="A24">
        <v>1056.5981864929199</v>
      </c>
      <c r="B24">
        <v>21</v>
      </c>
      <c r="C24">
        <v>0.92776438686351304</v>
      </c>
      <c r="D24">
        <v>0.96252881647325395</v>
      </c>
      <c r="E24">
        <v>0.97821252713506601</v>
      </c>
      <c r="F24">
        <v>0.99796795020191797</v>
      </c>
    </row>
    <row r="25" spans="1:6" x14ac:dyDescent="0.25">
      <c r="A25">
        <v>1056.30421638488</v>
      </c>
      <c r="B25">
        <v>22</v>
      </c>
      <c r="C25">
        <v>0.92267906815020795</v>
      </c>
      <c r="D25">
        <v>0.95978479553315099</v>
      </c>
      <c r="E25">
        <v>0.96429707017942301</v>
      </c>
      <c r="F25">
        <v>0.99696803459636296</v>
      </c>
    </row>
    <row r="26" spans="1:6" x14ac:dyDescent="0.25">
      <c r="A26">
        <v>1056.33974075317</v>
      </c>
      <c r="B26">
        <v>23</v>
      </c>
      <c r="C26">
        <v>0.86021167000679</v>
      </c>
      <c r="D26">
        <v>0.92485353562334105</v>
      </c>
      <c r="E26">
        <v>0.883252270330941</v>
      </c>
      <c r="F26">
        <v>0.99840872764893795</v>
      </c>
    </row>
    <row r="27" spans="1:6" x14ac:dyDescent="0.25">
      <c r="A27">
        <v>1056.49304389953</v>
      </c>
      <c r="B27">
        <v>24</v>
      </c>
      <c r="C27">
        <v>0.77169216692929399</v>
      </c>
      <c r="D27">
        <v>0.87113572135592199</v>
      </c>
      <c r="E27">
        <v>0.95015020653398397</v>
      </c>
      <c r="F27">
        <v>0.99273081387342299</v>
      </c>
    </row>
    <row r="28" spans="1:6" x14ac:dyDescent="0.25">
      <c r="A28">
        <v>1056.33616447448</v>
      </c>
      <c r="B28">
        <v>25</v>
      </c>
      <c r="C28">
        <v>0.90903395564465606</v>
      </c>
      <c r="D28">
        <v>0.95234969808348602</v>
      </c>
      <c r="E28">
        <v>0.94394448660956298</v>
      </c>
      <c r="F28">
        <v>0.99823334773123296</v>
      </c>
    </row>
    <row r="29" spans="1:6" x14ac:dyDescent="0.25">
      <c r="A29">
        <v>1056.0138225555399</v>
      </c>
      <c r="B29">
        <v>26</v>
      </c>
      <c r="C29">
        <v>0.82168717254370904</v>
      </c>
      <c r="D29">
        <v>0.90211665858781698</v>
      </c>
      <c r="E29">
        <v>0.93493792980262502</v>
      </c>
      <c r="F29">
        <v>0.993850295082228</v>
      </c>
    </row>
    <row r="30" spans="1:6" x14ac:dyDescent="0.25">
      <c r="A30">
        <v>1056.7715167999199</v>
      </c>
      <c r="B30">
        <v>27</v>
      </c>
      <c r="C30">
        <v>0.924445661100465</v>
      </c>
      <c r="D30">
        <v>0.96073968705547597</v>
      </c>
      <c r="E30">
        <v>0.98393852205266397</v>
      </c>
      <c r="F30">
        <v>0.99644345864086503</v>
      </c>
    </row>
    <row r="31" spans="1:6" x14ac:dyDescent="0.25">
      <c r="A31">
        <v>1051.5444278717</v>
      </c>
      <c r="B31">
        <v>28</v>
      </c>
      <c r="C31">
        <v>9.9043285734598096E-3</v>
      </c>
      <c r="D31">
        <v>1.96143897857139E-2</v>
      </c>
      <c r="E31">
        <v>3.8153364632237799E-2</v>
      </c>
      <c r="F31">
        <v>0.81490866031059905</v>
      </c>
    </row>
    <row r="32" spans="1:6" x14ac:dyDescent="0.25">
      <c r="A32">
        <v>1057.8680038452101</v>
      </c>
      <c r="B32">
        <v>29</v>
      </c>
      <c r="C32">
        <v>0.94201217411278204</v>
      </c>
      <c r="D32">
        <v>0.970140338634226</v>
      </c>
      <c r="E32">
        <v>0.99138201948412896</v>
      </c>
      <c r="F32">
        <v>0.99551065288111296</v>
      </c>
    </row>
    <row r="33" spans="1:6" x14ac:dyDescent="0.25">
      <c r="A33">
        <v>1056.78391456604</v>
      </c>
      <c r="B33">
        <v>30</v>
      </c>
      <c r="C33">
        <v>0.93131037752622503</v>
      </c>
      <c r="D33">
        <v>0.96443366986835199</v>
      </c>
      <c r="E33">
        <v>0.96828657108819705</v>
      </c>
      <c r="F33">
        <v>0.99806678734660803</v>
      </c>
    </row>
    <row r="34" spans="1:6" x14ac:dyDescent="0.25">
      <c r="A34">
        <v>1056.41222000122</v>
      </c>
      <c r="B34">
        <v>31</v>
      </c>
      <c r="C34">
        <v>0.87531820110309699</v>
      </c>
      <c r="D34">
        <v>0.93351432368994003</v>
      </c>
      <c r="E34">
        <v>0.96247485202787397</v>
      </c>
      <c r="F34">
        <v>0.99663307630346198</v>
      </c>
    </row>
    <row r="35" spans="1:6" x14ac:dyDescent="0.25">
      <c r="A35">
        <v>1056.21409416198</v>
      </c>
      <c r="B35">
        <v>32</v>
      </c>
      <c r="C35">
        <v>0.92454370517231299</v>
      </c>
      <c r="D35">
        <v>0.96079263119621805</v>
      </c>
      <c r="E35">
        <v>0.97776818476149296</v>
      </c>
      <c r="F35">
        <v>0.99816266379306096</v>
      </c>
    </row>
    <row r="36" spans="1:6" x14ac:dyDescent="0.25">
      <c r="A36">
        <v>1050.9929656982399</v>
      </c>
      <c r="B36">
        <v>33</v>
      </c>
      <c r="C36">
        <v>8.4951922237928204E-2</v>
      </c>
      <c r="D36">
        <v>0.156600344211931</v>
      </c>
      <c r="E36">
        <v>0.302679848287011</v>
      </c>
      <c r="F36">
        <v>0.83248056376264401</v>
      </c>
    </row>
    <row r="37" spans="1:6" x14ac:dyDescent="0.25">
      <c r="A37">
        <v>1055.1016330718901</v>
      </c>
      <c r="B37">
        <v>34</v>
      </c>
      <c r="C37">
        <v>0.77950855638437899</v>
      </c>
      <c r="D37">
        <v>0.87609419307113801</v>
      </c>
      <c r="E37">
        <v>0.95205770046669402</v>
      </c>
      <c r="F37">
        <v>0.99012445793106696</v>
      </c>
    </row>
    <row r="38" spans="1:6" x14ac:dyDescent="0.25">
      <c r="A38">
        <v>1054.68773841857</v>
      </c>
      <c r="B38">
        <v>35</v>
      </c>
      <c r="C38">
        <v>0.92401657595249798</v>
      </c>
      <c r="D38">
        <v>0.96050791609740405</v>
      </c>
      <c r="E38">
        <v>0.98152193551566103</v>
      </c>
      <c r="F38">
        <v>0.99616378773566205</v>
      </c>
    </row>
    <row r="39" spans="1:6" x14ac:dyDescent="0.25">
      <c r="A39">
        <v>1054.4807910919101</v>
      </c>
      <c r="B39">
        <v>36</v>
      </c>
      <c r="C39">
        <v>0.90697729704029395</v>
      </c>
      <c r="D39">
        <v>0.951219816248426</v>
      </c>
      <c r="E39">
        <v>0.96889046905553999</v>
      </c>
      <c r="F39">
        <v>0.99733650152249398</v>
      </c>
    </row>
    <row r="40" spans="1:6" x14ac:dyDescent="0.25">
      <c r="A40">
        <v>1058.64906311035</v>
      </c>
      <c r="B40">
        <v>37</v>
      </c>
      <c r="C40">
        <v>0.77457292471456696</v>
      </c>
      <c r="D40">
        <v>0.87296826625386903</v>
      </c>
      <c r="E40">
        <v>0.85633209323513704</v>
      </c>
      <c r="F40">
        <v>0.99441606117932402</v>
      </c>
    </row>
    <row r="41" spans="1:6" x14ac:dyDescent="0.25">
      <c r="A41">
        <v>1055.5655956268299</v>
      </c>
      <c r="B41">
        <v>38</v>
      </c>
      <c r="C41">
        <v>0.88221805595615799</v>
      </c>
      <c r="D41">
        <v>0.93742385815972296</v>
      </c>
      <c r="E41">
        <v>0.92732730001364305</v>
      </c>
      <c r="F41">
        <v>0.99656730194818</v>
      </c>
    </row>
    <row r="42" spans="1:6" x14ac:dyDescent="0.25">
      <c r="A42">
        <v>1055.13620376586</v>
      </c>
      <c r="B42">
        <v>39</v>
      </c>
      <c r="C42">
        <v>0.91345366211902901</v>
      </c>
      <c r="D42">
        <v>0.95476956688612602</v>
      </c>
      <c r="E42">
        <v>0.96496881807059898</v>
      </c>
      <c r="F42">
        <v>0.99813804660400296</v>
      </c>
    </row>
    <row r="43" spans="1:6" x14ac:dyDescent="0.25">
      <c r="A43">
        <v>1052.7155399322501</v>
      </c>
      <c r="B43">
        <v>40</v>
      </c>
      <c r="C43">
        <v>0.90869468037550205</v>
      </c>
      <c r="D43">
        <v>0.95216347561332604</v>
      </c>
      <c r="E43">
        <v>0.96897592754429096</v>
      </c>
      <c r="F43">
        <v>0.99665407101383596</v>
      </c>
    </row>
    <row r="44" spans="1:6" x14ac:dyDescent="0.25">
      <c r="A44">
        <v>1056.9732189178401</v>
      </c>
      <c r="B44">
        <v>41</v>
      </c>
      <c r="C44">
        <v>0.92680558522517598</v>
      </c>
      <c r="D44">
        <v>0.96201255833173704</v>
      </c>
      <c r="E44">
        <v>0.97855238876358397</v>
      </c>
      <c r="F44">
        <v>0.99727647163549704</v>
      </c>
    </row>
    <row r="45" spans="1:6" x14ac:dyDescent="0.25">
      <c r="A45">
        <v>1055.0978183746299</v>
      </c>
      <c r="B45">
        <v>42</v>
      </c>
      <c r="C45">
        <v>0.91954347902900901</v>
      </c>
      <c r="D45">
        <v>0.95808559595029896</v>
      </c>
      <c r="E45">
        <v>0.98875379939209695</v>
      </c>
      <c r="F45">
        <v>0.99806212925138105</v>
      </c>
    </row>
    <row r="46" spans="1:6" x14ac:dyDescent="0.25">
      <c r="A46">
        <v>1054.68702316284</v>
      </c>
      <c r="B46">
        <v>43</v>
      </c>
      <c r="C46">
        <v>0.91759573436742603</v>
      </c>
      <c r="D46">
        <v>0.95702730030333605</v>
      </c>
      <c r="E46">
        <v>0.98052880653591601</v>
      </c>
      <c r="F46">
        <v>0.99710467019778204</v>
      </c>
    </row>
    <row r="47" spans="1:6" x14ac:dyDescent="0.25">
      <c r="A47">
        <v>1054.14271354675</v>
      </c>
      <c r="B47">
        <v>44</v>
      </c>
      <c r="C47">
        <v>0.90752684128386896</v>
      </c>
      <c r="D47">
        <v>0.95152196199037897</v>
      </c>
      <c r="E47">
        <v>0.98225369884201297</v>
      </c>
      <c r="F47">
        <v>0.99595172891992401</v>
      </c>
    </row>
    <row r="48" spans="1:6" x14ac:dyDescent="0.25">
      <c r="A48">
        <v>1055.0670623779199</v>
      </c>
      <c r="B48">
        <v>45</v>
      </c>
      <c r="C48">
        <v>0.891103041307308</v>
      </c>
      <c r="D48">
        <v>0.94241616859892896</v>
      </c>
      <c r="E48">
        <v>0.92529223227752599</v>
      </c>
      <c r="F48">
        <v>0.99838194135233105</v>
      </c>
    </row>
    <row r="49" spans="1:6" x14ac:dyDescent="0.25">
      <c r="A49">
        <v>1054.6085834503101</v>
      </c>
      <c r="B49">
        <v>46</v>
      </c>
      <c r="C49">
        <v>0.740057738761562</v>
      </c>
      <c r="D49">
        <v>0.85061285298300204</v>
      </c>
      <c r="E49">
        <v>0.78801756587201999</v>
      </c>
      <c r="F49">
        <v>0.99796792748274799</v>
      </c>
    </row>
    <row r="50" spans="1:6" x14ac:dyDescent="0.25">
      <c r="A50">
        <v>1055.6216239929199</v>
      </c>
      <c r="B50">
        <v>47</v>
      </c>
      <c r="C50">
        <v>0.92189417454702904</v>
      </c>
      <c r="D50">
        <v>0.95935997596153799</v>
      </c>
      <c r="E50">
        <v>0.97712318286151401</v>
      </c>
      <c r="F50">
        <v>0.99767279658716401</v>
      </c>
    </row>
    <row r="51" spans="1:6" x14ac:dyDescent="0.25">
      <c r="A51">
        <v>1054.2871952056801</v>
      </c>
      <c r="B51">
        <v>48</v>
      </c>
      <c r="C51">
        <v>0.868843358026404</v>
      </c>
      <c r="D51">
        <v>0.92981934980783798</v>
      </c>
      <c r="E51">
        <v>0.97414899824936696</v>
      </c>
      <c r="F51">
        <v>0.99375129115914496</v>
      </c>
    </row>
    <row r="52" spans="1:6" x14ac:dyDescent="0.25">
      <c r="A52">
        <v>1054.2335510253899</v>
      </c>
      <c r="B52">
        <v>49</v>
      </c>
      <c r="C52">
        <v>0.92552138127359296</v>
      </c>
      <c r="D52">
        <v>0.961320284754696</v>
      </c>
      <c r="E52">
        <v>0.99302811991633699</v>
      </c>
      <c r="F52">
        <v>0.99784281092438998</v>
      </c>
    </row>
    <row r="53" spans="1:6" x14ac:dyDescent="0.25">
      <c r="A53">
        <v>1054.2879104614201</v>
      </c>
      <c r="B53">
        <v>50</v>
      </c>
      <c r="C53">
        <v>0.81512729791919203</v>
      </c>
      <c r="D53">
        <v>0.89814890542787795</v>
      </c>
      <c r="E53">
        <v>0.86029507768638203</v>
      </c>
      <c r="F53">
        <v>0.99789959427129604</v>
      </c>
    </row>
    <row r="54" spans="1:6" x14ac:dyDescent="0.25">
      <c r="A54">
        <v>1054.6000003814599</v>
      </c>
      <c r="B54">
        <v>51</v>
      </c>
      <c r="C54">
        <v>0.90797023978356195</v>
      </c>
      <c r="D54">
        <v>0.95176562071173698</v>
      </c>
      <c r="E54">
        <v>0.97036328871892896</v>
      </c>
      <c r="F54">
        <v>0.99706967355745801</v>
      </c>
    </row>
    <row r="55" spans="1:6" x14ac:dyDescent="0.25">
      <c r="A55">
        <v>1054.4242858886701</v>
      </c>
      <c r="B55">
        <v>52</v>
      </c>
      <c r="C55">
        <v>0.90631856077226802</v>
      </c>
      <c r="D55">
        <v>0.95085740591552503</v>
      </c>
      <c r="E55">
        <v>0.97231197175564299</v>
      </c>
      <c r="F55">
        <v>0.99660325341047096</v>
      </c>
    </row>
    <row r="56" spans="1:6" x14ac:dyDescent="0.25">
      <c r="A56">
        <v>1056.3626289367601</v>
      </c>
      <c r="B56">
        <v>53</v>
      </c>
      <c r="C56">
        <v>0.93669628410026395</v>
      </c>
      <c r="D56">
        <v>0.96731355534709196</v>
      </c>
      <c r="E56">
        <v>0.98117752007136405</v>
      </c>
      <c r="F56">
        <v>0.99842651727284004</v>
      </c>
    </row>
    <row r="57" spans="1:6" x14ac:dyDescent="0.25">
      <c r="A57">
        <v>1054.7511577606199</v>
      </c>
      <c r="B57">
        <v>54</v>
      </c>
      <c r="C57">
        <v>0.92630494176292899</v>
      </c>
      <c r="D57">
        <v>0.96174278711571703</v>
      </c>
      <c r="E57">
        <v>0.98876950626758697</v>
      </c>
      <c r="F57">
        <v>0.99456716639392495</v>
      </c>
    </row>
    <row r="58" spans="1:6" x14ac:dyDescent="0.25">
      <c r="A58">
        <v>1056.83922767639</v>
      </c>
      <c r="B58">
        <v>55</v>
      </c>
      <c r="C58">
        <v>0.87514423403244401</v>
      </c>
      <c r="D58">
        <v>0.93341538016035297</v>
      </c>
      <c r="E58">
        <v>0.90341227578475303</v>
      </c>
      <c r="F58">
        <v>0.99814016911954495</v>
      </c>
    </row>
    <row r="59" spans="1:6" x14ac:dyDescent="0.25">
      <c r="A59">
        <v>1054.79502677917</v>
      </c>
      <c r="B59">
        <v>56</v>
      </c>
      <c r="C59">
        <v>0.93300536672629697</v>
      </c>
      <c r="D59">
        <v>0.96534172412197405</v>
      </c>
      <c r="E59">
        <v>0.97047604279733202</v>
      </c>
      <c r="F59">
        <v>0.99872580881622197</v>
      </c>
    </row>
    <row r="60" spans="1:6" x14ac:dyDescent="0.25">
      <c r="A60">
        <v>1054.4400215148901</v>
      </c>
      <c r="B60">
        <v>57</v>
      </c>
      <c r="C60">
        <v>0.88753438068155299</v>
      </c>
      <c r="D60">
        <v>0.94041665123056595</v>
      </c>
      <c r="E60">
        <v>0.94556606819141198</v>
      </c>
      <c r="F60">
        <v>0.99738869213443904</v>
      </c>
    </row>
    <row r="61" spans="1:6" x14ac:dyDescent="0.25">
      <c r="A61">
        <v>1054.6991825103701</v>
      </c>
      <c r="B61">
        <v>58</v>
      </c>
      <c r="C61">
        <v>0.91162398614781703</v>
      </c>
      <c r="D61">
        <v>0.95376914367439303</v>
      </c>
      <c r="E61">
        <v>0.94134945654731095</v>
      </c>
      <c r="F61">
        <v>0.99862236226107504</v>
      </c>
    </row>
    <row r="62" spans="1:6" x14ac:dyDescent="0.25">
      <c r="A62">
        <v>1053.82704734802</v>
      </c>
      <c r="B62">
        <v>59</v>
      </c>
      <c r="C62">
        <v>0.92642523570358604</v>
      </c>
      <c r="D62">
        <v>0.96180762018021304</v>
      </c>
      <c r="E62">
        <v>0.97058877831730095</v>
      </c>
      <c r="F62">
        <v>0.99740349331716205</v>
      </c>
    </row>
    <row r="63" spans="1:6" x14ac:dyDescent="0.25">
      <c r="A63">
        <v>1053.8260936736999</v>
      </c>
      <c r="B63">
        <v>60</v>
      </c>
      <c r="C63">
        <v>0.92183518997228897</v>
      </c>
      <c r="D63">
        <v>0.959328036849592</v>
      </c>
      <c r="E63">
        <v>0.98357012461306403</v>
      </c>
      <c r="F63">
        <v>0.99661884630026598</v>
      </c>
    </row>
    <row r="64" spans="1:6" x14ac:dyDescent="0.25">
      <c r="A64">
        <v>1054.9550056457499</v>
      </c>
      <c r="B64">
        <v>61</v>
      </c>
      <c r="C64">
        <v>0.93004764992810196</v>
      </c>
      <c r="D64">
        <v>0.963756153857391</v>
      </c>
      <c r="E64">
        <v>0.97352654723607701</v>
      </c>
      <c r="F64">
        <v>0.99843893670302197</v>
      </c>
    </row>
    <row r="65" spans="1:6" x14ac:dyDescent="0.25">
      <c r="A65">
        <v>1054.43429946899</v>
      </c>
      <c r="B65">
        <v>62</v>
      </c>
      <c r="C65">
        <v>0.91059221253234801</v>
      </c>
      <c r="D65">
        <v>0.95320414954002697</v>
      </c>
      <c r="E65">
        <v>0.95379408677122601</v>
      </c>
      <c r="F65">
        <v>0.996925117262907</v>
      </c>
    </row>
    <row r="66" spans="1:6" x14ac:dyDescent="0.25">
      <c r="A66">
        <v>1054.4416904449399</v>
      </c>
      <c r="B66">
        <v>63</v>
      </c>
      <c r="C66">
        <v>0.90015839204762604</v>
      </c>
      <c r="D66">
        <v>0.94745616556481704</v>
      </c>
      <c r="E66">
        <v>0.940508460067908</v>
      </c>
      <c r="F66">
        <v>0.99844997035111904</v>
      </c>
    </row>
    <row r="67" spans="1:6" x14ac:dyDescent="0.25">
      <c r="A67">
        <v>1054.14295196533</v>
      </c>
      <c r="B67">
        <v>64</v>
      </c>
      <c r="C67">
        <v>0.91141446413011895</v>
      </c>
      <c r="D67">
        <v>0.95365445980853902</v>
      </c>
      <c r="E67">
        <v>0.97712244711054097</v>
      </c>
      <c r="F67">
        <v>0.99604016575769505</v>
      </c>
    </row>
    <row r="68" spans="1:6" x14ac:dyDescent="0.25">
      <c r="A68">
        <v>1054.4714927673299</v>
      </c>
      <c r="B68">
        <v>65</v>
      </c>
      <c r="C68">
        <v>0.82760995113282898</v>
      </c>
      <c r="D68">
        <v>0.90567459497563096</v>
      </c>
      <c r="E68">
        <v>0.97782385051438103</v>
      </c>
      <c r="F68">
        <v>0.99315567378413205</v>
      </c>
    </row>
    <row r="69" spans="1:6" x14ac:dyDescent="0.25">
      <c r="A69">
        <v>1055.2031993865901</v>
      </c>
      <c r="B69">
        <v>66</v>
      </c>
      <c r="C69">
        <v>0.86041976980365598</v>
      </c>
      <c r="D69">
        <v>0.92497379760102405</v>
      </c>
      <c r="E69">
        <v>0.90370201811898199</v>
      </c>
      <c r="F69">
        <v>0.99638440787395599</v>
      </c>
    </row>
    <row r="70" spans="1:6" x14ac:dyDescent="0.25">
      <c r="A70">
        <v>1054.39329147338</v>
      </c>
      <c r="B70">
        <v>67</v>
      </c>
      <c r="C70">
        <v>0.89670889626478401</v>
      </c>
      <c r="D70">
        <v>0.94554193111097395</v>
      </c>
      <c r="E70">
        <v>0.95768635478556097</v>
      </c>
      <c r="F70">
        <v>0.99729900705788099</v>
      </c>
    </row>
    <row r="71" spans="1:6" x14ac:dyDescent="0.25">
      <c r="A71">
        <v>1054.00562286376</v>
      </c>
      <c r="B71">
        <v>68</v>
      </c>
      <c r="C71">
        <v>0.90263307876439003</v>
      </c>
      <c r="D71">
        <v>0.94882517164116498</v>
      </c>
      <c r="E71">
        <v>0.974765503828257</v>
      </c>
      <c r="F71">
        <v>0.99677962452763302</v>
      </c>
    </row>
    <row r="72" spans="1:6" x14ac:dyDescent="0.25">
      <c r="A72">
        <v>1054.3704032897899</v>
      </c>
      <c r="B72">
        <v>69</v>
      </c>
      <c r="C72">
        <v>0.93739658025372297</v>
      </c>
      <c r="D72">
        <v>0.96768683274021305</v>
      </c>
      <c r="E72">
        <v>0.99373512091216598</v>
      </c>
      <c r="F72">
        <v>0.99712398445072903</v>
      </c>
    </row>
    <row r="73" spans="1:6" x14ac:dyDescent="0.25">
      <c r="A73">
        <v>1053.7741184234601</v>
      </c>
      <c r="B73">
        <v>70</v>
      </c>
      <c r="C73">
        <v>0.92760207464025202</v>
      </c>
      <c r="D73">
        <v>0.962441457024651</v>
      </c>
      <c r="E73">
        <v>0.97020434800342603</v>
      </c>
      <c r="F73">
        <v>0.99774696811139496</v>
      </c>
    </row>
    <row r="74" spans="1:6" x14ac:dyDescent="0.25">
      <c r="A74">
        <v>1053.92980575561</v>
      </c>
      <c r="B74">
        <v>71</v>
      </c>
      <c r="C74">
        <v>0.91545391545391497</v>
      </c>
      <c r="D74">
        <v>0.95586107091172201</v>
      </c>
      <c r="E74">
        <v>0.97223561657741797</v>
      </c>
      <c r="F74">
        <v>0.99757821503349697</v>
      </c>
    </row>
    <row r="75" spans="1:6" x14ac:dyDescent="0.25">
      <c r="A75">
        <v>1054.0552139282199</v>
      </c>
      <c r="B75">
        <v>72</v>
      </c>
      <c r="C75">
        <v>0.90844803132303797</v>
      </c>
      <c r="D75">
        <v>0.95202805254618705</v>
      </c>
      <c r="E75">
        <v>0.96726576624481497</v>
      </c>
      <c r="F75">
        <v>0.99696074427818104</v>
      </c>
    </row>
    <row r="76" spans="1:6" x14ac:dyDescent="0.25">
      <c r="A76">
        <v>1054.44407463073</v>
      </c>
      <c r="B76">
        <v>73</v>
      </c>
      <c r="C76">
        <v>0.86766645498509998</v>
      </c>
      <c r="D76">
        <v>0.92914497946799801</v>
      </c>
      <c r="E76">
        <v>0.92892631138538695</v>
      </c>
      <c r="F76">
        <v>0.99732761641199796</v>
      </c>
    </row>
    <row r="77" spans="1:6" x14ac:dyDescent="0.25">
      <c r="A77">
        <v>1053.99537086486</v>
      </c>
      <c r="B77">
        <v>74</v>
      </c>
      <c r="C77">
        <v>0.90868596881959895</v>
      </c>
      <c r="D77">
        <v>0.95215869311551904</v>
      </c>
      <c r="E77">
        <v>0.97062860279989005</v>
      </c>
      <c r="F77">
        <v>0.99854877386000795</v>
      </c>
    </row>
    <row r="78" spans="1:6" x14ac:dyDescent="0.25">
      <c r="A78" s="1">
        <f>AVERAGE(A4:A77)</f>
        <v>1055.6447183763617</v>
      </c>
      <c r="B78" s="1"/>
      <c r="C78" s="1">
        <f>SUBTOTAL(101,Sam_test2[Column3])</f>
        <v>0.87092735088446338</v>
      </c>
      <c r="D78" s="1">
        <f>SUBTOTAL(101,Sam_test2[Column4])</f>
        <v>0.92029098339383386</v>
      </c>
      <c r="E78" s="1">
        <f>SUBTOTAL(101,Sam_test2[Column5])</f>
        <v>0.9307501725804247</v>
      </c>
      <c r="F78" s="1">
        <f>SUBTOTAL(101,Sam_test2[Column6])</f>
        <v>0.99240773584542696</v>
      </c>
    </row>
    <row r="79" spans="1:6" x14ac:dyDescent="0.25">
      <c r="A79" s="1">
        <f>STDEVA(A4:A77)</f>
        <v>1.7702356118763809</v>
      </c>
      <c r="B79" s="1"/>
      <c r="C79" s="1">
        <f>STDEVA(C3:C77)</f>
        <v>0.14487049163427523</v>
      </c>
      <c r="D79" s="1">
        <f>STDEVA(D3:D77)</f>
        <v>0.14167100509824068</v>
      </c>
      <c r="E79" s="1">
        <f>STDEVA(E3:E77)</f>
        <v>0.1357821854565413</v>
      </c>
      <c r="F79" s="1">
        <f>STDEVA(F3:F77)</f>
        <v>2.8191269988355954E-2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2ECE5-7379-44F3-BBA4-B4A79492CAC1}">
  <dimension ref="A1:F79"/>
  <sheetViews>
    <sheetView topLeftCell="A44" workbookViewId="0">
      <selection activeCell="F3" sqref="F3:F77"/>
    </sheetView>
  </sheetViews>
  <sheetFormatPr defaultRowHeight="15" x14ac:dyDescent="0.25"/>
  <cols>
    <col min="1" max="1" width="18.7109375" bestFit="1" customWidth="1"/>
    <col min="2" max="2" width="11.140625" bestFit="1" customWidth="1"/>
    <col min="3" max="3" width="19.7109375" bestFit="1" customWidth="1"/>
    <col min="4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900.26950836181595</v>
      </c>
      <c r="B3" t="s">
        <v>12</v>
      </c>
      <c r="C3">
        <v>0.80595306239267295</v>
      </c>
      <c r="D3">
        <v>0.892551505546751</v>
      </c>
      <c r="E3">
        <v>0.85816593442872702</v>
      </c>
      <c r="F3">
        <v>0.99747225274698004</v>
      </c>
    </row>
    <row r="4" spans="1:6" x14ac:dyDescent="0.25">
      <c r="A4">
        <v>65.192699432373004</v>
      </c>
      <c r="B4" t="s">
        <v>13</v>
      </c>
      <c r="C4">
        <v>0.89197299324831203</v>
      </c>
      <c r="D4">
        <v>0.94290245836637498</v>
      </c>
      <c r="E4">
        <v>0.95918521693095005</v>
      </c>
      <c r="F4">
        <v>0.99703739385811796</v>
      </c>
    </row>
    <row r="5" spans="1:6" x14ac:dyDescent="0.25">
      <c r="A5">
        <v>62.721490859985302</v>
      </c>
      <c r="B5" t="s">
        <v>14</v>
      </c>
      <c r="C5">
        <v>0.81844093861858602</v>
      </c>
      <c r="D5">
        <v>0.90015674552546199</v>
      </c>
      <c r="E5">
        <v>0.97210266638673104</v>
      </c>
      <c r="F5">
        <v>0.99292014029087305</v>
      </c>
    </row>
    <row r="6" spans="1:6" x14ac:dyDescent="0.25">
      <c r="A6">
        <v>67.139148712158203</v>
      </c>
      <c r="B6" t="s">
        <v>15</v>
      </c>
      <c r="C6">
        <v>0.92623384772250394</v>
      </c>
      <c r="D6">
        <v>0.96170446679425003</v>
      </c>
      <c r="E6">
        <v>0.97023785071683799</v>
      </c>
      <c r="F6">
        <v>0.99768674554200898</v>
      </c>
    </row>
    <row r="7" spans="1:6" x14ac:dyDescent="0.25">
      <c r="A7">
        <v>61.521291732788001</v>
      </c>
      <c r="B7" t="s">
        <v>16</v>
      </c>
      <c r="C7">
        <v>0.87607915413716098</v>
      </c>
      <c r="D7">
        <v>0.93394689899433803</v>
      </c>
      <c r="E7">
        <v>0.94466816589090497</v>
      </c>
      <c r="F7">
        <v>0.99703662353241596</v>
      </c>
    </row>
    <row r="8" spans="1:6" x14ac:dyDescent="0.25">
      <c r="A8">
        <v>61.6497993469238</v>
      </c>
      <c r="B8" t="s">
        <v>17</v>
      </c>
      <c r="C8">
        <v>0.90747191670906802</v>
      </c>
      <c r="D8">
        <v>0.95149177165839005</v>
      </c>
      <c r="E8">
        <v>0.98077370502760197</v>
      </c>
      <c r="F8">
        <v>0.99618594682696504</v>
      </c>
    </row>
    <row r="9" spans="1:6" x14ac:dyDescent="0.25">
      <c r="A9">
        <v>62.681674957275298</v>
      </c>
      <c r="B9" t="s">
        <v>18</v>
      </c>
      <c r="C9">
        <v>0.82237791850326203</v>
      </c>
      <c r="D9">
        <v>0.90253279536956799</v>
      </c>
      <c r="E9">
        <v>0.85303278361218704</v>
      </c>
      <c r="F9">
        <v>0.99813017656661496</v>
      </c>
    </row>
    <row r="10" spans="1:6" x14ac:dyDescent="0.25">
      <c r="A10">
        <v>61.739683151245103</v>
      </c>
      <c r="B10" t="s">
        <v>19</v>
      </c>
      <c r="C10">
        <v>0.82861400894187698</v>
      </c>
      <c r="D10">
        <v>0.90627546862265596</v>
      </c>
      <c r="E10">
        <v>0.88695097309369297</v>
      </c>
      <c r="F10">
        <v>0.99669515885702398</v>
      </c>
    </row>
    <row r="11" spans="1:6" x14ac:dyDescent="0.25">
      <c r="A11">
        <v>61.493158340454102</v>
      </c>
      <c r="B11" t="s">
        <v>20</v>
      </c>
      <c r="C11">
        <v>0.89967078037924597</v>
      </c>
      <c r="D11">
        <v>0.94718599630156697</v>
      </c>
      <c r="E11">
        <v>0.97155795662191102</v>
      </c>
      <c r="F11">
        <v>0.99596985858942</v>
      </c>
    </row>
    <row r="12" spans="1:6" x14ac:dyDescent="0.25">
      <c r="A12">
        <v>62.0291233062744</v>
      </c>
      <c r="B12" t="s">
        <v>21</v>
      </c>
      <c r="C12">
        <v>0.850101307130946</v>
      </c>
      <c r="D12">
        <v>0.91897811633812099</v>
      </c>
      <c r="E12">
        <v>0.99008060811093002</v>
      </c>
      <c r="F12">
        <v>0.99212043689854001</v>
      </c>
    </row>
    <row r="13" spans="1:6" x14ac:dyDescent="0.25">
      <c r="A13">
        <v>61.646223068237298</v>
      </c>
      <c r="B13" t="s">
        <v>22</v>
      </c>
      <c r="C13">
        <v>0.92395853148183305</v>
      </c>
      <c r="D13">
        <v>0.96047655535506804</v>
      </c>
      <c r="E13">
        <v>0.98639386708635801</v>
      </c>
      <c r="F13">
        <v>0.99596456742648898</v>
      </c>
    </row>
    <row r="14" spans="1:6" x14ac:dyDescent="0.25">
      <c r="A14">
        <v>65.060138702392507</v>
      </c>
      <c r="B14" t="s">
        <v>23</v>
      </c>
      <c r="C14">
        <v>0.78392827959750599</v>
      </c>
      <c r="D14">
        <v>0.87887869547578201</v>
      </c>
      <c r="E14">
        <v>0.83384240979413404</v>
      </c>
      <c r="F14">
        <v>0.99745712367364303</v>
      </c>
    </row>
    <row r="15" spans="1:6" x14ac:dyDescent="0.25">
      <c r="A15">
        <v>61.8329048156738</v>
      </c>
      <c r="B15" t="s">
        <v>24</v>
      </c>
      <c r="C15">
        <v>0.91197129039686797</v>
      </c>
      <c r="D15">
        <v>0.953959188589667</v>
      </c>
      <c r="E15">
        <v>0.97438999384867697</v>
      </c>
      <c r="F15">
        <v>0.99666135230234598</v>
      </c>
    </row>
    <row r="16" spans="1:6" x14ac:dyDescent="0.25">
      <c r="A16">
        <v>64.143419265746999</v>
      </c>
      <c r="B16" t="s">
        <v>25</v>
      </c>
      <c r="C16">
        <v>0.78506591476836995</v>
      </c>
      <c r="D16">
        <v>0.87959319403646796</v>
      </c>
      <c r="E16">
        <v>0.97872406031266301</v>
      </c>
      <c r="F16">
        <v>0.99212710784386005</v>
      </c>
    </row>
    <row r="17" spans="1:6" x14ac:dyDescent="0.25">
      <c r="A17">
        <v>61.377048492431598</v>
      </c>
      <c r="B17" t="s">
        <v>26</v>
      </c>
      <c r="C17">
        <v>0.68415729228340205</v>
      </c>
      <c r="D17">
        <v>0.81246246466185201</v>
      </c>
      <c r="E17">
        <v>0.86784954312179197</v>
      </c>
      <c r="F17">
        <v>0.99156026834018596</v>
      </c>
    </row>
    <row r="18" spans="1:6" x14ac:dyDescent="0.25">
      <c r="A18">
        <v>58.4378242492675</v>
      </c>
      <c r="B18" t="s">
        <v>27</v>
      </c>
      <c r="C18">
        <v>0.253572744768846</v>
      </c>
      <c r="D18">
        <v>0.40456007970339802</v>
      </c>
      <c r="E18">
        <v>0.96258471678169499</v>
      </c>
      <c r="F18">
        <v>0.81724247239505599</v>
      </c>
    </row>
    <row r="19" spans="1:6" x14ac:dyDescent="0.25">
      <c r="A19">
        <v>65.172910690307603</v>
      </c>
      <c r="B19" t="s">
        <v>28</v>
      </c>
      <c r="C19">
        <v>0.85505944152612601</v>
      </c>
      <c r="D19">
        <v>0.92186743172249297</v>
      </c>
      <c r="E19">
        <v>0.92648160167756699</v>
      </c>
      <c r="F19">
        <v>0.99668226050501796</v>
      </c>
    </row>
    <row r="20" spans="1:6" x14ac:dyDescent="0.25">
      <c r="A20">
        <v>65.163373947143498</v>
      </c>
      <c r="B20" t="s">
        <v>29</v>
      </c>
      <c r="C20">
        <v>0.76622585943251897</v>
      </c>
      <c r="D20">
        <v>0.86764198965890404</v>
      </c>
      <c r="E20">
        <v>0.82036472781845404</v>
      </c>
      <c r="F20">
        <v>0.99525650589400205</v>
      </c>
    </row>
    <row r="21" spans="1:6" x14ac:dyDescent="0.25">
      <c r="A21">
        <v>61.8820190429687</v>
      </c>
      <c r="B21" t="s">
        <v>30</v>
      </c>
      <c r="C21">
        <v>0.75727722035803402</v>
      </c>
      <c r="D21">
        <v>0.86187564669363104</v>
      </c>
      <c r="E21">
        <v>0.80249789798206195</v>
      </c>
      <c r="F21">
        <v>0.99656173347534205</v>
      </c>
    </row>
    <row r="22" spans="1:6" x14ac:dyDescent="0.25">
      <c r="A22">
        <v>57.4209690093994</v>
      </c>
      <c r="B22" t="s">
        <v>31</v>
      </c>
      <c r="C22">
        <v>0.24563386444015001</v>
      </c>
      <c r="D22">
        <v>0.39439175740545601</v>
      </c>
      <c r="E22">
        <v>0.94887323943661905</v>
      </c>
      <c r="F22">
        <v>0.81420995332474799</v>
      </c>
    </row>
    <row r="23" spans="1:6" x14ac:dyDescent="0.25">
      <c r="A23">
        <v>63.306808471679602</v>
      </c>
      <c r="B23" t="s">
        <v>32</v>
      </c>
      <c r="C23">
        <v>0.75831512320096395</v>
      </c>
      <c r="D23">
        <v>0.86254746170922103</v>
      </c>
      <c r="E23">
        <v>0.95509072963328501</v>
      </c>
      <c r="F23">
        <v>0.98627260787314197</v>
      </c>
    </row>
    <row r="24" spans="1:6" x14ac:dyDescent="0.25">
      <c r="A24">
        <v>62.365293502807603</v>
      </c>
      <c r="B24" t="s">
        <v>33</v>
      </c>
      <c r="C24">
        <v>0.73728172065464204</v>
      </c>
      <c r="D24">
        <v>0.84877623690971604</v>
      </c>
      <c r="E24">
        <v>0.86089606827186804</v>
      </c>
      <c r="F24">
        <v>0.99458438262355697</v>
      </c>
    </row>
    <row r="25" spans="1:6" x14ac:dyDescent="0.25">
      <c r="A25">
        <v>61.800479888916001</v>
      </c>
      <c r="B25" t="s">
        <v>34</v>
      </c>
      <c r="C25">
        <v>0.90116279069767402</v>
      </c>
      <c r="D25">
        <v>0.94801223241590205</v>
      </c>
      <c r="E25">
        <v>0.96500023317632799</v>
      </c>
      <c r="F25">
        <v>0.99697918841790201</v>
      </c>
    </row>
    <row r="26" spans="1:6" x14ac:dyDescent="0.25">
      <c r="A26">
        <v>61.581611633300703</v>
      </c>
      <c r="B26" t="s">
        <v>35</v>
      </c>
      <c r="C26">
        <v>0.81798729301774298</v>
      </c>
      <c r="D26">
        <v>0.89988229968311395</v>
      </c>
      <c r="E26">
        <v>0.96666018284380395</v>
      </c>
      <c r="F26">
        <v>0.99062944384385299</v>
      </c>
    </row>
    <row r="27" spans="1:6" x14ac:dyDescent="0.25">
      <c r="A27">
        <v>61.268806457519503</v>
      </c>
      <c r="B27" t="s">
        <v>36</v>
      </c>
      <c r="C27">
        <v>0.86186328990095196</v>
      </c>
      <c r="D27">
        <v>0.92580727551355402</v>
      </c>
      <c r="E27">
        <v>0.95279150457365103</v>
      </c>
      <c r="F27">
        <v>0.99284724322529805</v>
      </c>
    </row>
    <row r="28" spans="1:6" x14ac:dyDescent="0.25">
      <c r="A28">
        <v>61.750173568725501</v>
      </c>
      <c r="B28" t="s">
        <v>37</v>
      </c>
      <c r="C28">
        <v>0.79269622350292401</v>
      </c>
      <c r="D28">
        <v>0.88436201639784495</v>
      </c>
      <c r="E28">
        <v>0.84761904761904705</v>
      </c>
      <c r="F28">
        <v>0.99534264058843902</v>
      </c>
    </row>
    <row r="29" spans="1:6" x14ac:dyDescent="0.25">
      <c r="A29">
        <v>60.012578964233398</v>
      </c>
      <c r="B29" t="s">
        <v>38</v>
      </c>
      <c r="C29">
        <v>0.83974006568838899</v>
      </c>
      <c r="D29">
        <v>0.91288990368775502</v>
      </c>
      <c r="E29">
        <v>0.89139607960496703</v>
      </c>
      <c r="F29">
        <v>0.99581256251617001</v>
      </c>
    </row>
    <row r="30" spans="1:6" x14ac:dyDescent="0.25">
      <c r="A30">
        <v>62.032699584960902</v>
      </c>
      <c r="B30" t="s">
        <v>39</v>
      </c>
      <c r="C30">
        <v>0.91332541985404003</v>
      </c>
      <c r="D30">
        <v>0.95469950942659199</v>
      </c>
      <c r="E30">
        <v>0.97824500270760195</v>
      </c>
      <c r="F30">
        <v>0.99699931319159096</v>
      </c>
    </row>
    <row r="31" spans="1:6" x14ac:dyDescent="0.25">
      <c r="A31">
        <v>59.5800876617431</v>
      </c>
      <c r="B31" t="s">
        <v>40</v>
      </c>
      <c r="C31">
        <v>0.91151712527254103</v>
      </c>
      <c r="D31">
        <v>0.95371065550100997</v>
      </c>
      <c r="E31">
        <v>0.98549816489123598</v>
      </c>
      <c r="F31">
        <v>0.99732036336660801</v>
      </c>
    </row>
    <row r="32" spans="1:6" x14ac:dyDescent="0.25">
      <c r="A32">
        <v>62.599897384643498</v>
      </c>
      <c r="B32" t="s">
        <v>41</v>
      </c>
      <c r="C32">
        <v>0.73679734114937701</v>
      </c>
      <c r="D32">
        <v>0.84845516940022403</v>
      </c>
      <c r="E32">
        <v>0.80083341629570604</v>
      </c>
      <c r="F32">
        <v>0.99375321360411195</v>
      </c>
    </row>
    <row r="33" spans="1:6" x14ac:dyDescent="0.25">
      <c r="A33">
        <v>62.770605087280202</v>
      </c>
      <c r="B33" t="s">
        <v>42</v>
      </c>
      <c r="C33">
        <v>0.86434417819931098</v>
      </c>
      <c r="D33">
        <v>0.92723670694125104</v>
      </c>
      <c r="E33">
        <v>0.89189761445442906</v>
      </c>
      <c r="F33">
        <v>0.99865317522637498</v>
      </c>
    </row>
    <row r="34" spans="1:6" x14ac:dyDescent="0.25">
      <c r="A34">
        <v>61.847448348999002</v>
      </c>
      <c r="B34" t="s">
        <v>43</v>
      </c>
      <c r="C34">
        <v>0.79278315310187797</v>
      </c>
      <c r="D34">
        <v>0.88441611215522897</v>
      </c>
      <c r="E34">
        <v>0.857308156281543</v>
      </c>
      <c r="F34">
        <v>0.99672009817879104</v>
      </c>
    </row>
    <row r="35" spans="1:6" x14ac:dyDescent="0.25">
      <c r="A35">
        <v>62.061071395874002</v>
      </c>
      <c r="B35" t="s">
        <v>44</v>
      </c>
      <c r="C35">
        <v>0.90820798555288795</v>
      </c>
      <c r="D35">
        <v>0.95189622140664298</v>
      </c>
      <c r="E35">
        <v>0.97406523844391402</v>
      </c>
      <c r="F35">
        <v>0.99694903497081699</v>
      </c>
    </row>
    <row r="36" spans="1:6" x14ac:dyDescent="0.25">
      <c r="A36">
        <v>63.894510269165004</v>
      </c>
      <c r="B36" t="s">
        <v>45</v>
      </c>
      <c r="C36">
        <v>0.88124841410809396</v>
      </c>
      <c r="D36">
        <v>0.93687618019962204</v>
      </c>
      <c r="E36">
        <v>0.96935959063420596</v>
      </c>
      <c r="F36">
        <v>0.99682780511467195</v>
      </c>
    </row>
    <row r="37" spans="1:6" x14ac:dyDescent="0.25">
      <c r="A37">
        <v>62.257766723632798</v>
      </c>
      <c r="B37" t="s">
        <v>46</v>
      </c>
      <c r="C37">
        <v>0.844098464127919</v>
      </c>
      <c r="D37">
        <v>0.91545921277809394</v>
      </c>
      <c r="E37">
        <v>0.96294518398168405</v>
      </c>
      <c r="F37">
        <v>0.99233115415828199</v>
      </c>
    </row>
    <row r="38" spans="1:6" x14ac:dyDescent="0.25">
      <c r="A38">
        <v>62.2329711914062</v>
      </c>
      <c r="B38" t="s">
        <v>47</v>
      </c>
      <c r="C38">
        <v>0.65343424406385497</v>
      </c>
      <c r="D38">
        <v>0.79039640845689396</v>
      </c>
      <c r="E38">
        <v>0.74764645689434595</v>
      </c>
      <c r="F38">
        <v>0.98838412359490302</v>
      </c>
    </row>
    <row r="39" spans="1:6" x14ac:dyDescent="0.25">
      <c r="A39">
        <v>63.992738723754798</v>
      </c>
      <c r="B39" t="s">
        <v>48</v>
      </c>
      <c r="C39">
        <v>0.90137124873552799</v>
      </c>
      <c r="D39">
        <v>0.94812756775928797</v>
      </c>
      <c r="E39">
        <v>0.97924171194822596</v>
      </c>
      <c r="F39">
        <v>0.99575261721825903</v>
      </c>
    </row>
    <row r="40" spans="1:6" x14ac:dyDescent="0.25">
      <c r="A40">
        <v>61.911821365356403</v>
      </c>
      <c r="B40" t="s">
        <v>49</v>
      </c>
      <c r="C40">
        <v>0.83740177952391903</v>
      </c>
      <c r="D40">
        <v>0.91150644225553601</v>
      </c>
      <c r="E40">
        <v>0.890717182890855</v>
      </c>
      <c r="F40">
        <v>0.99578642545714802</v>
      </c>
    </row>
    <row r="41" spans="1:6" x14ac:dyDescent="0.25">
      <c r="A41">
        <v>61.470985412597599</v>
      </c>
      <c r="B41" t="s">
        <v>50</v>
      </c>
      <c r="C41">
        <v>0.86578383913610102</v>
      </c>
      <c r="D41">
        <v>0.92806446382017904</v>
      </c>
      <c r="E41">
        <v>0.94260882785182099</v>
      </c>
      <c r="F41">
        <v>0.996529615205478</v>
      </c>
    </row>
    <row r="42" spans="1:6" x14ac:dyDescent="0.25">
      <c r="A42">
        <v>61.506271362304602</v>
      </c>
      <c r="B42" t="s">
        <v>51</v>
      </c>
      <c r="C42">
        <v>0.87668912340823202</v>
      </c>
      <c r="D42">
        <v>0.93429339198821304</v>
      </c>
      <c r="E42">
        <v>0.97980545339803704</v>
      </c>
      <c r="F42">
        <v>0.99460914022518898</v>
      </c>
    </row>
    <row r="43" spans="1:6" x14ac:dyDescent="0.25">
      <c r="A43">
        <v>62.175273895263601</v>
      </c>
      <c r="B43" t="s">
        <v>52</v>
      </c>
      <c r="C43">
        <v>0.91492464754496805</v>
      </c>
      <c r="D43">
        <v>0.95557248032495501</v>
      </c>
      <c r="E43">
        <v>0.97738539256881096</v>
      </c>
      <c r="F43">
        <v>0.99712585990654001</v>
      </c>
    </row>
    <row r="44" spans="1:6" x14ac:dyDescent="0.25">
      <c r="A44">
        <v>63.931703567504798</v>
      </c>
      <c r="B44" t="s">
        <v>53</v>
      </c>
      <c r="C44">
        <v>0.90132838005178395</v>
      </c>
      <c r="D44">
        <v>0.94810385150537302</v>
      </c>
      <c r="E44">
        <v>0.987055415151328</v>
      </c>
      <c r="F44">
        <v>0.99696298701937702</v>
      </c>
    </row>
    <row r="45" spans="1:6" x14ac:dyDescent="0.25">
      <c r="A45">
        <v>61.737537384033203</v>
      </c>
      <c r="B45" t="s">
        <v>54</v>
      </c>
      <c r="C45">
        <v>0.88836477987421303</v>
      </c>
      <c r="D45">
        <v>0.94088259783513695</v>
      </c>
      <c r="E45">
        <v>0.98746200607902701</v>
      </c>
      <c r="F45">
        <v>0.99712792099043601</v>
      </c>
    </row>
    <row r="46" spans="1:6" x14ac:dyDescent="0.25">
      <c r="A46">
        <v>60.410499572753899</v>
      </c>
      <c r="B46" t="s">
        <v>55</v>
      </c>
      <c r="C46">
        <v>0.88922498364944402</v>
      </c>
      <c r="D46">
        <v>0.94136483621099998</v>
      </c>
      <c r="E46">
        <v>0.93106399977173504</v>
      </c>
      <c r="F46">
        <v>0.99837301152705005</v>
      </c>
    </row>
    <row r="47" spans="1:6" x14ac:dyDescent="0.25">
      <c r="A47">
        <v>61.941146850585902</v>
      </c>
      <c r="B47" t="s">
        <v>56</v>
      </c>
      <c r="C47">
        <v>0.82517802155504205</v>
      </c>
      <c r="D47">
        <v>0.90421647840356401</v>
      </c>
      <c r="E47">
        <v>0.984162052047169</v>
      </c>
      <c r="F47">
        <v>0.99337590249012797</v>
      </c>
    </row>
    <row r="48" spans="1:6" x14ac:dyDescent="0.25">
      <c r="A48">
        <v>61.891317367553697</v>
      </c>
      <c r="B48" t="s">
        <v>57</v>
      </c>
      <c r="C48">
        <v>0.91896020218290797</v>
      </c>
      <c r="D48">
        <v>0.95776890123885605</v>
      </c>
      <c r="E48">
        <v>0.98391317276241397</v>
      </c>
      <c r="F48">
        <v>0.99765800347998801</v>
      </c>
    </row>
    <row r="49" spans="1:6" x14ac:dyDescent="0.25">
      <c r="A49">
        <v>61.665773391723597</v>
      </c>
      <c r="B49" t="s">
        <v>58</v>
      </c>
      <c r="C49">
        <v>0.91145459563897302</v>
      </c>
      <c r="D49">
        <v>0.95367642811759901</v>
      </c>
      <c r="E49">
        <v>0.97860360360360299</v>
      </c>
      <c r="F49">
        <v>0.99626337728967096</v>
      </c>
    </row>
    <row r="50" spans="1:6" x14ac:dyDescent="0.25">
      <c r="A50">
        <v>63.111543655395501</v>
      </c>
      <c r="B50" t="s">
        <v>59</v>
      </c>
      <c r="C50">
        <v>0.75390486332978301</v>
      </c>
      <c r="D50">
        <v>0.85968729443910297</v>
      </c>
      <c r="E50">
        <v>0.94835670268822003</v>
      </c>
      <c r="F50">
        <v>0.98849159384252405</v>
      </c>
    </row>
    <row r="51" spans="1:6" x14ac:dyDescent="0.25">
      <c r="A51">
        <v>64.776182174682603</v>
      </c>
      <c r="B51" t="s">
        <v>60</v>
      </c>
      <c r="C51">
        <v>0.69037684077218997</v>
      </c>
      <c r="D51">
        <v>0.81683187336714302</v>
      </c>
      <c r="E51">
        <v>0.72312166252848498</v>
      </c>
      <c r="F51">
        <v>0.99718218502405598</v>
      </c>
    </row>
    <row r="52" spans="1:6" x14ac:dyDescent="0.25">
      <c r="A52">
        <v>62.016487121582003</v>
      </c>
      <c r="B52" t="s">
        <v>61</v>
      </c>
      <c r="C52">
        <v>0.82602528134161302</v>
      </c>
      <c r="D52">
        <v>0.90472491238973096</v>
      </c>
      <c r="E52">
        <v>0.878724367465334</v>
      </c>
      <c r="F52">
        <v>0.99615242660033199</v>
      </c>
    </row>
    <row r="53" spans="1:6" x14ac:dyDescent="0.25">
      <c r="A53">
        <v>63.469409942626903</v>
      </c>
      <c r="B53" t="s">
        <v>62</v>
      </c>
      <c r="C53">
        <v>0.908622085837275</v>
      </c>
      <c r="D53">
        <v>0.95212362109776205</v>
      </c>
      <c r="E53">
        <v>0.96267864803233105</v>
      </c>
      <c r="F53">
        <v>0.99737624279960302</v>
      </c>
    </row>
    <row r="54" spans="1:6" x14ac:dyDescent="0.25">
      <c r="A54">
        <v>61.638593673705998</v>
      </c>
      <c r="B54" t="s">
        <v>63</v>
      </c>
      <c r="C54">
        <v>0.87240899436021302</v>
      </c>
      <c r="D54">
        <v>0.93185729932717798</v>
      </c>
      <c r="E54">
        <v>0.97818767143537599</v>
      </c>
      <c r="F54">
        <v>0.99252601769983095</v>
      </c>
    </row>
    <row r="55" spans="1:6" x14ac:dyDescent="0.25">
      <c r="A55">
        <v>59.820413589477504</v>
      </c>
      <c r="B55" t="s">
        <v>64</v>
      </c>
      <c r="C55">
        <v>0.87231103216893602</v>
      </c>
      <c r="D55">
        <v>0.93180141245915404</v>
      </c>
      <c r="E55">
        <v>0.93710247349823295</v>
      </c>
      <c r="F55">
        <v>0.99686619767305396</v>
      </c>
    </row>
    <row r="56" spans="1:6" x14ac:dyDescent="0.25">
      <c r="A56">
        <v>63.182830810546797</v>
      </c>
      <c r="B56" t="s">
        <v>65</v>
      </c>
      <c r="C56">
        <v>0.74612024904748597</v>
      </c>
      <c r="D56">
        <v>0.85460351250665201</v>
      </c>
      <c r="E56">
        <v>0.93640843222439196</v>
      </c>
      <c r="F56">
        <v>0.99137614009557495</v>
      </c>
    </row>
    <row r="57" spans="1:6" x14ac:dyDescent="0.25">
      <c r="A57">
        <v>61.7697238922119</v>
      </c>
      <c r="B57" t="s">
        <v>66</v>
      </c>
      <c r="C57">
        <v>0.92619084803998097</v>
      </c>
      <c r="D57">
        <v>0.96168128820925203</v>
      </c>
      <c r="E57">
        <v>0.98442946781315299</v>
      </c>
      <c r="F57">
        <v>0.99814032038725298</v>
      </c>
    </row>
    <row r="58" spans="1:6" x14ac:dyDescent="0.25">
      <c r="A58">
        <v>62.003612518310497</v>
      </c>
      <c r="B58" t="s">
        <v>67</v>
      </c>
      <c r="C58">
        <v>0.81820424880949405</v>
      </c>
      <c r="D58">
        <v>0.90001357036232799</v>
      </c>
      <c r="E58">
        <v>0.86593550071810899</v>
      </c>
      <c r="F58">
        <v>0.99778873402548396</v>
      </c>
    </row>
    <row r="59" spans="1:6" x14ac:dyDescent="0.25">
      <c r="A59">
        <v>61.631202697753899</v>
      </c>
      <c r="B59" t="s">
        <v>68</v>
      </c>
      <c r="C59">
        <v>0.85028383127164098</v>
      </c>
      <c r="D59">
        <v>0.91908475543156798</v>
      </c>
      <c r="E59">
        <v>0.98563094047956501</v>
      </c>
      <c r="F59">
        <v>0.98913155323633695</v>
      </c>
    </row>
    <row r="60" spans="1:6" x14ac:dyDescent="0.25">
      <c r="A60">
        <v>64.389228820800696</v>
      </c>
      <c r="B60" t="s">
        <v>69</v>
      </c>
      <c r="C60">
        <v>0.82391012849344802</v>
      </c>
      <c r="D60">
        <v>0.90345474332553699</v>
      </c>
      <c r="E60">
        <v>0.94320351971378102</v>
      </c>
      <c r="F60">
        <v>0.98759735029124796</v>
      </c>
    </row>
    <row r="61" spans="1:6" x14ac:dyDescent="0.25">
      <c r="A61">
        <v>61.8536472320556</v>
      </c>
      <c r="B61" t="s">
        <v>70</v>
      </c>
      <c r="C61">
        <v>0.90615023394875005</v>
      </c>
      <c r="D61">
        <v>0.95076475905215896</v>
      </c>
      <c r="E61">
        <v>0.97689113887168999</v>
      </c>
      <c r="F61">
        <v>0.99568565568573597</v>
      </c>
    </row>
    <row r="62" spans="1:6" x14ac:dyDescent="0.25">
      <c r="A62">
        <v>64.175367355346594</v>
      </c>
      <c r="B62" t="s">
        <v>71</v>
      </c>
      <c r="C62">
        <v>0.92297885105744704</v>
      </c>
      <c r="D62">
        <v>0.95994695994696</v>
      </c>
      <c r="E62">
        <v>0.97741833006830003</v>
      </c>
      <c r="F62">
        <v>0.99779580966400905</v>
      </c>
    </row>
    <row r="63" spans="1:6" x14ac:dyDescent="0.25">
      <c r="A63">
        <v>61.595678329467702</v>
      </c>
      <c r="B63" t="s">
        <v>72</v>
      </c>
      <c r="C63">
        <v>0.76045245918085802</v>
      </c>
      <c r="D63">
        <v>0.86392842387200597</v>
      </c>
      <c r="E63">
        <v>0.95106649937264698</v>
      </c>
      <c r="F63">
        <v>0.992140226773784</v>
      </c>
    </row>
    <row r="64" spans="1:6" x14ac:dyDescent="0.25">
      <c r="A64">
        <v>61.670064926147397</v>
      </c>
      <c r="B64" t="s">
        <v>73</v>
      </c>
      <c r="C64">
        <v>0.81385204534503297</v>
      </c>
      <c r="D64">
        <v>0.89737423450127196</v>
      </c>
      <c r="E64">
        <v>0.94711212112268695</v>
      </c>
      <c r="F64">
        <v>0.99453233638154503</v>
      </c>
    </row>
    <row r="65" spans="1:6" x14ac:dyDescent="0.25">
      <c r="A65">
        <v>61.671495437621999</v>
      </c>
      <c r="B65" t="s">
        <v>74</v>
      </c>
      <c r="C65">
        <v>0.84497719659361503</v>
      </c>
      <c r="D65">
        <v>0.91597576181830098</v>
      </c>
      <c r="E65">
        <v>0.95781864763473301</v>
      </c>
      <c r="F65">
        <v>0.99715696033380097</v>
      </c>
    </row>
    <row r="66" spans="1:6" x14ac:dyDescent="0.25">
      <c r="A66">
        <v>62.219619750976499</v>
      </c>
      <c r="B66" t="s">
        <v>75</v>
      </c>
      <c r="C66">
        <v>0.81640849110728597</v>
      </c>
      <c r="D66">
        <v>0.89892608970309495</v>
      </c>
      <c r="E66">
        <v>0.87062038585471302</v>
      </c>
      <c r="F66">
        <v>0.99674250806869502</v>
      </c>
    </row>
    <row r="67" spans="1:6" x14ac:dyDescent="0.25">
      <c r="A67">
        <v>62.252998352050703</v>
      </c>
      <c r="B67" t="s">
        <v>76</v>
      </c>
      <c r="C67">
        <v>0.85006319017133802</v>
      </c>
      <c r="D67">
        <v>0.91895584398132002</v>
      </c>
      <c r="E67">
        <v>0.88973219126097802</v>
      </c>
      <c r="F67">
        <v>0.99785328307036303</v>
      </c>
    </row>
    <row r="68" spans="1:6" x14ac:dyDescent="0.25">
      <c r="A68">
        <v>61.959743499755803</v>
      </c>
      <c r="B68" t="s">
        <v>77</v>
      </c>
      <c r="C68">
        <v>0.89141604600735302</v>
      </c>
      <c r="D68">
        <v>0.94259118493688399</v>
      </c>
      <c r="E68">
        <v>0.95985077278379805</v>
      </c>
      <c r="F68">
        <v>0.99700249610324498</v>
      </c>
    </row>
    <row r="69" spans="1:6" x14ac:dyDescent="0.25">
      <c r="A69">
        <v>61.879634857177699</v>
      </c>
      <c r="B69" t="s">
        <v>78</v>
      </c>
      <c r="C69">
        <v>0.900893760539629</v>
      </c>
      <c r="D69">
        <v>0.94786334643329195</v>
      </c>
      <c r="E69">
        <v>0.97853283267698499</v>
      </c>
      <c r="F69">
        <v>0.99526650911838299</v>
      </c>
    </row>
    <row r="70" spans="1:6" x14ac:dyDescent="0.25">
      <c r="A70">
        <v>61.6509914398193</v>
      </c>
      <c r="B70" t="s">
        <v>79</v>
      </c>
      <c r="C70">
        <v>0.81789540012602302</v>
      </c>
      <c r="D70">
        <v>0.89982668977469604</v>
      </c>
      <c r="E70">
        <v>0.87451232314369398</v>
      </c>
      <c r="F70">
        <v>0.99551359579508703</v>
      </c>
    </row>
    <row r="71" spans="1:6" x14ac:dyDescent="0.25">
      <c r="A71">
        <v>59.9277019500732</v>
      </c>
      <c r="B71" t="s">
        <v>80</v>
      </c>
      <c r="C71">
        <v>0.78175306715835702</v>
      </c>
      <c r="D71">
        <v>0.87751000019900804</v>
      </c>
      <c r="E71">
        <v>0.81084957705038596</v>
      </c>
      <c r="F71">
        <v>0.99900918947391004</v>
      </c>
    </row>
    <row r="72" spans="1:6" x14ac:dyDescent="0.25">
      <c r="A72">
        <v>65.430402755737305</v>
      </c>
      <c r="B72" t="s">
        <v>81</v>
      </c>
      <c r="C72">
        <v>0.67293989839281698</v>
      </c>
      <c r="D72">
        <v>0.80449978990794102</v>
      </c>
      <c r="E72">
        <v>0.940580130853225</v>
      </c>
      <c r="F72">
        <v>0.982256301847094</v>
      </c>
    </row>
    <row r="73" spans="1:6" x14ac:dyDescent="0.25">
      <c r="A73">
        <v>62.237501144409102</v>
      </c>
      <c r="B73" t="s">
        <v>82</v>
      </c>
      <c r="C73">
        <v>0.92418860494854504</v>
      </c>
      <c r="D73">
        <v>0.96060085021993902</v>
      </c>
      <c r="E73">
        <v>0.97199214413798996</v>
      </c>
      <c r="F73">
        <v>0.99758118937999296</v>
      </c>
    </row>
    <row r="74" spans="1:6" x14ac:dyDescent="0.25">
      <c r="A74">
        <v>62.9043579101562</v>
      </c>
      <c r="B74" t="s">
        <v>83</v>
      </c>
      <c r="C74">
        <v>0.88992108443728202</v>
      </c>
      <c r="D74">
        <v>0.94175475554552401</v>
      </c>
      <c r="E74">
        <v>0.95771486865595501</v>
      </c>
      <c r="F74">
        <v>0.99704071664787597</v>
      </c>
    </row>
    <row r="75" spans="1:6" x14ac:dyDescent="0.25">
      <c r="A75">
        <v>62.493562698364201</v>
      </c>
      <c r="B75" t="s">
        <v>84</v>
      </c>
      <c r="C75">
        <v>0.67946191586905802</v>
      </c>
      <c r="D75">
        <v>0.80914239191599902</v>
      </c>
      <c r="E75">
        <v>0.79635652337858198</v>
      </c>
      <c r="F75">
        <v>0.99274457731696397</v>
      </c>
    </row>
    <row r="76" spans="1:6" x14ac:dyDescent="0.25">
      <c r="A76">
        <v>62.009096145629798</v>
      </c>
      <c r="B76" t="s">
        <v>85</v>
      </c>
      <c r="C76">
        <v>0.90524223236636703</v>
      </c>
      <c r="D76">
        <v>0.95026471383854305</v>
      </c>
      <c r="E76">
        <v>0.97587110088102202</v>
      </c>
      <c r="F76">
        <v>0.996060830711895</v>
      </c>
    </row>
    <row r="77" spans="1:6" x14ac:dyDescent="0.25">
      <c r="A77">
        <v>66.118955612182603</v>
      </c>
      <c r="B77" t="s">
        <v>86</v>
      </c>
      <c r="C77">
        <v>0.83197612365102502</v>
      </c>
      <c r="D77">
        <v>0.90828271494384305</v>
      </c>
      <c r="E77">
        <v>0.90067401305231598</v>
      </c>
      <c r="F77">
        <v>0.996148091363799</v>
      </c>
    </row>
    <row r="78" spans="1:6" x14ac:dyDescent="0.25">
      <c r="A78" s="1">
        <f>AVERAGE(A4:A77)</f>
        <v>62.326524708722076</v>
      </c>
      <c r="B78" s="1"/>
      <c r="C78" s="1">
        <f>SUBTOTAL(101,MobSam_test2[Column3])</f>
        <v>0.82450906406139268</v>
      </c>
      <c r="D78" s="1">
        <f>SUBTOTAL(101,MobSam_test2[Column4])</f>
        <v>0.89795342749824991</v>
      </c>
      <c r="E78" s="1">
        <f>SUBTOTAL(101,MobSam_test2[Column5])</f>
        <v>0.9279920319261038</v>
      </c>
      <c r="F78" s="1">
        <f>SUBTOTAL(101,MobSam_test2[Column6])</f>
        <v>0.99037477772806559</v>
      </c>
    </row>
    <row r="79" spans="1:6" x14ac:dyDescent="0.25">
      <c r="A79" s="1">
        <f>STDEVA(A4:A77)</f>
        <v>1.6114700629875698</v>
      </c>
      <c r="B79" s="1"/>
      <c r="C79" s="1">
        <f>STDEVA(C3:C77)</f>
        <v>0.11783619139111667</v>
      </c>
      <c r="D79" s="1">
        <f>STDEVA(D3:D77)</f>
        <v>9.3092878269455143E-2</v>
      </c>
      <c r="E79" s="1">
        <f>STDEVA(E3:E77)</f>
        <v>6.3359476433605622E-2</v>
      </c>
      <c r="F79" s="1">
        <f>STDEVA(F3:F77)</f>
        <v>2.9272586425201103E-2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33674-F35A-4A2F-BC75-54D76D494B0E}">
  <dimension ref="A1:F79"/>
  <sheetViews>
    <sheetView topLeftCell="A46" workbookViewId="0">
      <selection activeCell="F3" sqref="F3:F77"/>
    </sheetView>
  </sheetViews>
  <sheetFormatPr defaultRowHeight="15" x14ac:dyDescent="0.25"/>
  <cols>
    <col min="1" max="1" width="18.7109375" bestFit="1" customWidth="1"/>
    <col min="2" max="2" width="11.140625" bestFit="1" customWidth="1"/>
    <col min="3" max="5" width="21.85546875" bestFit="1" customWidth="1"/>
    <col min="6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1358.62207412719</v>
      </c>
      <c r="B3" t="s">
        <v>12</v>
      </c>
      <c r="C3">
        <v>9.6522779298829506E-2</v>
      </c>
      <c r="D3">
        <v>0.17605248358005099</v>
      </c>
      <c r="E3">
        <v>0.45372545213368198</v>
      </c>
      <c r="F3">
        <v>0.70197519091427796</v>
      </c>
    </row>
    <row r="4" spans="1:6" x14ac:dyDescent="0.25">
      <c r="A4">
        <v>143.95880699157701</v>
      </c>
      <c r="B4" t="s">
        <v>13</v>
      </c>
      <c r="C4">
        <v>0.111191572430637</v>
      </c>
      <c r="D4">
        <v>0.20013033789918999</v>
      </c>
      <c r="E4">
        <v>0.50626701330478596</v>
      </c>
      <c r="F4">
        <v>0.69591309469275497</v>
      </c>
    </row>
    <row r="5" spans="1:6" x14ac:dyDescent="0.25">
      <c r="A5">
        <v>133.606433868408</v>
      </c>
      <c r="B5" t="s">
        <v>14</v>
      </c>
      <c r="C5">
        <v>0.94209763170613803</v>
      </c>
      <c r="D5">
        <v>0.97018565526852796</v>
      </c>
      <c r="E5">
        <v>0.95660118085861401</v>
      </c>
      <c r="F5">
        <v>0.99894959390135896</v>
      </c>
    </row>
    <row r="6" spans="1:6" x14ac:dyDescent="0.25">
      <c r="A6">
        <v>138.13304901123001</v>
      </c>
      <c r="B6" t="s">
        <v>15</v>
      </c>
      <c r="C6">
        <v>0.38375867752085102</v>
      </c>
      <c r="D6">
        <v>0.55466127693362599</v>
      </c>
      <c r="E6">
        <v>0.97390128750831695</v>
      </c>
      <c r="F6">
        <v>0.92642606753882495</v>
      </c>
    </row>
    <row r="7" spans="1:6" x14ac:dyDescent="0.25">
      <c r="A7">
        <v>127.7916431427</v>
      </c>
      <c r="B7" t="s">
        <v>16</v>
      </c>
      <c r="C7">
        <v>0.44686786710626403</v>
      </c>
      <c r="D7">
        <v>0.61770376862401399</v>
      </c>
      <c r="E7">
        <v>0.95630041360208096</v>
      </c>
      <c r="F7">
        <v>0.93805568012756102</v>
      </c>
    </row>
    <row r="8" spans="1:6" x14ac:dyDescent="0.25">
      <c r="A8">
        <v>132.731676101684</v>
      </c>
      <c r="B8" t="s">
        <v>17</v>
      </c>
      <c r="C8">
        <v>0.65374593971569195</v>
      </c>
      <c r="D8">
        <v>0.79062439279891195</v>
      </c>
      <c r="E8">
        <v>0.96343384222608797</v>
      </c>
      <c r="F8">
        <v>0.97671798229259199</v>
      </c>
    </row>
    <row r="9" spans="1:6" x14ac:dyDescent="0.25">
      <c r="A9">
        <v>134.50288772582999</v>
      </c>
      <c r="B9" t="s">
        <v>18</v>
      </c>
      <c r="C9">
        <v>0.66639558154829603</v>
      </c>
      <c r="D9">
        <v>0.79980478696316404</v>
      </c>
      <c r="E9">
        <v>0.948877253046017</v>
      </c>
      <c r="F9">
        <v>0.978677397950655</v>
      </c>
    </row>
    <row r="10" spans="1:6" x14ac:dyDescent="0.25">
      <c r="A10">
        <v>137.07828521728501</v>
      </c>
      <c r="B10" t="s">
        <v>19</v>
      </c>
      <c r="C10">
        <v>0.47003993079460399</v>
      </c>
      <c r="D10">
        <v>0.63949273886802904</v>
      </c>
      <c r="E10">
        <v>0.93591684447676105</v>
      </c>
      <c r="F10">
        <v>0.95821097456964799</v>
      </c>
    </row>
    <row r="11" spans="1:6" x14ac:dyDescent="0.25">
      <c r="A11">
        <v>130.58114051818799</v>
      </c>
      <c r="B11" t="s">
        <v>20</v>
      </c>
      <c r="C11">
        <v>0.39064569796277099</v>
      </c>
      <c r="D11">
        <v>0.56181915858949205</v>
      </c>
      <c r="E11">
        <v>0.97099074637579297</v>
      </c>
      <c r="F11">
        <v>0.95262443661835094</v>
      </c>
    </row>
    <row r="12" spans="1:6" x14ac:dyDescent="0.25">
      <c r="A12">
        <v>137.33196258544899</v>
      </c>
      <c r="B12" t="s">
        <v>21</v>
      </c>
      <c r="C12">
        <v>0.928463699541623</v>
      </c>
      <c r="D12">
        <v>0.96290503135973904</v>
      </c>
      <c r="E12">
        <v>0.948906653771175</v>
      </c>
      <c r="F12">
        <v>0.99927419527584305</v>
      </c>
    </row>
    <row r="13" spans="1:6" x14ac:dyDescent="0.25">
      <c r="A13">
        <v>130.90634346008301</v>
      </c>
      <c r="B13" t="s">
        <v>22</v>
      </c>
      <c r="C13">
        <v>0.918600541877724</v>
      </c>
      <c r="D13">
        <v>0.95757352489715697</v>
      </c>
      <c r="E13">
        <v>0.94102030349654497</v>
      </c>
      <c r="F13">
        <v>0.99919394452066601</v>
      </c>
    </row>
    <row r="14" spans="1:6" x14ac:dyDescent="0.25">
      <c r="A14">
        <v>130.87296485900799</v>
      </c>
      <c r="B14" t="s">
        <v>23</v>
      </c>
      <c r="C14">
        <v>0.92808141832759306</v>
      </c>
      <c r="D14">
        <v>0.96269940626532802</v>
      </c>
      <c r="E14">
        <v>0.95407319267492796</v>
      </c>
      <c r="F14">
        <v>0.99903725570987101</v>
      </c>
    </row>
    <row r="15" spans="1:6" x14ac:dyDescent="0.25">
      <c r="A15">
        <v>133.000373840332</v>
      </c>
      <c r="B15" t="s">
        <v>24</v>
      </c>
      <c r="C15">
        <v>0.91416067168804804</v>
      </c>
      <c r="D15">
        <v>0.95515563056874797</v>
      </c>
      <c r="E15">
        <v>0.933590378085975</v>
      </c>
      <c r="F15">
        <v>0.99945188375384397</v>
      </c>
    </row>
    <row r="16" spans="1:6" x14ac:dyDescent="0.25">
      <c r="A16">
        <v>132.138967514038</v>
      </c>
      <c r="B16" t="s">
        <v>25</v>
      </c>
      <c r="C16">
        <v>0.92279932179134105</v>
      </c>
      <c r="D16">
        <v>0.95984985155042801</v>
      </c>
      <c r="E16">
        <v>0.93317812873592099</v>
      </c>
      <c r="F16">
        <v>0.99964428356221902</v>
      </c>
    </row>
    <row r="17" spans="1:6" x14ac:dyDescent="0.25">
      <c r="A17">
        <v>132.91788101196201</v>
      </c>
      <c r="B17" t="s">
        <v>26</v>
      </c>
      <c r="C17">
        <v>0.36021691263443301</v>
      </c>
      <c r="D17">
        <v>0.52964627816128795</v>
      </c>
      <c r="E17">
        <v>0.91531223267750195</v>
      </c>
      <c r="F17">
        <v>0.96717162140264601</v>
      </c>
    </row>
    <row r="18" spans="1:6" x14ac:dyDescent="0.25">
      <c r="A18">
        <v>135.162353515625</v>
      </c>
      <c r="B18" t="s">
        <v>27</v>
      </c>
      <c r="C18">
        <v>0.76241978513230901</v>
      </c>
      <c r="D18">
        <v>0.86519657979789699</v>
      </c>
      <c r="E18">
        <v>0.78784040531982202</v>
      </c>
      <c r="F18">
        <v>0.99911382365783796</v>
      </c>
    </row>
    <row r="19" spans="1:6" x14ac:dyDescent="0.25">
      <c r="A19">
        <v>132.67993927001899</v>
      </c>
      <c r="B19" t="s">
        <v>28</v>
      </c>
      <c r="C19">
        <v>3.6318208013588503E-2</v>
      </c>
      <c r="D19">
        <v>7.0090842238897097E-2</v>
      </c>
      <c r="E19">
        <v>0.29518350744198901</v>
      </c>
      <c r="F19">
        <v>0.76970057221145205</v>
      </c>
    </row>
    <row r="20" spans="1:6" x14ac:dyDescent="0.25">
      <c r="A20">
        <v>132.06338882446201</v>
      </c>
      <c r="B20" t="s">
        <v>29</v>
      </c>
      <c r="C20">
        <v>0.89306857424765596</v>
      </c>
      <c r="D20">
        <v>0.94351423545507795</v>
      </c>
      <c r="E20">
        <v>0.904079657895558</v>
      </c>
      <c r="F20">
        <v>0.99960687246644198</v>
      </c>
    </row>
    <row r="21" spans="1:6" x14ac:dyDescent="0.25">
      <c r="A21">
        <v>132.69400596618601</v>
      </c>
      <c r="B21" t="s">
        <v>30</v>
      </c>
      <c r="C21">
        <v>0.21034773192154901</v>
      </c>
      <c r="D21">
        <v>0.347582312708764</v>
      </c>
      <c r="E21">
        <v>0.39130045512198702</v>
      </c>
      <c r="F21">
        <v>0.97126959485892606</v>
      </c>
    </row>
    <row r="22" spans="1:6" x14ac:dyDescent="0.25">
      <c r="A22">
        <v>131.64734840393001</v>
      </c>
      <c r="B22" t="s">
        <v>31</v>
      </c>
      <c r="C22">
        <v>0.39024963858088502</v>
      </c>
      <c r="D22">
        <v>0.56140944439192497</v>
      </c>
      <c r="E22">
        <v>0.89593622461132905</v>
      </c>
      <c r="F22">
        <v>0.95941668005385305</v>
      </c>
    </row>
    <row r="23" spans="1:6" x14ac:dyDescent="0.25">
      <c r="A23">
        <v>130.77712059020899</v>
      </c>
      <c r="B23" t="s">
        <v>32</v>
      </c>
      <c r="C23">
        <v>7.7961964812366502E-2</v>
      </c>
      <c r="D23">
        <v>0.144646967810106</v>
      </c>
      <c r="E23">
        <v>0.48532041846699198</v>
      </c>
      <c r="F23">
        <v>0.83578680442913</v>
      </c>
    </row>
    <row r="24" spans="1:6" x14ac:dyDescent="0.25">
      <c r="A24">
        <v>135.08439064025799</v>
      </c>
      <c r="B24" t="s">
        <v>33</v>
      </c>
      <c r="C24">
        <v>0.52129000610322995</v>
      </c>
      <c r="D24">
        <v>0.68532627442746297</v>
      </c>
      <c r="E24">
        <v>0.90030637073814601</v>
      </c>
      <c r="F24">
        <v>0.96257471138472905</v>
      </c>
    </row>
    <row r="25" spans="1:6" x14ac:dyDescent="0.25">
      <c r="A25">
        <v>128.45778465270899</v>
      </c>
      <c r="B25" t="s">
        <v>34</v>
      </c>
      <c r="C25">
        <v>0.18254811374360699</v>
      </c>
      <c r="D25">
        <v>0.308736890485939</v>
      </c>
      <c r="E25">
        <v>0.283350429972485</v>
      </c>
      <c r="F25">
        <v>0.97075140240827795</v>
      </c>
    </row>
    <row r="26" spans="1:6" x14ac:dyDescent="0.25">
      <c r="A26">
        <v>134.411811828613</v>
      </c>
      <c r="B26" t="s">
        <v>35</v>
      </c>
      <c r="C26">
        <v>0.74474494283201398</v>
      </c>
      <c r="D26">
        <v>0.85370064649468802</v>
      </c>
      <c r="E26">
        <v>0.76620820703071901</v>
      </c>
      <c r="F26">
        <v>0.99871649435720899</v>
      </c>
    </row>
    <row r="27" spans="1:6" x14ac:dyDescent="0.25">
      <c r="A27">
        <v>131.090641021728</v>
      </c>
      <c r="B27" t="s">
        <v>36</v>
      </c>
      <c r="C27">
        <v>0.43300677377820002</v>
      </c>
      <c r="D27">
        <v>0.60433318488307497</v>
      </c>
      <c r="E27">
        <v>0.43728092987494599</v>
      </c>
      <c r="F27">
        <v>0.999560236515179</v>
      </c>
    </row>
    <row r="28" spans="1:6" x14ac:dyDescent="0.25">
      <c r="A28">
        <v>133.77070426940901</v>
      </c>
      <c r="B28" t="s">
        <v>37</v>
      </c>
      <c r="C28">
        <v>0.77441459575789295</v>
      </c>
      <c r="D28">
        <v>0.87286770251923296</v>
      </c>
      <c r="E28">
        <v>0.79549503970436197</v>
      </c>
      <c r="F28">
        <v>0.99875168837299799</v>
      </c>
    </row>
    <row r="29" spans="1:6" x14ac:dyDescent="0.25">
      <c r="A29">
        <v>133.48269462585401</v>
      </c>
      <c r="B29" t="s">
        <v>38</v>
      </c>
      <c r="C29">
        <v>0.901008666003693</v>
      </c>
      <c r="D29">
        <v>0.94792694227722396</v>
      </c>
      <c r="E29">
        <v>0.91521999509358198</v>
      </c>
      <c r="F29">
        <v>0.999454673270458</v>
      </c>
    </row>
    <row r="30" spans="1:6" x14ac:dyDescent="0.25">
      <c r="A30">
        <v>131.26230239868099</v>
      </c>
      <c r="B30" t="s">
        <v>39</v>
      </c>
      <c r="C30">
        <v>0.76389494911376499</v>
      </c>
      <c r="D30">
        <v>0.86614562788738603</v>
      </c>
      <c r="E30">
        <v>0.77078499268196898</v>
      </c>
      <c r="F30">
        <v>0.99961901143015897</v>
      </c>
    </row>
    <row r="31" spans="1:6" x14ac:dyDescent="0.25">
      <c r="A31">
        <v>130.595445632934</v>
      </c>
      <c r="B31" t="s">
        <v>40</v>
      </c>
      <c r="C31">
        <v>0.91375390503606502</v>
      </c>
      <c r="D31">
        <v>0.95493354984829704</v>
      </c>
      <c r="E31">
        <v>0.937947013196333</v>
      </c>
      <c r="F31">
        <v>0.99921699590573698</v>
      </c>
    </row>
    <row r="32" spans="1:6" x14ac:dyDescent="0.25">
      <c r="A32">
        <v>135.876655578613</v>
      </c>
      <c r="B32" t="s">
        <v>41</v>
      </c>
      <c r="C32">
        <v>0.91017360512459999</v>
      </c>
      <c r="D32">
        <v>0.95297474814099903</v>
      </c>
      <c r="E32">
        <v>0.91988472622478301</v>
      </c>
      <c r="F32">
        <v>0.99960179990445197</v>
      </c>
    </row>
    <row r="33" spans="1:6" x14ac:dyDescent="0.25">
      <c r="A33">
        <v>129.52423095703099</v>
      </c>
      <c r="B33" t="s">
        <v>42</v>
      </c>
      <c r="C33">
        <v>0.88526787173536403</v>
      </c>
      <c r="D33">
        <v>0.93914279769748199</v>
      </c>
      <c r="E33">
        <v>0.89210110237603701</v>
      </c>
      <c r="F33">
        <v>0.99964540151846804</v>
      </c>
    </row>
    <row r="34" spans="1:6" x14ac:dyDescent="0.25">
      <c r="A34">
        <v>131.87813758850001</v>
      </c>
      <c r="B34" t="s">
        <v>43</v>
      </c>
      <c r="C34">
        <v>0.24699583947270301</v>
      </c>
      <c r="D34">
        <v>0.39614541068099501</v>
      </c>
      <c r="E34">
        <v>0.89885417833016001</v>
      </c>
      <c r="F34">
        <v>0.89357326658709701</v>
      </c>
    </row>
    <row r="35" spans="1:6" x14ac:dyDescent="0.25">
      <c r="A35">
        <v>132.04503059387201</v>
      </c>
      <c r="B35" t="s">
        <v>44</v>
      </c>
      <c r="C35">
        <v>0.859185458913858</v>
      </c>
      <c r="D35">
        <v>0.92426008905620005</v>
      </c>
      <c r="E35">
        <v>0.87044925388929995</v>
      </c>
      <c r="F35">
        <v>0.99950400598996603</v>
      </c>
    </row>
    <row r="36" spans="1:6" x14ac:dyDescent="0.25">
      <c r="A36">
        <v>135.35761833190901</v>
      </c>
      <c r="B36" t="s">
        <v>45</v>
      </c>
      <c r="C36">
        <v>0.86042574413355</v>
      </c>
      <c r="D36">
        <v>0.92497724980071505</v>
      </c>
      <c r="E36">
        <v>0.86668164873225195</v>
      </c>
      <c r="F36">
        <v>0.99972471838690902</v>
      </c>
    </row>
    <row r="37" spans="1:6" x14ac:dyDescent="0.25">
      <c r="A37">
        <v>129.25791740417401</v>
      </c>
      <c r="B37" t="s">
        <v>46</v>
      </c>
      <c r="C37">
        <v>0.84802417091608195</v>
      </c>
      <c r="D37">
        <v>0.91776307286685399</v>
      </c>
      <c r="E37">
        <v>0.89326506994062504</v>
      </c>
      <c r="F37">
        <v>0.997873230282873</v>
      </c>
    </row>
    <row r="38" spans="1:6" x14ac:dyDescent="0.25">
      <c r="A38">
        <v>130.07378578186001</v>
      </c>
      <c r="B38" t="s">
        <v>47</v>
      </c>
      <c r="C38">
        <v>0.89437161858734404</v>
      </c>
      <c r="D38">
        <v>0.94424093964655997</v>
      </c>
      <c r="E38">
        <v>0.90496694831820401</v>
      </c>
      <c r="F38">
        <v>0.99944729601563498</v>
      </c>
    </row>
    <row r="39" spans="1:6" x14ac:dyDescent="0.25">
      <c r="A39">
        <v>130.40947914123501</v>
      </c>
      <c r="B39" t="s">
        <v>48</v>
      </c>
      <c r="C39">
        <v>0.87750232953439999</v>
      </c>
      <c r="D39">
        <v>0.93475498350194897</v>
      </c>
      <c r="E39">
        <v>0.89183057550213296</v>
      </c>
      <c r="F39">
        <v>0.99920657796926404</v>
      </c>
    </row>
    <row r="40" spans="1:6" x14ac:dyDescent="0.25">
      <c r="A40">
        <v>131.78324699401799</v>
      </c>
      <c r="B40" t="s">
        <v>49</v>
      </c>
      <c r="C40">
        <v>0.87614845398244101</v>
      </c>
      <c r="D40">
        <v>0.93398627611015295</v>
      </c>
      <c r="E40">
        <v>0.88205134061115398</v>
      </c>
      <c r="F40">
        <v>0.99970292463147503</v>
      </c>
    </row>
    <row r="41" spans="1:6" x14ac:dyDescent="0.25">
      <c r="A41">
        <v>129.32419776916501</v>
      </c>
      <c r="B41" t="s">
        <v>50</v>
      </c>
      <c r="C41">
        <v>0.84749091372824004</v>
      </c>
      <c r="D41">
        <v>0.91745069751710095</v>
      </c>
      <c r="E41">
        <v>0.85533360790774304</v>
      </c>
      <c r="F41">
        <v>0.99963976223305295</v>
      </c>
    </row>
    <row r="42" spans="1:6" x14ac:dyDescent="0.25">
      <c r="A42">
        <v>130.03849983215301</v>
      </c>
      <c r="B42" t="s">
        <v>51</v>
      </c>
      <c r="C42">
        <v>0.84322941079595104</v>
      </c>
      <c r="D42">
        <v>0.91494786905751901</v>
      </c>
      <c r="E42">
        <v>0.84887517216752495</v>
      </c>
      <c r="F42">
        <v>0.999736866901765</v>
      </c>
    </row>
    <row r="43" spans="1:6" x14ac:dyDescent="0.25">
      <c r="A43">
        <v>128.83949279785099</v>
      </c>
      <c r="B43" t="s">
        <v>52</v>
      </c>
      <c r="C43">
        <v>0.88299776021236498</v>
      </c>
      <c r="D43">
        <v>0.93786384548092105</v>
      </c>
      <c r="E43">
        <v>0.89030947544509498</v>
      </c>
      <c r="F43">
        <v>0.99965174304365501</v>
      </c>
    </row>
    <row r="44" spans="1:6" x14ac:dyDescent="0.25">
      <c r="A44">
        <v>133.11576843261699</v>
      </c>
      <c r="B44" t="s">
        <v>53</v>
      </c>
      <c r="C44">
        <v>0.88848020313000498</v>
      </c>
      <c r="D44">
        <v>0.94094733072384895</v>
      </c>
      <c r="E44">
        <v>0.89561057289797796</v>
      </c>
      <c r="F44">
        <v>0.99966281237594101</v>
      </c>
    </row>
    <row r="45" spans="1:6" x14ac:dyDescent="0.25">
      <c r="A45">
        <v>128.96537780761699</v>
      </c>
      <c r="B45" t="s">
        <v>54</v>
      </c>
      <c r="C45">
        <v>0.81674387346086397</v>
      </c>
      <c r="D45">
        <v>0.89912935487706502</v>
      </c>
      <c r="E45">
        <v>0.90472328941945901</v>
      </c>
      <c r="F45">
        <v>0.99594520953753896</v>
      </c>
    </row>
    <row r="46" spans="1:6" x14ac:dyDescent="0.25">
      <c r="A46">
        <v>132.28058815002399</v>
      </c>
      <c r="B46" t="s">
        <v>55</v>
      </c>
      <c r="C46">
        <v>0.87718764978898001</v>
      </c>
      <c r="D46">
        <v>0.93457641263257496</v>
      </c>
      <c r="E46">
        <v>0.88613843846326401</v>
      </c>
      <c r="F46">
        <v>0.99956559491625296</v>
      </c>
    </row>
    <row r="47" spans="1:6" x14ac:dyDescent="0.25">
      <c r="A47">
        <v>129.04143333434999</v>
      </c>
      <c r="B47" t="s">
        <v>56</v>
      </c>
      <c r="C47">
        <v>0.88618615076088203</v>
      </c>
      <c r="D47">
        <v>0.93965927000725402</v>
      </c>
      <c r="E47">
        <v>0.89581321026961902</v>
      </c>
      <c r="F47">
        <v>0.99954215146594405</v>
      </c>
    </row>
    <row r="48" spans="1:6" x14ac:dyDescent="0.25">
      <c r="A48">
        <v>129.849195480346</v>
      </c>
      <c r="B48" t="s">
        <v>57</v>
      </c>
      <c r="C48">
        <v>0.86459642561540095</v>
      </c>
      <c r="D48">
        <v>0.92738183312782496</v>
      </c>
      <c r="E48">
        <v>0.87576463282099004</v>
      </c>
      <c r="F48">
        <v>0.99936873572637097</v>
      </c>
    </row>
    <row r="49" spans="1:6" x14ac:dyDescent="0.25">
      <c r="A49">
        <v>128.47661972045799</v>
      </c>
      <c r="B49" t="s">
        <v>58</v>
      </c>
      <c r="C49">
        <v>0.83553409440917203</v>
      </c>
      <c r="D49">
        <v>0.91039888276018799</v>
      </c>
      <c r="E49">
        <v>0.84970899684746504</v>
      </c>
      <c r="F49">
        <v>0.99914971498486804</v>
      </c>
    </row>
    <row r="50" spans="1:6" x14ac:dyDescent="0.25">
      <c r="A50">
        <v>128.90911102294899</v>
      </c>
      <c r="B50" t="s">
        <v>59</v>
      </c>
      <c r="C50">
        <v>0.85994658607723895</v>
      </c>
      <c r="D50">
        <v>0.92470030323927499</v>
      </c>
      <c r="E50">
        <v>0.86667729140104799</v>
      </c>
      <c r="F50">
        <v>0.99954913049509897</v>
      </c>
    </row>
    <row r="51" spans="1:6" x14ac:dyDescent="0.25">
      <c r="A51">
        <v>127.978801727294</v>
      </c>
      <c r="B51" t="s">
        <v>60</v>
      </c>
      <c r="C51">
        <v>0.86141315721185596</v>
      </c>
      <c r="D51">
        <v>0.92554751090524801</v>
      </c>
      <c r="E51">
        <v>0.87238894540522205</v>
      </c>
      <c r="F51">
        <v>0.99923145364177401</v>
      </c>
    </row>
    <row r="52" spans="1:6" x14ac:dyDescent="0.25">
      <c r="A52">
        <v>129.675149917602</v>
      </c>
      <c r="B52" t="s">
        <v>61</v>
      </c>
      <c r="C52">
        <v>0.152269809898327</v>
      </c>
      <c r="D52">
        <v>0.26429540822867298</v>
      </c>
      <c r="E52">
        <v>0.77129292772918401</v>
      </c>
      <c r="F52">
        <v>0.75850917244878102</v>
      </c>
    </row>
    <row r="53" spans="1:6" x14ac:dyDescent="0.25">
      <c r="A53">
        <v>128.51881980895899</v>
      </c>
      <c r="B53" t="s">
        <v>62</v>
      </c>
      <c r="C53">
        <v>0.90296383532067304</v>
      </c>
      <c r="D53">
        <v>0.94900787767047801</v>
      </c>
      <c r="E53">
        <v>0.91708682542714903</v>
      </c>
      <c r="F53">
        <v>0.99903594546205698</v>
      </c>
    </row>
    <row r="54" spans="1:6" x14ac:dyDescent="0.25">
      <c r="A54">
        <v>129.94027137756299</v>
      </c>
      <c r="B54" t="s">
        <v>63</v>
      </c>
      <c r="C54">
        <v>0.924044985436974</v>
      </c>
      <c r="D54">
        <v>0.96052326471682004</v>
      </c>
      <c r="E54">
        <v>0.94059329585961005</v>
      </c>
      <c r="F54">
        <v>0.99893198207773903</v>
      </c>
    </row>
    <row r="55" spans="1:6" x14ac:dyDescent="0.25">
      <c r="A55">
        <v>127.806901931762</v>
      </c>
      <c r="B55" t="s">
        <v>64</v>
      </c>
      <c r="C55">
        <v>0.123787527153916</v>
      </c>
      <c r="D55">
        <v>0.220304148538503</v>
      </c>
      <c r="E55">
        <v>0.96031328961292295</v>
      </c>
      <c r="F55">
        <v>0.51478456205060497</v>
      </c>
    </row>
    <row r="56" spans="1:6" x14ac:dyDescent="0.25">
      <c r="A56">
        <v>128.934144973754</v>
      </c>
      <c r="B56" t="s">
        <v>65</v>
      </c>
      <c r="C56">
        <v>0.89538739378867205</v>
      </c>
      <c r="D56">
        <v>0.94480674159058398</v>
      </c>
      <c r="E56">
        <v>0.91742186966776096</v>
      </c>
      <c r="F56">
        <v>0.99832881590040201</v>
      </c>
    </row>
    <row r="57" spans="1:6" x14ac:dyDescent="0.25">
      <c r="A57">
        <v>128.71742248535099</v>
      </c>
      <c r="B57" t="s">
        <v>66</v>
      </c>
      <c r="C57">
        <v>0.89267246532759403</v>
      </c>
      <c r="D57">
        <v>0.94329312829421397</v>
      </c>
      <c r="E57">
        <v>0.90515157714484795</v>
      </c>
      <c r="F57">
        <v>0.999049763058805</v>
      </c>
    </row>
    <row r="58" spans="1:6" x14ac:dyDescent="0.25">
      <c r="A58">
        <v>131.617069244384</v>
      </c>
      <c r="B58" t="s">
        <v>67</v>
      </c>
      <c r="C58">
        <v>0.77404743871436998</v>
      </c>
      <c r="D58">
        <v>0.87263443110102201</v>
      </c>
      <c r="E58">
        <v>0.79166762538060897</v>
      </c>
      <c r="F58">
        <v>0.99847263584046397</v>
      </c>
    </row>
    <row r="59" spans="1:6" x14ac:dyDescent="0.25">
      <c r="A59">
        <v>128.81326675414999</v>
      </c>
      <c r="B59" t="s">
        <v>68</v>
      </c>
      <c r="C59">
        <v>0.89586789322877303</v>
      </c>
      <c r="D59">
        <v>0.94507417571491004</v>
      </c>
      <c r="E59">
        <v>0.90948061392429203</v>
      </c>
      <c r="F59">
        <v>0.998978365539266</v>
      </c>
    </row>
    <row r="60" spans="1:6" x14ac:dyDescent="0.25">
      <c r="A60">
        <v>133.311033248901</v>
      </c>
      <c r="B60" t="s">
        <v>69</v>
      </c>
      <c r="C60">
        <v>0.90899471856460701</v>
      </c>
      <c r="D60">
        <v>0.95232816489727001</v>
      </c>
      <c r="E60">
        <v>0.93137445676850195</v>
      </c>
      <c r="F60">
        <v>0.998648305599942</v>
      </c>
    </row>
    <row r="61" spans="1:6" x14ac:dyDescent="0.25">
      <c r="A61">
        <v>131.48999214172301</v>
      </c>
      <c r="B61" t="s">
        <v>70</v>
      </c>
      <c r="C61">
        <v>0.91894642053129205</v>
      </c>
      <c r="D61">
        <v>0.95776141605544796</v>
      </c>
      <c r="E61">
        <v>0.93985945716943398</v>
      </c>
      <c r="F61">
        <v>0.99874250707753198</v>
      </c>
    </row>
    <row r="62" spans="1:6" x14ac:dyDescent="0.25">
      <c r="A62">
        <v>130.263566970825</v>
      </c>
      <c r="B62" t="s">
        <v>71</v>
      </c>
      <c r="C62">
        <v>0.82551868975544396</v>
      </c>
      <c r="D62">
        <v>0.90442096746326395</v>
      </c>
      <c r="E62">
        <v>0.83317158008338699</v>
      </c>
      <c r="F62">
        <v>0.99938605606840303</v>
      </c>
    </row>
    <row r="63" spans="1:6" x14ac:dyDescent="0.25">
      <c r="A63">
        <v>128.18956375121999</v>
      </c>
      <c r="B63" t="s">
        <v>72</v>
      </c>
      <c r="C63">
        <v>1.8280551109249399E-3</v>
      </c>
      <c r="D63">
        <v>3.64943884651451E-3</v>
      </c>
      <c r="E63">
        <v>4.8062552113650996E-3</v>
      </c>
      <c r="F63">
        <v>0.89359785951417703</v>
      </c>
    </row>
    <row r="64" spans="1:6" x14ac:dyDescent="0.25">
      <c r="A64">
        <v>128.48782539367599</v>
      </c>
      <c r="B64" t="s">
        <v>73</v>
      </c>
      <c r="C64">
        <v>1.48149465032281E-3</v>
      </c>
      <c r="D64">
        <v>2.9586061414746201E-3</v>
      </c>
      <c r="E64">
        <v>3.9588595317460902E-3</v>
      </c>
      <c r="F64">
        <v>0.89154321802330505</v>
      </c>
    </row>
    <row r="65" spans="1:6" x14ac:dyDescent="0.25">
      <c r="A65">
        <v>128.35836410522401</v>
      </c>
      <c r="B65" t="s">
        <v>74</v>
      </c>
      <c r="C65">
        <v>8.4712230059003996E-2</v>
      </c>
      <c r="D65">
        <v>0.15619300255219901</v>
      </c>
      <c r="E65">
        <v>0.77150435169303</v>
      </c>
      <c r="F65">
        <v>0.47581368936864099</v>
      </c>
    </row>
    <row r="66" spans="1:6" x14ac:dyDescent="0.25">
      <c r="A66">
        <v>129.62293624877901</v>
      </c>
      <c r="B66" t="s">
        <v>75</v>
      </c>
      <c r="C66">
        <v>4.5628470119903897E-2</v>
      </c>
      <c r="D66">
        <v>8.7274727924482806E-2</v>
      </c>
      <c r="E66">
        <v>0.55208120736881605</v>
      </c>
      <c r="F66">
        <v>0.47826084761209797</v>
      </c>
    </row>
    <row r="67" spans="1:6" x14ac:dyDescent="0.25">
      <c r="A67">
        <v>129.909038543701</v>
      </c>
      <c r="B67" t="s">
        <v>76</v>
      </c>
      <c r="C67">
        <v>0.91571239467988896</v>
      </c>
      <c r="D67">
        <v>0.95600195230025897</v>
      </c>
      <c r="E67">
        <v>0.931746269294907</v>
      </c>
      <c r="F67">
        <v>0.99917274899851105</v>
      </c>
    </row>
    <row r="68" spans="1:6" x14ac:dyDescent="0.25">
      <c r="A68">
        <v>130.22518157958899</v>
      </c>
      <c r="B68" t="s">
        <v>77</v>
      </c>
      <c r="C68">
        <v>0.91548210045943701</v>
      </c>
      <c r="D68">
        <v>0.95587643470002004</v>
      </c>
      <c r="E68">
        <v>0.92400099589194495</v>
      </c>
      <c r="F68">
        <v>0.99954632905860996</v>
      </c>
    </row>
    <row r="69" spans="1:6" x14ac:dyDescent="0.25">
      <c r="A69">
        <v>129.113435745239</v>
      </c>
      <c r="B69" t="s">
        <v>78</v>
      </c>
      <c r="C69">
        <v>6.9492578781896602E-2</v>
      </c>
      <c r="D69">
        <v>0.12995429825430899</v>
      </c>
      <c r="E69">
        <v>0.379754674764264</v>
      </c>
      <c r="F69">
        <v>0.77351369757505495</v>
      </c>
    </row>
    <row r="70" spans="1:6" x14ac:dyDescent="0.25">
      <c r="A70">
        <v>129.971265792846</v>
      </c>
      <c r="B70" t="s">
        <v>79</v>
      </c>
      <c r="C70">
        <v>0.91654797803687305</v>
      </c>
      <c r="D70">
        <v>0.95645711825664403</v>
      </c>
      <c r="E70">
        <v>0.93692327774040296</v>
      </c>
      <c r="F70">
        <v>0.99887842343010902</v>
      </c>
    </row>
    <row r="71" spans="1:6" x14ac:dyDescent="0.25">
      <c r="A71">
        <v>129.64868545532201</v>
      </c>
      <c r="B71" t="s">
        <v>80</v>
      </c>
      <c r="C71">
        <v>0.90342774823633998</v>
      </c>
      <c r="D71">
        <v>0.94926403071871701</v>
      </c>
      <c r="E71">
        <v>0.92365089507142095</v>
      </c>
      <c r="F71">
        <v>0.99895672503521704</v>
      </c>
    </row>
    <row r="72" spans="1:6" x14ac:dyDescent="0.25">
      <c r="A72">
        <v>132.29036331176701</v>
      </c>
      <c r="B72" t="s">
        <v>81</v>
      </c>
      <c r="C72">
        <v>0.88415038573872096</v>
      </c>
      <c r="D72">
        <v>0.93851360531613903</v>
      </c>
      <c r="E72">
        <v>0.90586439990939305</v>
      </c>
      <c r="F72">
        <v>0.99896467896755303</v>
      </c>
    </row>
    <row r="73" spans="1:6" x14ac:dyDescent="0.25">
      <c r="A73">
        <v>129.16159629821701</v>
      </c>
      <c r="B73" t="s">
        <v>82</v>
      </c>
      <c r="C73">
        <v>0.88196908418728104</v>
      </c>
      <c r="D73">
        <v>0.93728328652981496</v>
      </c>
      <c r="E73">
        <v>0.89659608278366998</v>
      </c>
      <c r="F73">
        <v>0.99934062374486599</v>
      </c>
    </row>
    <row r="74" spans="1:6" x14ac:dyDescent="0.25">
      <c r="A74">
        <v>130.15031814575099</v>
      </c>
      <c r="B74" t="s">
        <v>83</v>
      </c>
      <c r="C74">
        <v>0.76415870719968004</v>
      </c>
      <c r="D74">
        <v>0.86631514963034095</v>
      </c>
      <c r="E74">
        <v>0.90309460654288198</v>
      </c>
      <c r="F74">
        <v>0.993848654361981</v>
      </c>
    </row>
    <row r="75" spans="1:6" x14ac:dyDescent="0.25">
      <c r="A75">
        <v>129.568576812744</v>
      </c>
      <c r="B75" t="s">
        <v>84</v>
      </c>
      <c r="C75">
        <v>0.90714841210143105</v>
      </c>
      <c r="D75">
        <v>0.95131391594414105</v>
      </c>
      <c r="E75">
        <v>0.91867325991246296</v>
      </c>
      <c r="F75">
        <v>0.99950705033246501</v>
      </c>
    </row>
    <row r="76" spans="1:6" x14ac:dyDescent="0.25">
      <c r="A76">
        <v>130.27024269104001</v>
      </c>
      <c r="B76" t="s">
        <v>85</v>
      </c>
      <c r="C76">
        <v>0.90536805537946596</v>
      </c>
      <c r="D76">
        <v>0.95033403422852702</v>
      </c>
      <c r="E76">
        <v>0.917701184876757</v>
      </c>
      <c r="F76">
        <v>0.99946888093212305</v>
      </c>
    </row>
    <row r="77" spans="1:6" x14ac:dyDescent="0.25">
      <c r="A77">
        <v>139.30940628051701</v>
      </c>
      <c r="B77" t="s">
        <v>86</v>
      </c>
      <c r="C77">
        <v>0.88184931506849296</v>
      </c>
      <c r="D77">
        <v>0.93721565059144596</v>
      </c>
      <c r="E77">
        <v>0.89872069598244597</v>
      </c>
      <c r="F77">
        <v>0.99925288136748203</v>
      </c>
    </row>
    <row r="78" spans="1:6" x14ac:dyDescent="0.25">
      <c r="A78" s="1">
        <f>AVERAGE(A4:A77)</f>
        <v>131.42056722898695</v>
      </c>
      <c r="B78" s="1"/>
      <c r="C78" s="1">
        <f>SUBTOTAL(101,FastSAM_test2[Column3])</f>
        <v>0.67671967472191019</v>
      </c>
      <c r="D78" s="1">
        <f>SUBTOTAL(101,FastSAM_test2[Column4])</f>
        <v>0.75198159170120826</v>
      </c>
      <c r="E78" s="1">
        <f>SUBTOTAL(101,FastSAM_test2[Column5])</f>
        <v>0.81608356776583535</v>
      </c>
      <c r="F78" s="1">
        <f>SUBTOTAL(101,FastSAM_test2[Column6])</f>
        <v>0.94928959973610805</v>
      </c>
    </row>
    <row r="79" spans="1:6" x14ac:dyDescent="0.25">
      <c r="A79" s="1">
        <f>STDEVA(A4:A77)</f>
        <v>2.9651757884021559</v>
      </c>
      <c r="B79" s="1"/>
      <c r="C79" s="1">
        <f>STDEVA(C3:C77)</f>
        <v>0.31464190295600647</v>
      </c>
      <c r="D79" s="1">
        <f>STDEVA(D3:D77)</f>
        <v>0.30097314669475311</v>
      </c>
      <c r="E79" s="1">
        <f>STDEVA(E3:E77)</f>
        <v>0.21377141094980379</v>
      </c>
      <c r="F79" s="1">
        <f>STDEVA(F3:F77)</f>
        <v>0.11711638770283234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3DF6-A45E-4409-AB39-76DC5415D02A}">
  <dimension ref="A1:F79"/>
  <sheetViews>
    <sheetView topLeftCell="A44" workbookViewId="0">
      <selection activeCell="F3" sqref="F3:F77"/>
    </sheetView>
  </sheetViews>
  <sheetFormatPr defaultRowHeight="15" x14ac:dyDescent="0.25"/>
  <cols>
    <col min="1" max="1" width="17.7109375" bestFit="1" customWidth="1"/>
    <col min="2" max="2" width="11.140625" bestFit="1" customWidth="1"/>
    <col min="3" max="3" width="19.7109375" bestFit="1" customWidth="1"/>
    <col min="4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805.18865585327103</v>
      </c>
      <c r="B3" t="s">
        <v>12</v>
      </c>
      <c r="C3">
        <v>0.77961158141850995</v>
      </c>
      <c r="D3">
        <v>0.87615925807483197</v>
      </c>
      <c r="E3">
        <v>0.83304616632037698</v>
      </c>
      <c r="F3">
        <v>0.99731942008304297</v>
      </c>
    </row>
    <row r="4" spans="1:6" x14ac:dyDescent="0.25">
      <c r="A4">
        <v>74.085474014282198</v>
      </c>
      <c r="B4" t="s">
        <v>13</v>
      </c>
      <c r="C4">
        <v>0.93032968423717</v>
      </c>
      <c r="D4">
        <v>0.96390755613833801</v>
      </c>
      <c r="E4">
        <v>0.97619600942863705</v>
      </c>
      <c r="F4">
        <v>0.99854190906814699</v>
      </c>
    </row>
    <row r="5" spans="1:6" x14ac:dyDescent="0.25">
      <c r="A5">
        <v>68.815946578979407</v>
      </c>
      <c r="B5" t="s">
        <v>14</v>
      </c>
      <c r="C5">
        <v>0.941348640277343</v>
      </c>
      <c r="D5">
        <v>0.96978834275007997</v>
      </c>
      <c r="E5">
        <v>0.98848208158028195</v>
      </c>
      <c r="F5">
        <v>0.99834690063572396</v>
      </c>
    </row>
    <row r="6" spans="1:6" x14ac:dyDescent="0.25">
      <c r="A6">
        <v>68.912029266357393</v>
      </c>
      <c r="B6" t="s">
        <v>15</v>
      </c>
      <c r="C6">
        <v>0.92529359922936605</v>
      </c>
      <c r="D6">
        <v>0.96119739825627803</v>
      </c>
      <c r="E6">
        <v>0.98243857854764605</v>
      </c>
      <c r="F6">
        <v>0.99716942459927604</v>
      </c>
    </row>
    <row r="7" spans="1:6" x14ac:dyDescent="0.25">
      <c r="A7">
        <v>69.055318832397404</v>
      </c>
      <c r="B7" t="s">
        <v>16</v>
      </c>
      <c r="C7">
        <v>0.676813767029528</v>
      </c>
      <c r="D7">
        <v>0.80726170113512596</v>
      </c>
      <c r="E7">
        <v>0.70630250671745798</v>
      </c>
      <c r="F7">
        <v>0.99741153030893903</v>
      </c>
    </row>
    <row r="8" spans="1:6" x14ac:dyDescent="0.25">
      <c r="A8">
        <v>68.535089492797795</v>
      </c>
      <c r="B8" t="s">
        <v>17</v>
      </c>
      <c r="C8">
        <v>0.72837181647012095</v>
      </c>
      <c r="D8">
        <v>0.84284158018462196</v>
      </c>
      <c r="E8">
        <v>0.786348561035626</v>
      </c>
      <c r="F8">
        <v>0.99628683593504297</v>
      </c>
    </row>
    <row r="9" spans="1:6" x14ac:dyDescent="0.25">
      <c r="A9">
        <v>68.754673004150305</v>
      </c>
      <c r="B9" t="s">
        <v>18</v>
      </c>
      <c r="C9">
        <v>0.89748135787662298</v>
      </c>
      <c r="D9">
        <v>0.945971199296471</v>
      </c>
      <c r="E9">
        <v>0.98763377614552506</v>
      </c>
      <c r="F9">
        <v>0.99654639383736898</v>
      </c>
    </row>
    <row r="10" spans="1:6" x14ac:dyDescent="0.25">
      <c r="A10">
        <v>70.638418197631793</v>
      </c>
      <c r="B10" t="s">
        <v>19</v>
      </c>
      <c r="C10">
        <v>0.77875675336097505</v>
      </c>
      <c r="D10">
        <v>0.87561916702720299</v>
      </c>
      <c r="E10">
        <v>0.94117758712322497</v>
      </c>
      <c r="F10">
        <v>0.98896667510131597</v>
      </c>
    </row>
    <row r="11" spans="1:6" x14ac:dyDescent="0.25">
      <c r="A11">
        <v>68.490266799926701</v>
      </c>
      <c r="B11" t="s">
        <v>20</v>
      </c>
      <c r="C11">
        <v>0.92385728284050905</v>
      </c>
      <c r="D11">
        <v>0.96042184737993197</v>
      </c>
      <c r="E11">
        <v>0.98798002835480403</v>
      </c>
      <c r="F11">
        <v>0.99778374814246196</v>
      </c>
    </row>
    <row r="12" spans="1:6" x14ac:dyDescent="0.25">
      <c r="A12">
        <v>69.0677165985107</v>
      </c>
      <c r="B12" t="s">
        <v>21</v>
      </c>
      <c r="C12">
        <v>0.84232221280529995</v>
      </c>
      <c r="D12">
        <v>0.91441356669384999</v>
      </c>
      <c r="E12">
        <v>0.87309827097392401</v>
      </c>
      <c r="F12">
        <v>0.99816723252110595</v>
      </c>
    </row>
    <row r="13" spans="1:6" x14ac:dyDescent="0.25">
      <c r="A13">
        <v>68.766117095947195</v>
      </c>
      <c r="B13" t="s">
        <v>22</v>
      </c>
      <c r="C13">
        <v>0.79647543338760596</v>
      </c>
      <c r="D13">
        <v>0.88670896198752402</v>
      </c>
      <c r="E13">
        <v>0.844199680227393</v>
      </c>
      <c r="F13">
        <v>0.99766046059496205</v>
      </c>
    </row>
    <row r="14" spans="1:6" x14ac:dyDescent="0.25">
      <c r="A14">
        <v>69.452762603759695</v>
      </c>
      <c r="B14" t="s">
        <v>23</v>
      </c>
      <c r="C14">
        <v>0.72190599706991299</v>
      </c>
      <c r="D14">
        <v>0.83849640839668005</v>
      </c>
      <c r="E14">
        <v>0.76333900500291996</v>
      </c>
      <c r="F14">
        <v>0.99776060023840596</v>
      </c>
    </row>
    <row r="15" spans="1:6" x14ac:dyDescent="0.25">
      <c r="A15">
        <v>69.332361221313406</v>
      </c>
      <c r="B15" t="s">
        <v>24</v>
      </c>
      <c r="C15">
        <v>0.86673341120195702</v>
      </c>
      <c r="D15">
        <v>0.92860973720278805</v>
      </c>
      <c r="E15">
        <v>0.96653744766630401</v>
      </c>
      <c r="F15">
        <v>0.99634666265222604</v>
      </c>
    </row>
    <row r="16" spans="1:6" x14ac:dyDescent="0.25">
      <c r="A16">
        <v>68.950414657592702</v>
      </c>
      <c r="B16" t="s">
        <v>25</v>
      </c>
      <c r="C16">
        <v>0.66614449194169301</v>
      </c>
      <c r="D16">
        <v>0.79962391636919905</v>
      </c>
      <c r="E16">
        <v>0.75368370458266298</v>
      </c>
      <c r="F16">
        <v>0.99109062229187606</v>
      </c>
    </row>
    <row r="17" spans="1:6" x14ac:dyDescent="0.25">
      <c r="A17">
        <v>66.910505294799805</v>
      </c>
      <c r="B17" t="s">
        <v>26</v>
      </c>
      <c r="C17">
        <v>0.750724982172569</v>
      </c>
      <c r="D17">
        <v>0.85761611882747402</v>
      </c>
      <c r="E17">
        <v>0.97385217847121497</v>
      </c>
      <c r="F17">
        <v>0.99051414906337099</v>
      </c>
    </row>
    <row r="18" spans="1:6" x14ac:dyDescent="0.25">
      <c r="A18">
        <v>69.082260131835895</v>
      </c>
      <c r="B18" t="s">
        <v>27</v>
      </c>
      <c r="C18">
        <v>0.74537644938018799</v>
      </c>
      <c r="D18">
        <v>0.85411539687599602</v>
      </c>
      <c r="E18">
        <v>0.87896283854713397</v>
      </c>
      <c r="F18">
        <v>0.99324177216192</v>
      </c>
    </row>
    <row r="19" spans="1:6" x14ac:dyDescent="0.25">
      <c r="A19">
        <v>69.013595581054602</v>
      </c>
      <c r="B19" t="s">
        <v>28</v>
      </c>
      <c r="C19">
        <v>0.92142567384837204</v>
      </c>
      <c r="D19">
        <v>0.95910623698794795</v>
      </c>
      <c r="E19">
        <v>0.988360287185437</v>
      </c>
      <c r="F19">
        <v>0.99377745014194796</v>
      </c>
    </row>
    <row r="20" spans="1:6" x14ac:dyDescent="0.25">
      <c r="A20">
        <v>68.761587142944293</v>
      </c>
      <c r="B20" t="s">
        <v>29</v>
      </c>
      <c r="C20">
        <v>0.61485820866115803</v>
      </c>
      <c r="D20">
        <v>0.76150117126496597</v>
      </c>
      <c r="E20">
        <v>0.66575171021005997</v>
      </c>
      <c r="F20">
        <v>0.99405067962296401</v>
      </c>
    </row>
    <row r="21" spans="1:6" x14ac:dyDescent="0.25">
      <c r="A21">
        <v>68.900108337402301</v>
      </c>
      <c r="B21" t="s">
        <v>30</v>
      </c>
      <c r="C21">
        <v>0.92279302117506701</v>
      </c>
      <c r="D21">
        <v>0.95984644318203804</v>
      </c>
      <c r="E21">
        <v>0.97807017543859598</v>
      </c>
      <c r="F21">
        <v>0.99696180207623497</v>
      </c>
    </row>
    <row r="22" spans="1:6" x14ac:dyDescent="0.25">
      <c r="A22">
        <v>69.175243377685504</v>
      </c>
      <c r="B22" t="s">
        <v>31</v>
      </c>
      <c r="C22">
        <v>0.92207792207792205</v>
      </c>
      <c r="D22">
        <v>0.95945945945945899</v>
      </c>
      <c r="E22">
        <v>0.98055401222319205</v>
      </c>
      <c r="F22">
        <v>0.99679817267426696</v>
      </c>
    </row>
    <row r="23" spans="1:6" x14ac:dyDescent="0.25">
      <c r="A23">
        <v>68.855762481689396</v>
      </c>
      <c r="B23" t="s">
        <v>32</v>
      </c>
      <c r="C23">
        <v>0.74319248160800599</v>
      </c>
      <c r="D23">
        <v>0.85267976938777101</v>
      </c>
      <c r="E23">
        <v>0.78452790662875904</v>
      </c>
      <c r="F23">
        <v>0.99621388831734403</v>
      </c>
    </row>
    <row r="24" spans="1:6" x14ac:dyDescent="0.25">
      <c r="A24">
        <v>67.198514938354407</v>
      </c>
      <c r="B24" t="s">
        <v>33</v>
      </c>
      <c r="C24">
        <v>0.83511170745213303</v>
      </c>
      <c r="D24">
        <v>0.91014808968942895</v>
      </c>
      <c r="E24">
        <v>0.885304012101781</v>
      </c>
      <c r="F24">
        <v>0.99734935800096503</v>
      </c>
    </row>
    <row r="25" spans="1:6" x14ac:dyDescent="0.25">
      <c r="A25">
        <v>68.890810012817298</v>
      </c>
      <c r="B25" t="s">
        <v>34</v>
      </c>
      <c r="C25">
        <v>0.77634423599972102</v>
      </c>
      <c r="D25">
        <v>0.87409210474657395</v>
      </c>
      <c r="E25">
        <v>0.82932280414214399</v>
      </c>
      <c r="F25">
        <v>0.99727463956909901</v>
      </c>
    </row>
    <row r="26" spans="1:6" x14ac:dyDescent="0.25">
      <c r="A26">
        <v>67.393541336059499</v>
      </c>
      <c r="B26" t="s">
        <v>35</v>
      </c>
      <c r="C26">
        <v>0.70397161497081295</v>
      </c>
      <c r="D26">
        <v>0.82627152798301895</v>
      </c>
      <c r="E26">
        <v>0.90762329191629998</v>
      </c>
      <c r="F26">
        <v>0.99033993533019304</v>
      </c>
    </row>
    <row r="27" spans="1:6" x14ac:dyDescent="0.25">
      <c r="A27">
        <v>69.518327713012695</v>
      </c>
      <c r="B27" t="s">
        <v>36</v>
      </c>
      <c r="C27">
        <v>0.78226922989627501</v>
      </c>
      <c r="D27">
        <v>0.87783508436803503</v>
      </c>
      <c r="E27">
        <v>0.84851916590758003</v>
      </c>
      <c r="F27">
        <v>0.99658715599971004</v>
      </c>
    </row>
    <row r="28" spans="1:6" x14ac:dyDescent="0.25">
      <c r="A28">
        <v>66.969394683837805</v>
      </c>
      <c r="B28" t="s">
        <v>37</v>
      </c>
      <c r="C28">
        <v>0.74327237679762603</v>
      </c>
      <c r="D28">
        <v>0.85273235174300099</v>
      </c>
      <c r="E28">
        <v>0.91704218300162699</v>
      </c>
      <c r="F28">
        <v>0.99265113808502603</v>
      </c>
    </row>
    <row r="29" spans="1:6" x14ac:dyDescent="0.25">
      <c r="A29">
        <v>69.914340972900305</v>
      </c>
      <c r="B29" t="s">
        <v>38</v>
      </c>
      <c r="C29">
        <v>0.78210945922230302</v>
      </c>
      <c r="D29">
        <v>0.87773447941139204</v>
      </c>
      <c r="E29">
        <v>0.97854454203262198</v>
      </c>
      <c r="F29">
        <v>0.99212448952292498</v>
      </c>
    </row>
    <row r="30" spans="1:6" x14ac:dyDescent="0.25">
      <c r="A30">
        <v>69.100618362426701</v>
      </c>
      <c r="B30" t="s">
        <v>39</v>
      </c>
      <c r="C30">
        <v>0.92416315934390103</v>
      </c>
      <c r="D30">
        <v>0.96058710495114197</v>
      </c>
      <c r="E30">
        <v>0.96516452368237204</v>
      </c>
      <c r="F30">
        <v>0.99783976237386096</v>
      </c>
    </row>
    <row r="31" spans="1:6" x14ac:dyDescent="0.25">
      <c r="A31">
        <v>69.270372390746999</v>
      </c>
      <c r="B31" t="s">
        <v>40</v>
      </c>
      <c r="C31">
        <v>0.81570096766580102</v>
      </c>
      <c r="D31">
        <v>0.89849703469006403</v>
      </c>
      <c r="E31">
        <v>0.90826667542663797</v>
      </c>
      <c r="F31">
        <v>0.99300491144515501</v>
      </c>
    </row>
    <row r="32" spans="1:6" x14ac:dyDescent="0.25">
      <c r="A32">
        <v>68.986177444457994</v>
      </c>
      <c r="B32" t="s">
        <v>41</v>
      </c>
      <c r="C32">
        <v>0.924437003613793</v>
      </c>
      <c r="D32">
        <v>0.96073501172326703</v>
      </c>
      <c r="E32">
        <v>0.96656989155494799</v>
      </c>
      <c r="F32">
        <v>0.99786869142644896</v>
      </c>
    </row>
    <row r="33" spans="1:6" x14ac:dyDescent="0.25">
      <c r="A33">
        <v>68.746805191039996</v>
      </c>
      <c r="B33" t="s">
        <v>42</v>
      </c>
      <c r="C33">
        <v>0.89459094995504895</v>
      </c>
      <c r="D33">
        <v>0.94436316184902502</v>
      </c>
      <c r="E33">
        <v>0.94867720664177302</v>
      </c>
      <c r="F33">
        <v>0.99695059645692097</v>
      </c>
    </row>
    <row r="34" spans="1:6" x14ac:dyDescent="0.25">
      <c r="A34">
        <v>69.291114807128906</v>
      </c>
      <c r="B34" t="s">
        <v>43</v>
      </c>
      <c r="C34">
        <v>0.67136037805131099</v>
      </c>
      <c r="D34">
        <v>0.80336998156444295</v>
      </c>
      <c r="E34">
        <v>0.93901703771520395</v>
      </c>
      <c r="F34">
        <v>0.98221346432979695</v>
      </c>
    </row>
    <row r="35" spans="1:6" x14ac:dyDescent="0.25">
      <c r="A35">
        <v>69.0634250640869</v>
      </c>
      <c r="B35" t="s">
        <v>44</v>
      </c>
      <c r="C35">
        <v>0.94715621514969495</v>
      </c>
      <c r="D35">
        <v>0.97286104502599302</v>
      </c>
      <c r="E35">
        <v>0.98492417484388906</v>
      </c>
      <c r="F35">
        <v>0.99867874744075003</v>
      </c>
    </row>
    <row r="36" spans="1:6" x14ac:dyDescent="0.25">
      <c r="A36">
        <v>69.054126739501896</v>
      </c>
      <c r="B36" t="s">
        <v>45</v>
      </c>
      <c r="C36">
        <v>0.78441003737319803</v>
      </c>
      <c r="D36">
        <v>0.87918137753575398</v>
      </c>
      <c r="E36">
        <v>0.81051857300478103</v>
      </c>
      <c r="F36">
        <v>0.99911394908487094</v>
      </c>
    </row>
    <row r="37" spans="1:6" x14ac:dyDescent="0.25">
      <c r="A37">
        <v>68.553209304809499</v>
      </c>
      <c r="B37" t="s">
        <v>46</v>
      </c>
      <c r="C37">
        <v>0.85782199474763698</v>
      </c>
      <c r="D37">
        <v>0.92347059855340097</v>
      </c>
      <c r="E37">
        <v>0.91263205122975899</v>
      </c>
      <c r="F37">
        <v>0.99686556442850804</v>
      </c>
    </row>
    <row r="38" spans="1:6" x14ac:dyDescent="0.25">
      <c r="A38">
        <v>68.732738494873004</v>
      </c>
      <c r="B38" t="s">
        <v>47</v>
      </c>
      <c r="C38">
        <v>0.77036635459454905</v>
      </c>
      <c r="D38">
        <v>0.87029032448030097</v>
      </c>
      <c r="E38">
        <v>0.80117098557952904</v>
      </c>
      <c r="F38">
        <v>0.99816052694319202</v>
      </c>
    </row>
    <row r="39" spans="1:6" x14ac:dyDescent="0.25">
      <c r="A39">
        <v>68.7146186828613</v>
      </c>
      <c r="B39" t="s">
        <v>48</v>
      </c>
      <c r="C39">
        <v>0.763917371079878</v>
      </c>
      <c r="D39">
        <v>0.86616004083252995</v>
      </c>
      <c r="E39">
        <v>0.80260299887892295</v>
      </c>
      <c r="F39">
        <v>0.99708418054479697</v>
      </c>
    </row>
    <row r="40" spans="1:6" x14ac:dyDescent="0.25">
      <c r="A40">
        <v>67.283630371093693</v>
      </c>
      <c r="B40" t="s">
        <v>49</v>
      </c>
      <c r="C40">
        <v>0.835362386701896</v>
      </c>
      <c r="D40">
        <v>0.91029694490255197</v>
      </c>
      <c r="E40">
        <v>0.97165921027037505</v>
      </c>
      <c r="F40">
        <v>0.99158816084784196</v>
      </c>
    </row>
    <row r="41" spans="1:6" x14ac:dyDescent="0.25">
      <c r="A41">
        <v>68.611145019531193</v>
      </c>
      <c r="B41" t="s">
        <v>50</v>
      </c>
      <c r="C41">
        <v>0.89922141783909304</v>
      </c>
      <c r="D41">
        <v>0.94693689676500603</v>
      </c>
      <c r="E41">
        <v>0.939195936884754</v>
      </c>
      <c r="F41">
        <v>0.99846279682179795</v>
      </c>
    </row>
    <row r="42" spans="1:6" x14ac:dyDescent="0.25">
      <c r="A42">
        <v>68.876981735229407</v>
      </c>
      <c r="B42" t="s">
        <v>51</v>
      </c>
      <c r="C42">
        <v>0.88547499517281303</v>
      </c>
      <c r="D42">
        <v>0.93925933511693604</v>
      </c>
      <c r="E42">
        <v>0.93852647735993799</v>
      </c>
      <c r="F42">
        <v>0.99517310458822905</v>
      </c>
    </row>
    <row r="43" spans="1:6" x14ac:dyDescent="0.25">
      <c r="A43">
        <v>63.896417617797802</v>
      </c>
      <c r="B43" t="s">
        <v>52</v>
      </c>
      <c r="C43">
        <v>0.231808845958312</v>
      </c>
      <c r="D43">
        <v>0.37637145847572001</v>
      </c>
      <c r="E43">
        <v>0.89195618153364598</v>
      </c>
      <c r="F43">
        <v>0.81519301780484099</v>
      </c>
    </row>
    <row r="44" spans="1:6" x14ac:dyDescent="0.25">
      <c r="A44">
        <v>67.408561706542898</v>
      </c>
      <c r="B44" t="s">
        <v>53</v>
      </c>
      <c r="C44">
        <v>0.80516972442991896</v>
      </c>
      <c r="D44">
        <v>0.89207093774431101</v>
      </c>
      <c r="E44">
        <v>0.84919702311006595</v>
      </c>
      <c r="F44">
        <v>0.99792730933274998</v>
      </c>
    </row>
    <row r="45" spans="1:6" x14ac:dyDescent="0.25">
      <c r="A45">
        <v>68.905591964721594</v>
      </c>
      <c r="B45" t="s">
        <v>54</v>
      </c>
      <c r="C45">
        <v>0.871624474510307</v>
      </c>
      <c r="D45">
        <v>0.93140957107686795</v>
      </c>
      <c r="E45">
        <v>0.99152153030113099</v>
      </c>
      <c r="F45">
        <v>0.99341754189609099</v>
      </c>
    </row>
    <row r="46" spans="1:6" x14ac:dyDescent="0.25">
      <c r="A46">
        <v>68.753242492675696</v>
      </c>
      <c r="B46" t="s">
        <v>55</v>
      </c>
      <c r="C46">
        <v>0.85758958755916104</v>
      </c>
      <c r="D46">
        <v>0.92333591155193595</v>
      </c>
      <c r="E46">
        <v>0.936709561878034</v>
      </c>
      <c r="F46">
        <v>0.99497492490544603</v>
      </c>
    </row>
    <row r="47" spans="1:6" x14ac:dyDescent="0.25">
      <c r="A47">
        <v>68.938255310058594</v>
      </c>
      <c r="B47" t="s">
        <v>56</v>
      </c>
      <c r="C47">
        <v>0.70456097746072699</v>
      </c>
      <c r="D47">
        <v>0.826677351854325</v>
      </c>
      <c r="E47">
        <v>0.84888753428832597</v>
      </c>
      <c r="F47">
        <v>0.993383318598968</v>
      </c>
    </row>
    <row r="48" spans="1:6" x14ac:dyDescent="0.25">
      <c r="A48">
        <v>64.183235168457003</v>
      </c>
      <c r="B48" t="s">
        <v>57</v>
      </c>
      <c r="C48">
        <v>0.25530287453222</v>
      </c>
      <c r="D48">
        <v>0.40675900567399997</v>
      </c>
      <c r="E48">
        <v>0.96502518186905395</v>
      </c>
      <c r="F48">
        <v>0.81829912094968305</v>
      </c>
    </row>
    <row r="49" spans="1:6" x14ac:dyDescent="0.25">
      <c r="A49">
        <v>68.858623504638601</v>
      </c>
      <c r="B49" t="s">
        <v>58</v>
      </c>
      <c r="C49">
        <v>0.90914699984574998</v>
      </c>
      <c r="D49">
        <v>0.95241173143734303</v>
      </c>
      <c r="E49">
        <v>0.97451401847084096</v>
      </c>
      <c r="F49">
        <v>0.99697487376259497</v>
      </c>
    </row>
    <row r="50" spans="1:6" x14ac:dyDescent="0.25">
      <c r="A50">
        <v>68.979978561401296</v>
      </c>
      <c r="B50" t="s">
        <v>59</v>
      </c>
      <c r="C50">
        <v>0.86172746646609</v>
      </c>
      <c r="D50">
        <v>0.92572890714430001</v>
      </c>
      <c r="E50">
        <v>0.943453197913807</v>
      </c>
      <c r="F50">
        <v>0.99798094510858804</v>
      </c>
    </row>
    <row r="51" spans="1:6" x14ac:dyDescent="0.25">
      <c r="A51">
        <v>69.284200668334904</v>
      </c>
      <c r="B51" t="s">
        <v>60</v>
      </c>
      <c r="C51">
        <v>0.93097165991902797</v>
      </c>
      <c r="D51">
        <v>0.96425201803124005</v>
      </c>
      <c r="E51">
        <v>0.97400328268120895</v>
      </c>
      <c r="F51">
        <v>0.99827265874028703</v>
      </c>
    </row>
    <row r="52" spans="1:6" x14ac:dyDescent="0.25">
      <c r="A52">
        <v>69.087266921996999</v>
      </c>
      <c r="B52" t="s">
        <v>61</v>
      </c>
      <c r="C52">
        <v>0.90710531704320496</v>
      </c>
      <c r="D52">
        <v>0.95129021867506502</v>
      </c>
      <c r="E52">
        <v>0.97371554171627395</v>
      </c>
      <c r="F52">
        <v>0.99596672371001005</v>
      </c>
    </row>
    <row r="53" spans="1:6" x14ac:dyDescent="0.25">
      <c r="A53">
        <v>69.423675537109304</v>
      </c>
      <c r="B53" t="s">
        <v>62</v>
      </c>
      <c r="C53">
        <v>0.659099630400096</v>
      </c>
      <c r="D53">
        <v>0.79452688473103095</v>
      </c>
      <c r="E53">
        <v>0.76908936651583704</v>
      </c>
      <c r="F53">
        <v>0.99296223999745503</v>
      </c>
    </row>
    <row r="54" spans="1:6" x14ac:dyDescent="0.25">
      <c r="A54">
        <v>69.195747375488196</v>
      </c>
      <c r="B54" t="s">
        <v>63</v>
      </c>
      <c r="C54">
        <v>0.68099567225304203</v>
      </c>
      <c r="D54">
        <v>0.81022894168466497</v>
      </c>
      <c r="E54">
        <v>0.72044001966568305</v>
      </c>
      <c r="F54">
        <v>0.99616670462679702</v>
      </c>
    </row>
    <row r="55" spans="1:6" x14ac:dyDescent="0.25">
      <c r="A55">
        <v>67.127943038940401</v>
      </c>
      <c r="B55" t="s">
        <v>64</v>
      </c>
      <c r="C55">
        <v>0.66791039294895305</v>
      </c>
      <c r="D55">
        <v>0.80089481518015204</v>
      </c>
      <c r="E55">
        <v>0.71240775269103596</v>
      </c>
      <c r="F55">
        <v>0.995682165984769</v>
      </c>
    </row>
    <row r="56" spans="1:6" x14ac:dyDescent="0.25">
      <c r="A56">
        <v>68.889856338500906</v>
      </c>
      <c r="B56" t="s">
        <v>65</v>
      </c>
      <c r="C56">
        <v>0.89877912456436404</v>
      </c>
      <c r="D56">
        <v>0.94669160086807902</v>
      </c>
      <c r="E56">
        <v>0.95613953271463803</v>
      </c>
      <c r="F56">
        <v>0.99727848541797104</v>
      </c>
    </row>
    <row r="57" spans="1:6" x14ac:dyDescent="0.25">
      <c r="A57">
        <v>69.184303283691406</v>
      </c>
      <c r="B57" t="s">
        <v>66</v>
      </c>
      <c r="C57">
        <v>0.81613037064355498</v>
      </c>
      <c r="D57">
        <v>0.89875747230013503</v>
      </c>
      <c r="E57">
        <v>0.83298828400696301</v>
      </c>
      <c r="F57">
        <v>0.99912729730535599</v>
      </c>
    </row>
    <row r="58" spans="1:6" x14ac:dyDescent="0.25">
      <c r="A58">
        <v>68.722963333129798</v>
      </c>
      <c r="B58" t="s">
        <v>67</v>
      </c>
      <c r="C58">
        <v>0.73871928667106501</v>
      </c>
      <c r="D58">
        <v>0.84972806402281198</v>
      </c>
      <c r="E58">
        <v>0.78591938742954304</v>
      </c>
      <c r="F58">
        <v>0.99700068193549796</v>
      </c>
    </row>
    <row r="59" spans="1:6" x14ac:dyDescent="0.25">
      <c r="A59">
        <v>68.740367889404297</v>
      </c>
      <c r="B59" t="s">
        <v>68</v>
      </c>
      <c r="C59">
        <v>0.76907255490673498</v>
      </c>
      <c r="D59">
        <v>0.86946411866898299</v>
      </c>
      <c r="E59">
        <v>0.82010235208107496</v>
      </c>
      <c r="F59">
        <v>0.99739124143009905</v>
      </c>
    </row>
    <row r="60" spans="1:6" x14ac:dyDescent="0.25">
      <c r="A60">
        <v>67.355155944824205</v>
      </c>
      <c r="B60" t="s">
        <v>69</v>
      </c>
      <c r="C60">
        <v>0.91643411380342998</v>
      </c>
      <c r="D60">
        <v>0.95639511653718001</v>
      </c>
      <c r="E60">
        <v>0.98075172087263696</v>
      </c>
      <c r="F60">
        <v>0.99612141754439598</v>
      </c>
    </row>
    <row r="61" spans="1:6" x14ac:dyDescent="0.25">
      <c r="A61">
        <v>68.811655044555593</v>
      </c>
      <c r="B61" t="s">
        <v>70</v>
      </c>
      <c r="C61">
        <v>0.74013263450636402</v>
      </c>
      <c r="D61">
        <v>0.85066232289393595</v>
      </c>
      <c r="E61">
        <v>0.92696704474412694</v>
      </c>
      <c r="F61">
        <v>0.988736665511044</v>
      </c>
    </row>
    <row r="62" spans="1:6" x14ac:dyDescent="0.25">
      <c r="A62">
        <v>69.008111953735295</v>
      </c>
      <c r="B62" t="s">
        <v>71</v>
      </c>
      <c r="C62">
        <v>0.66227671157706203</v>
      </c>
      <c r="D62">
        <v>0.79683088497189603</v>
      </c>
      <c r="E62">
        <v>0.69440532969944702</v>
      </c>
      <c r="F62">
        <v>0.99673903418823395</v>
      </c>
    </row>
    <row r="63" spans="1:6" x14ac:dyDescent="0.25">
      <c r="A63">
        <v>69.375276565551701</v>
      </c>
      <c r="B63" t="s">
        <v>72</v>
      </c>
      <c r="C63">
        <v>0.92176433963732496</v>
      </c>
      <c r="D63">
        <v>0.959289670044851</v>
      </c>
      <c r="E63">
        <v>0.97139635021529602</v>
      </c>
      <c r="F63">
        <v>0.99737349045714796</v>
      </c>
    </row>
    <row r="64" spans="1:6" x14ac:dyDescent="0.25">
      <c r="A64">
        <v>68.811416625976506</v>
      </c>
      <c r="B64" t="s">
        <v>73</v>
      </c>
      <c r="C64">
        <v>0.66650501915522997</v>
      </c>
      <c r="D64">
        <v>0.79988360250254598</v>
      </c>
      <c r="E64">
        <v>0.69777123419810105</v>
      </c>
      <c r="F64">
        <v>0.99719854267623997</v>
      </c>
    </row>
    <row r="65" spans="1:6" x14ac:dyDescent="0.25">
      <c r="A65">
        <v>66.980838775634695</v>
      </c>
      <c r="B65" t="s">
        <v>74</v>
      </c>
      <c r="C65">
        <v>0.91766903083798301</v>
      </c>
      <c r="D65">
        <v>0.95706716443867301</v>
      </c>
      <c r="E65">
        <v>0.97431660450403601</v>
      </c>
      <c r="F65">
        <v>0.99740114925850698</v>
      </c>
    </row>
    <row r="66" spans="1:6" x14ac:dyDescent="0.25">
      <c r="A66">
        <v>69.037914276123004</v>
      </c>
      <c r="B66" t="s">
        <v>75</v>
      </c>
      <c r="C66">
        <v>0.83811285846438399</v>
      </c>
      <c r="D66">
        <v>0.91192752893809703</v>
      </c>
      <c r="E66">
        <v>0.895910343041461</v>
      </c>
      <c r="F66">
        <v>0.99708876725345197</v>
      </c>
    </row>
    <row r="67" spans="1:6" x14ac:dyDescent="0.25">
      <c r="A67">
        <v>68.644762039184499</v>
      </c>
      <c r="B67" t="s">
        <v>76</v>
      </c>
      <c r="C67">
        <v>0.73051879857172797</v>
      </c>
      <c r="D67">
        <v>0.84427721810899303</v>
      </c>
      <c r="E67">
        <v>0.81126629151237695</v>
      </c>
      <c r="F67">
        <v>0.99626236962413695</v>
      </c>
    </row>
    <row r="68" spans="1:6" x14ac:dyDescent="0.25">
      <c r="A68">
        <v>68.792819976806598</v>
      </c>
      <c r="B68" t="s">
        <v>77</v>
      </c>
      <c r="C68">
        <v>0.88041670908412195</v>
      </c>
      <c r="D68">
        <v>0.936405962392175</v>
      </c>
      <c r="E68">
        <v>0.98575227963525802</v>
      </c>
      <c r="F68">
        <v>0.99691955831024703</v>
      </c>
    </row>
    <row r="69" spans="1:6" x14ac:dyDescent="0.25">
      <c r="A69">
        <v>69.060802459716797</v>
      </c>
      <c r="B69" t="s">
        <v>78</v>
      </c>
      <c r="C69">
        <v>0.76726037028357097</v>
      </c>
      <c r="D69">
        <v>0.86830484424936005</v>
      </c>
      <c r="E69">
        <v>0.81728992960207703</v>
      </c>
      <c r="F69">
        <v>0.99741006109955399</v>
      </c>
    </row>
    <row r="70" spans="1:6" x14ac:dyDescent="0.25">
      <c r="A70">
        <v>68.922758102416907</v>
      </c>
      <c r="B70" t="s">
        <v>79</v>
      </c>
      <c r="C70">
        <v>0.91496530823829603</v>
      </c>
      <c r="D70">
        <v>0.95559465678261601</v>
      </c>
      <c r="E70">
        <v>0.97064235707184998</v>
      </c>
      <c r="F70">
        <v>0.99712672663555302</v>
      </c>
    </row>
    <row r="71" spans="1:6" x14ac:dyDescent="0.25">
      <c r="A71">
        <v>67.224740982055593</v>
      </c>
      <c r="B71" t="s">
        <v>80</v>
      </c>
      <c r="C71">
        <v>0.947275387936655</v>
      </c>
      <c r="D71">
        <v>0.97292390568382203</v>
      </c>
      <c r="E71">
        <v>0.97554424864590605</v>
      </c>
      <c r="F71">
        <v>0.99796242092919696</v>
      </c>
    </row>
    <row r="72" spans="1:6" x14ac:dyDescent="0.25">
      <c r="A72">
        <v>68.970918655395494</v>
      </c>
      <c r="B72" t="s">
        <v>81</v>
      </c>
      <c r="C72">
        <v>0.85532571192342499</v>
      </c>
      <c r="D72">
        <v>0.92202216185179098</v>
      </c>
      <c r="E72">
        <v>0.90196341442966999</v>
      </c>
      <c r="F72">
        <v>0.99671161400900898</v>
      </c>
    </row>
    <row r="73" spans="1:6" x14ac:dyDescent="0.25">
      <c r="A73">
        <v>68.782806396484304</v>
      </c>
      <c r="B73" t="s">
        <v>82</v>
      </c>
      <c r="C73">
        <v>0.73700715999471</v>
      </c>
      <c r="D73">
        <v>0.848594268312578</v>
      </c>
      <c r="E73">
        <v>0.79394346419195305</v>
      </c>
      <c r="F73">
        <v>0.99620186924864795</v>
      </c>
    </row>
    <row r="74" spans="1:6" x14ac:dyDescent="0.25">
      <c r="A74">
        <v>68.972349166870103</v>
      </c>
      <c r="B74" t="s">
        <v>83</v>
      </c>
      <c r="C74">
        <v>0.798785922482114</v>
      </c>
      <c r="D74">
        <v>0.88813895249956398</v>
      </c>
      <c r="E74">
        <v>0.84570262688089703</v>
      </c>
      <c r="F74">
        <v>0.99771836974893102</v>
      </c>
    </row>
    <row r="75" spans="1:6" x14ac:dyDescent="0.25">
      <c r="A75">
        <v>69.028139114379798</v>
      </c>
      <c r="B75" t="s">
        <v>84</v>
      </c>
      <c r="C75">
        <v>0.80564186626868595</v>
      </c>
      <c r="D75">
        <v>0.89236064063304499</v>
      </c>
      <c r="E75">
        <v>0.86106898174781599</v>
      </c>
      <c r="F75">
        <v>0.99739591065924704</v>
      </c>
    </row>
    <row r="76" spans="1:6" x14ac:dyDescent="0.25">
      <c r="A76">
        <v>68.832635879516602</v>
      </c>
      <c r="B76" t="s">
        <v>85</v>
      </c>
      <c r="C76">
        <v>0.58920770877944295</v>
      </c>
      <c r="D76">
        <v>0.74151126441737603</v>
      </c>
      <c r="E76">
        <v>0.62567647460093601</v>
      </c>
      <c r="F76">
        <v>0.99584473580030297</v>
      </c>
    </row>
    <row r="77" spans="1:6" x14ac:dyDescent="0.25">
      <c r="A77">
        <v>69.049835205078097</v>
      </c>
      <c r="B77" t="s">
        <v>86</v>
      </c>
      <c r="C77">
        <v>0.77229168972003903</v>
      </c>
      <c r="D77">
        <v>0.87151758844170202</v>
      </c>
      <c r="E77">
        <v>0.82204946996466399</v>
      </c>
      <c r="F77">
        <v>0.99728165259619495</v>
      </c>
    </row>
    <row r="78" spans="1:6" x14ac:dyDescent="0.25">
      <c r="A78" s="1">
        <f>AVERAGE(A4:A77)</f>
        <v>68.688766376392252</v>
      </c>
      <c r="B78" s="1"/>
      <c r="C78" s="1">
        <f>SUBTOTAL(101,Edgesam_test2[Column3])</f>
        <v>0.79627017233432662</v>
      </c>
      <c r="D78" s="1">
        <f>SUBTOTAL(101,Edgesam_test2[Column4])</f>
        <v>0.87952632660842156</v>
      </c>
      <c r="E78" s="1">
        <f>SUBTOTAL(101,Edgesam_test2[Column5])</f>
        <v>0.88525749558682354</v>
      </c>
      <c r="F78" s="1">
        <f>SUBTOTAL(101,Edgesam_test2[Column6])</f>
        <v>0.99114374813820427</v>
      </c>
    </row>
    <row r="79" spans="1:6" x14ac:dyDescent="0.25">
      <c r="A79" s="1">
        <f>STDEVA(A4:A77)</f>
        <v>1.2156483478387266</v>
      </c>
      <c r="B79" s="1"/>
      <c r="C79" s="1">
        <f>STDEVA(C3:C77)</f>
        <v>0.1307014958144008</v>
      </c>
      <c r="D79" s="1">
        <f>STDEVA(D3:D77)</f>
        <v>9.9788630481570412E-2</v>
      </c>
      <c r="E79" s="1">
        <f>STDEVA(E3:E77)</f>
        <v>9.5070818509537344E-2</v>
      </c>
      <c r="F79" s="1">
        <f>STDEVA(F3:F77)</f>
        <v>2.92007198263627E-2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C014A-33D2-4339-9749-F892C9189680}">
  <dimension ref="A1:F79"/>
  <sheetViews>
    <sheetView tabSelected="1" topLeftCell="A45" workbookViewId="0">
      <selection activeCell="J58" sqref="J58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4" width="19.7109375" bestFit="1" customWidth="1"/>
    <col min="5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495.98288536071698</v>
      </c>
      <c r="B3" t="s">
        <v>12</v>
      </c>
      <c r="C3">
        <v>0.93601030706463295</v>
      </c>
      <c r="D3">
        <v>0.96694764862466698</v>
      </c>
      <c r="E3">
        <v>0.95502347417840305</v>
      </c>
      <c r="F3">
        <v>0.99868179990169303</v>
      </c>
    </row>
    <row r="4" spans="1:6" x14ac:dyDescent="0.25">
      <c r="A4">
        <v>40.724039077758697</v>
      </c>
      <c r="B4" t="s">
        <v>13</v>
      </c>
      <c r="C4">
        <v>0.907000210216523</v>
      </c>
      <c r="D4">
        <v>0.95123241765509903</v>
      </c>
      <c r="E4">
        <v>0.92105712577918197</v>
      </c>
      <c r="F4">
        <v>0.99927525525789296</v>
      </c>
    </row>
    <row r="5" spans="1:6" x14ac:dyDescent="0.25">
      <c r="A5">
        <v>22.125959396362301</v>
      </c>
      <c r="B5" t="s">
        <v>14</v>
      </c>
      <c r="C5">
        <v>0.90502917614479195</v>
      </c>
      <c r="D5">
        <v>0.95014731267927299</v>
      </c>
      <c r="E5">
        <v>0.92893942085628001</v>
      </c>
      <c r="F5">
        <v>0.99896846229536396</v>
      </c>
    </row>
    <row r="6" spans="1:6" x14ac:dyDescent="0.25">
      <c r="A6">
        <v>21.0762023925781</v>
      </c>
      <c r="B6" t="s">
        <v>15</v>
      </c>
      <c r="C6">
        <v>0.90034130796978296</v>
      </c>
      <c r="D6">
        <v>0.94755747737932094</v>
      </c>
      <c r="E6">
        <v>0.93325061618685101</v>
      </c>
      <c r="F6">
        <v>0.99779560840702297</v>
      </c>
    </row>
    <row r="7" spans="1:6" x14ac:dyDescent="0.25">
      <c r="A7">
        <v>22.019386291503899</v>
      </c>
      <c r="B7" t="s">
        <v>16</v>
      </c>
      <c r="C7">
        <v>0.91555809042282599</v>
      </c>
      <c r="D7">
        <v>0.95591785495863701</v>
      </c>
      <c r="E7">
        <v>0.93062062265954204</v>
      </c>
      <c r="F7">
        <v>0.99893374277610703</v>
      </c>
    </row>
    <row r="8" spans="1:6" x14ac:dyDescent="0.25">
      <c r="A8">
        <v>20.884513854980401</v>
      </c>
      <c r="B8" t="s">
        <v>17</v>
      </c>
      <c r="C8">
        <v>0.94170545308280096</v>
      </c>
      <c r="D8">
        <v>0.96997765710311701</v>
      </c>
      <c r="E8">
        <v>0.97803837316862097</v>
      </c>
      <c r="F8">
        <v>0.99872618743861197</v>
      </c>
    </row>
    <row r="9" spans="1:6" x14ac:dyDescent="0.25">
      <c r="A9">
        <v>22.583723068237301</v>
      </c>
      <c r="B9" t="s">
        <v>18</v>
      </c>
      <c r="C9">
        <v>0.91474834550759998</v>
      </c>
      <c r="D9">
        <v>0.95547631379736198</v>
      </c>
      <c r="E9">
        <v>0.947585743638375</v>
      </c>
      <c r="F9">
        <v>0.99817928574291503</v>
      </c>
    </row>
    <row r="10" spans="1:6" x14ac:dyDescent="0.25">
      <c r="A10">
        <v>21.1915969848632</v>
      </c>
      <c r="B10" t="s">
        <v>19</v>
      </c>
      <c r="C10">
        <v>0.91761489439534805</v>
      </c>
      <c r="D10">
        <v>0.95703772126226105</v>
      </c>
      <c r="E10">
        <v>0.951563311104899</v>
      </c>
      <c r="F10">
        <v>0.99814419773858498</v>
      </c>
    </row>
    <row r="11" spans="1:6" x14ac:dyDescent="0.25">
      <c r="A11">
        <v>21.9485759735107</v>
      </c>
      <c r="B11" t="s">
        <v>20</v>
      </c>
      <c r="C11">
        <v>0.890618106955541</v>
      </c>
      <c r="D11">
        <v>0.94214490348841695</v>
      </c>
      <c r="E11">
        <v>0.92076724268990995</v>
      </c>
      <c r="F11">
        <v>0.99867606108352902</v>
      </c>
    </row>
    <row r="12" spans="1:6" x14ac:dyDescent="0.25">
      <c r="A12">
        <v>23.147106170654201</v>
      </c>
      <c r="B12" t="s">
        <v>21</v>
      </c>
      <c r="C12">
        <v>0.93517704833290205</v>
      </c>
      <c r="D12">
        <v>0.966502831499091</v>
      </c>
      <c r="E12">
        <v>0.95785460899031005</v>
      </c>
      <c r="F12">
        <v>0.99909378889238398</v>
      </c>
    </row>
    <row r="13" spans="1:6" x14ac:dyDescent="0.25">
      <c r="A13">
        <v>21.4729309082031</v>
      </c>
      <c r="B13" t="s">
        <v>22</v>
      </c>
      <c r="C13">
        <v>0.93570631491601997</v>
      </c>
      <c r="D13">
        <v>0.96678541337156798</v>
      </c>
      <c r="E13">
        <v>0.97240559024680295</v>
      </c>
      <c r="F13">
        <v>0.99870042347080501</v>
      </c>
    </row>
    <row r="14" spans="1:6" x14ac:dyDescent="0.25">
      <c r="A14">
        <v>20.9126472473144</v>
      </c>
      <c r="B14" t="s">
        <v>23</v>
      </c>
      <c r="C14">
        <v>0.91982462279491894</v>
      </c>
      <c r="D14">
        <v>0.95823817641824005</v>
      </c>
      <c r="E14">
        <v>0.945155354385668</v>
      </c>
      <c r="F14">
        <v>0.99869968650660002</v>
      </c>
    </row>
    <row r="15" spans="1:6" x14ac:dyDescent="0.25">
      <c r="A15">
        <v>22.532939910888601</v>
      </c>
      <c r="B15" t="s">
        <v>24</v>
      </c>
      <c r="C15">
        <v>0.93555567769594306</v>
      </c>
      <c r="D15">
        <v>0.96670500205875198</v>
      </c>
      <c r="E15">
        <v>0.97675953289530304</v>
      </c>
      <c r="F15">
        <v>0.998485779645919</v>
      </c>
    </row>
    <row r="16" spans="1:6" x14ac:dyDescent="0.25">
      <c r="A16">
        <v>20.983457565307599</v>
      </c>
      <c r="B16" t="s">
        <v>25</v>
      </c>
      <c r="C16">
        <v>0.95756497591877399</v>
      </c>
      <c r="D16">
        <v>0.97832254632502802</v>
      </c>
      <c r="E16">
        <v>0.98788403288619597</v>
      </c>
      <c r="F16">
        <v>0.99783812860587795</v>
      </c>
    </row>
    <row r="17" spans="1:6" x14ac:dyDescent="0.25">
      <c r="A17">
        <v>21.520137786865199</v>
      </c>
      <c r="B17" t="s">
        <v>26</v>
      </c>
      <c r="C17">
        <v>0.27210219664893398</v>
      </c>
      <c r="D17">
        <v>0.42779927173418297</v>
      </c>
      <c r="E17">
        <v>0.91667174641877402</v>
      </c>
      <c r="F17">
        <v>0.92348434580405303</v>
      </c>
    </row>
    <row r="18" spans="1:6" x14ac:dyDescent="0.25">
      <c r="A18">
        <v>21.883964538574201</v>
      </c>
      <c r="B18" t="s">
        <v>27</v>
      </c>
      <c r="C18">
        <v>0.90055868480102497</v>
      </c>
      <c r="D18">
        <v>0.94767785073188304</v>
      </c>
      <c r="E18">
        <v>0.92845002596666804</v>
      </c>
      <c r="F18">
        <v>0.99869610241956397</v>
      </c>
    </row>
    <row r="19" spans="1:6" x14ac:dyDescent="0.25">
      <c r="A19">
        <v>21.7552185058593</v>
      </c>
      <c r="B19" t="s">
        <v>28</v>
      </c>
      <c r="C19">
        <v>0.88242488256385998</v>
      </c>
      <c r="D19">
        <v>0.93754060598901401</v>
      </c>
      <c r="E19">
        <v>0.90301935630679897</v>
      </c>
      <c r="F19">
        <v>0.998322536986475</v>
      </c>
    </row>
    <row r="20" spans="1:6" x14ac:dyDescent="0.25">
      <c r="A20">
        <v>21.754264831542901</v>
      </c>
      <c r="B20" t="s">
        <v>29</v>
      </c>
      <c r="C20">
        <v>0.94611943201711701</v>
      </c>
      <c r="D20">
        <v>0.97231384307846003</v>
      </c>
      <c r="E20">
        <v>0.96889213505527705</v>
      </c>
      <c r="F20">
        <v>0.99928813742384204</v>
      </c>
    </row>
    <row r="21" spans="1:6" x14ac:dyDescent="0.25">
      <c r="A21">
        <v>22.99165725708</v>
      </c>
      <c r="B21" t="s">
        <v>30</v>
      </c>
      <c r="C21">
        <v>0.37840020109842398</v>
      </c>
      <c r="D21">
        <v>0.54904257964687297</v>
      </c>
      <c r="E21">
        <v>0.94290486675271401</v>
      </c>
      <c r="F21">
        <v>0.92108079992609604</v>
      </c>
    </row>
    <row r="22" spans="1:6" x14ac:dyDescent="0.25">
      <c r="A22">
        <v>21.105766296386701</v>
      </c>
      <c r="B22" t="s">
        <v>31</v>
      </c>
      <c r="C22">
        <v>0.89409359962526003</v>
      </c>
      <c r="D22">
        <v>0.94408597315587095</v>
      </c>
      <c r="E22">
        <v>0.91059308251111304</v>
      </c>
      <c r="F22">
        <v>0.99915108916955298</v>
      </c>
    </row>
    <row r="23" spans="1:6" x14ac:dyDescent="0.25">
      <c r="A23">
        <v>22.5791931152343</v>
      </c>
      <c r="B23" t="s">
        <v>32</v>
      </c>
      <c r="C23">
        <v>0.90959496426155195</v>
      </c>
      <c r="D23">
        <v>0.95265748107300396</v>
      </c>
      <c r="E23">
        <v>0.93643727761374795</v>
      </c>
      <c r="F23">
        <v>0.99801634757580104</v>
      </c>
    </row>
    <row r="24" spans="1:6" x14ac:dyDescent="0.25">
      <c r="A24">
        <v>21.0542678833007</v>
      </c>
      <c r="B24" t="s">
        <v>33</v>
      </c>
      <c r="C24">
        <v>0.93190834555552804</v>
      </c>
      <c r="D24">
        <v>0.96475420037336601</v>
      </c>
      <c r="E24">
        <v>0.99153236121770205</v>
      </c>
      <c r="F24">
        <v>0.99484540331988103</v>
      </c>
    </row>
    <row r="25" spans="1:6" x14ac:dyDescent="0.25">
      <c r="A25">
        <v>21.9285488128662</v>
      </c>
      <c r="B25" t="s">
        <v>34</v>
      </c>
      <c r="C25">
        <v>0.93773731643716496</v>
      </c>
      <c r="D25">
        <v>0.967868357060226</v>
      </c>
      <c r="E25">
        <v>0.95588509606416705</v>
      </c>
      <c r="F25">
        <v>0.99873506975912396</v>
      </c>
    </row>
    <row r="26" spans="1:6" x14ac:dyDescent="0.25">
      <c r="A26">
        <v>21.004438400268501</v>
      </c>
      <c r="B26" t="s">
        <v>35</v>
      </c>
      <c r="C26">
        <v>0.91529390448293002</v>
      </c>
      <c r="D26">
        <v>0.95577383955600403</v>
      </c>
      <c r="E26">
        <v>0.931339110127827</v>
      </c>
      <c r="F26">
        <v>0.99883984349580202</v>
      </c>
    </row>
    <row r="27" spans="1:6" x14ac:dyDescent="0.25">
      <c r="A27">
        <v>23.757219314575099</v>
      </c>
      <c r="B27" t="s">
        <v>36</v>
      </c>
      <c r="C27">
        <v>0.89731311519020995</v>
      </c>
      <c r="D27">
        <v>0.94587773415591703</v>
      </c>
      <c r="E27">
        <v>0.91386511932446701</v>
      </c>
      <c r="F27">
        <v>0.99918648590788395</v>
      </c>
    </row>
    <row r="28" spans="1:6" x14ac:dyDescent="0.25">
      <c r="A28">
        <v>20.95627784729</v>
      </c>
      <c r="B28" t="s">
        <v>37</v>
      </c>
      <c r="C28">
        <v>0.85455314069726895</v>
      </c>
      <c r="D28">
        <v>0.92157309698440504</v>
      </c>
      <c r="E28">
        <v>0.87271757625009505</v>
      </c>
      <c r="F28">
        <v>0.99917062938032997</v>
      </c>
    </row>
    <row r="29" spans="1:6" x14ac:dyDescent="0.25">
      <c r="A29">
        <v>21.584749221801701</v>
      </c>
      <c r="B29" t="s">
        <v>38</v>
      </c>
      <c r="C29">
        <v>0.27384379682475501</v>
      </c>
      <c r="D29">
        <v>0.42994878572608602</v>
      </c>
      <c r="E29">
        <v>0.96009798423988402</v>
      </c>
      <c r="F29">
        <v>0.916318531812085</v>
      </c>
    </row>
    <row r="30" spans="1:6" x14ac:dyDescent="0.25">
      <c r="A30">
        <v>21.191358566284102</v>
      </c>
      <c r="B30" t="s">
        <v>39</v>
      </c>
      <c r="C30">
        <v>0.89412338237901001</v>
      </c>
      <c r="D30">
        <v>0.94410257610145298</v>
      </c>
      <c r="E30">
        <v>0.95093325791855199</v>
      </c>
      <c r="F30">
        <v>0.99732046307486799</v>
      </c>
    </row>
    <row r="31" spans="1:6" x14ac:dyDescent="0.25">
      <c r="A31">
        <v>21.52681350708</v>
      </c>
      <c r="B31" t="s">
        <v>40</v>
      </c>
      <c r="C31">
        <v>0.92703936436388601</v>
      </c>
      <c r="D31">
        <v>0.96213848197117702</v>
      </c>
      <c r="E31">
        <v>0.98778924232248599</v>
      </c>
      <c r="F31">
        <v>0.99677819256602895</v>
      </c>
    </row>
    <row r="32" spans="1:6" x14ac:dyDescent="0.25">
      <c r="A32">
        <v>21.017074584960898</v>
      </c>
      <c r="B32" t="s">
        <v>41</v>
      </c>
      <c r="C32">
        <v>0.90596722611993896</v>
      </c>
      <c r="D32">
        <v>0.95066401321522798</v>
      </c>
      <c r="E32">
        <v>0.93200714103545002</v>
      </c>
      <c r="F32">
        <v>0.99888345753671104</v>
      </c>
    </row>
    <row r="33" spans="1:6" x14ac:dyDescent="0.25">
      <c r="A33">
        <v>21.5775966644287</v>
      </c>
      <c r="B33" t="s">
        <v>42</v>
      </c>
      <c r="C33">
        <v>0.88865984052192803</v>
      </c>
      <c r="D33">
        <v>0.94104806112290496</v>
      </c>
      <c r="E33">
        <v>0.91472741687263903</v>
      </c>
      <c r="F33">
        <v>0.99874911752130302</v>
      </c>
    </row>
    <row r="34" spans="1:6" x14ac:dyDescent="0.25">
      <c r="A34">
        <v>22.354364395141602</v>
      </c>
      <c r="B34" t="s">
        <v>43</v>
      </c>
      <c r="C34">
        <v>0.93384804878781502</v>
      </c>
      <c r="D34">
        <v>0.96579258062511597</v>
      </c>
      <c r="E34">
        <v>0.96402543029927101</v>
      </c>
      <c r="F34">
        <v>0.99897474346448101</v>
      </c>
    </row>
    <row r="35" spans="1:6" x14ac:dyDescent="0.25">
      <c r="A35">
        <v>21.519899368286101</v>
      </c>
      <c r="B35" t="s">
        <v>44</v>
      </c>
      <c r="C35">
        <v>0.89974503733381805</v>
      </c>
      <c r="D35">
        <v>0.94722714854047796</v>
      </c>
      <c r="E35">
        <v>0.93056765474536696</v>
      </c>
      <c r="F35">
        <v>0.99855382599992204</v>
      </c>
    </row>
    <row r="36" spans="1:6" x14ac:dyDescent="0.25">
      <c r="A36">
        <v>21.085500717163001</v>
      </c>
      <c r="B36" t="s">
        <v>45</v>
      </c>
      <c r="C36">
        <v>0.92707217819661603</v>
      </c>
      <c r="D36">
        <v>0.96215615448735703</v>
      </c>
      <c r="E36">
        <v>0.98674012158054702</v>
      </c>
      <c r="F36">
        <v>0.99834288084393696</v>
      </c>
    </row>
    <row r="37" spans="1:6" x14ac:dyDescent="0.25">
      <c r="A37">
        <v>21.697759628295898</v>
      </c>
      <c r="B37" t="s">
        <v>46</v>
      </c>
      <c r="C37">
        <v>0.321305395883552</v>
      </c>
      <c r="D37">
        <v>0.48634539279800099</v>
      </c>
      <c r="E37">
        <v>0.94270232628990402</v>
      </c>
      <c r="F37">
        <v>0.91136050140481495</v>
      </c>
    </row>
    <row r="38" spans="1:6" x14ac:dyDescent="0.25">
      <c r="A38">
        <v>20.972728729248001</v>
      </c>
      <c r="B38" t="s">
        <v>47</v>
      </c>
      <c r="C38">
        <v>0.88417480868267795</v>
      </c>
      <c r="D38">
        <v>0.938527364454946</v>
      </c>
      <c r="E38">
        <v>0.91238918274603298</v>
      </c>
      <c r="F38">
        <v>0.99872558655250798</v>
      </c>
    </row>
    <row r="39" spans="1:6" x14ac:dyDescent="0.25">
      <c r="A39">
        <v>22.345542907714801</v>
      </c>
      <c r="B39" t="s">
        <v>48</v>
      </c>
      <c r="C39">
        <v>0.90724423803116405</v>
      </c>
      <c r="D39">
        <v>0.95136660522063599</v>
      </c>
      <c r="E39">
        <v>0.94185679739249295</v>
      </c>
      <c r="F39">
        <v>0.99741343932122095</v>
      </c>
    </row>
    <row r="40" spans="1:6" x14ac:dyDescent="0.25">
      <c r="A40">
        <v>20.982265472412099</v>
      </c>
      <c r="B40" t="s">
        <v>49</v>
      </c>
      <c r="C40">
        <v>0.91309587573647499</v>
      </c>
      <c r="D40">
        <v>0.95457408833205004</v>
      </c>
      <c r="E40">
        <v>0.94715850464322504</v>
      </c>
      <c r="F40">
        <v>0.99811657216133298</v>
      </c>
    </row>
    <row r="41" spans="1:6" x14ac:dyDescent="0.25">
      <c r="A41">
        <v>23.571729660034102</v>
      </c>
      <c r="B41" t="s">
        <v>50</v>
      </c>
      <c r="C41">
        <v>0.93069355073990601</v>
      </c>
      <c r="D41">
        <v>0.96410282241139</v>
      </c>
      <c r="E41">
        <v>0.971738505017684</v>
      </c>
      <c r="F41">
        <v>0.99736630671510895</v>
      </c>
    </row>
    <row r="42" spans="1:6" x14ac:dyDescent="0.25">
      <c r="A42">
        <v>20.890235900878899</v>
      </c>
      <c r="B42" t="s">
        <v>51</v>
      </c>
      <c r="C42">
        <v>0.89813970454130898</v>
      </c>
      <c r="D42">
        <v>0.94633677636319902</v>
      </c>
      <c r="E42">
        <v>0.93053357583201401</v>
      </c>
      <c r="F42">
        <v>0.99848246788287798</v>
      </c>
    </row>
    <row r="43" spans="1:6" x14ac:dyDescent="0.25">
      <c r="A43">
        <v>21.697759628295898</v>
      </c>
      <c r="B43" t="s">
        <v>52</v>
      </c>
      <c r="C43">
        <v>0.76053616417581804</v>
      </c>
      <c r="D43">
        <v>0.86398243859064106</v>
      </c>
      <c r="E43">
        <v>0.90658075050295905</v>
      </c>
      <c r="F43">
        <v>0.99350671757967901</v>
      </c>
    </row>
    <row r="44" spans="1:6" x14ac:dyDescent="0.25">
      <c r="A44">
        <v>21.943330764770501</v>
      </c>
      <c r="B44" t="s">
        <v>53</v>
      </c>
      <c r="C44">
        <v>0.121290367604724</v>
      </c>
      <c r="D44">
        <v>0.21634069302462999</v>
      </c>
      <c r="E44">
        <v>0.954158660444688</v>
      </c>
      <c r="F44">
        <v>0.85381282883907705</v>
      </c>
    </row>
    <row r="45" spans="1:6" x14ac:dyDescent="0.25">
      <c r="A45">
        <v>21.7764377593994</v>
      </c>
      <c r="B45" t="s">
        <v>54</v>
      </c>
      <c r="C45">
        <v>0.87842681630534203</v>
      </c>
      <c r="D45">
        <v>0.93527925461914996</v>
      </c>
      <c r="E45">
        <v>0.89583280812766197</v>
      </c>
      <c r="F45">
        <v>0.99922094063983902</v>
      </c>
    </row>
    <row r="46" spans="1:6" x14ac:dyDescent="0.25">
      <c r="A46">
        <v>21.0177898406982</v>
      </c>
      <c r="B46" t="s">
        <v>55</v>
      </c>
      <c r="C46">
        <v>0.883053006016424</v>
      </c>
      <c r="D46">
        <v>0.93789500687982397</v>
      </c>
      <c r="E46">
        <v>0.91445722861430701</v>
      </c>
      <c r="F46">
        <v>0.99761247861560398</v>
      </c>
    </row>
    <row r="47" spans="1:6" x14ac:dyDescent="0.25">
      <c r="A47">
        <v>21.618127822875898</v>
      </c>
      <c r="B47" t="s">
        <v>56</v>
      </c>
      <c r="C47">
        <v>0.94701735466219295</v>
      </c>
      <c r="D47">
        <v>0.97278778989260695</v>
      </c>
      <c r="E47">
        <v>0.99026855448356499</v>
      </c>
      <c r="F47">
        <v>0.99781450798948701</v>
      </c>
    </row>
    <row r="48" spans="1:6" x14ac:dyDescent="0.25">
      <c r="A48">
        <v>22.261857986450099</v>
      </c>
      <c r="B48" t="s">
        <v>57</v>
      </c>
      <c r="C48">
        <v>0.27885747308490799</v>
      </c>
      <c r="D48">
        <v>0.43610406781646699</v>
      </c>
      <c r="E48">
        <v>0.95833026848105896</v>
      </c>
      <c r="F48">
        <v>0.93513519864184502</v>
      </c>
    </row>
    <row r="49" spans="1:6" x14ac:dyDescent="0.25">
      <c r="A49">
        <v>21.779537200927699</v>
      </c>
      <c r="B49" t="s">
        <v>58</v>
      </c>
      <c r="C49">
        <v>0.91126711432807095</v>
      </c>
      <c r="D49">
        <v>0.953573791435676</v>
      </c>
      <c r="E49">
        <v>0.93815651653448995</v>
      </c>
      <c r="F49">
        <v>0.99799133380731797</v>
      </c>
    </row>
    <row r="50" spans="1:6" x14ac:dyDescent="0.25">
      <c r="A50">
        <v>22.017955780029201</v>
      </c>
      <c r="B50" t="s">
        <v>59</v>
      </c>
      <c r="C50">
        <v>0.90278182044991395</v>
      </c>
      <c r="D50">
        <v>0.948907342657342</v>
      </c>
      <c r="E50">
        <v>0.92911094468813504</v>
      </c>
      <c r="F50">
        <v>0.99863950467189899</v>
      </c>
    </row>
    <row r="51" spans="1:6" x14ac:dyDescent="0.25">
      <c r="A51">
        <v>21.883487701416001</v>
      </c>
      <c r="B51" t="s">
        <v>60</v>
      </c>
      <c r="C51">
        <v>0.33542193026781197</v>
      </c>
      <c r="D51">
        <v>0.50234599667019797</v>
      </c>
      <c r="E51">
        <v>0.96839136354794697</v>
      </c>
      <c r="F51">
        <v>0.90270927809411805</v>
      </c>
    </row>
    <row r="52" spans="1:6" x14ac:dyDescent="0.25">
      <c r="A52">
        <v>21.043777465820298</v>
      </c>
      <c r="B52" t="s">
        <v>61</v>
      </c>
      <c r="C52">
        <v>0.88580747706877705</v>
      </c>
      <c r="D52">
        <v>0.93944635159220002</v>
      </c>
      <c r="E52">
        <v>0.90985000510186698</v>
      </c>
      <c r="F52">
        <v>0.99838751068425702</v>
      </c>
    </row>
    <row r="53" spans="1:6" x14ac:dyDescent="0.25">
      <c r="A53">
        <v>22.643089294433501</v>
      </c>
      <c r="B53" t="s">
        <v>62</v>
      </c>
      <c r="C53">
        <v>0.91753982300884895</v>
      </c>
      <c r="D53">
        <v>0.9569968894509</v>
      </c>
      <c r="E53">
        <v>0.94403977127872596</v>
      </c>
      <c r="F53">
        <v>0.99840388381562295</v>
      </c>
    </row>
    <row r="54" spans="1:6" x14ac:dyDescent="0.25">
      <c r="A54">
        <v>21.360158920288001</v>
      </c>
      <c r="B54" t="s">
        <v>63</v>
      </c>
      <c r="C54">
        <v>0.89076875578882297</v>
      </c>
      <c r="D54">
        <v>0.942229189118578</v>
      </c>
      <c r="E54">
        <v>0.92051472934169898</v>
      </c>
      <c r="F54">
        <v>0.99843244695030997</v>
      </c>
    </row>
    <row r="55" spans="1:6" x14ac:dyDescent="0.25">
      <c r="A55">
        <v>21.624088287353501</v>
      </c>
      <c r="B55" t="s">
        <v>64</v>
      </c>
      <c r="C55">
        <v>0.93928537031686399</v>
      </c>
      <c r="D55">
        <v>0.96869226643357997</v>
      </c>
      <c r="E55">
        <v>0.96851910701517396</v>
      </c>
      <c r="F55">
        <v>0.99843021834691004</v>
      </c>
    </row>
    <row r="56" spans="1:6" x14ac:dyDescent="0.25">
      <c r="A56">
        <v>21.369695663452099</v>
      </c>
      <c r="B56" t="s">
        <v>65</v>
      </c>
      <c r="C56">
        <v>0.25360960450565201</v>
      </c>
      <c r="D56">
        <v>0.40460699023706098</v>
      </c>
      <c r="E56">
        <v>0.95483061480552001</v>
      </c>
      <c r="F56">
        <v>0.91330053427966595</v>
      </c>
    </row>
    <row r="57" spans="1:6" x14ac:dyDescent="0.25">
      <c r="A57">
        <v>21.6052532196044</v>
      </c>
      <c r="B57" t="s">
        <v>66</v>
      </c>
      <c r="C57">
        <v>0.87097470327298798</v>
      </c>
      <c r="D57">
        <v>0.93103846005972102</v>
      </c>
      <c r="E57">
        <v>0.89426130628523504</v>
      </c>
      <c r="F57">
        <v>0.998922573085955</v>
      </c>
    </row>
    <row r="58" spans="1:6" x14ac:dyDescent="0.25">
      <c r="A58">
        <v>24.630784988403299</v>
      </c>
      <c r="B58" t="s">
        <v>67</v>
      </c>
      <c r="C58">
        <v>0.23975215992936799</v>
      </c>
      <c r="D58">
        <v>0.38677433712723303</v>
      </c>
      <c r="E58">
        <v>0.95174615095756598</v>
      </c>
      <c r="F58">
        <v>0.90665145285357296</v>
      </c>
    </row>
    <row r="59" spans="1:6" x14ac:dyDescent="0.25">
      <c r="A59">
        <v>21.3873386383056</v>
      </c>
      <c r="B59" t="s">
        <v>68</v>
      </c>
      <c r="C59">
        <v>0.36954319395837099</v>
      </c>
      <c r="D59">
        <v>0.53965905652129997</v>
      </c>
      <c r="E59">
        <v>0.89598731661567999</v>
      </c>
      <c r="F59">
        <v>0.93644406765139798</v>
      </c>
    </row>
    <row r="60" spans="1:6" x14ac:dyDescent="0.25">
      <c r="A60">
        <v>21.109819412231399</v>
      </c>
      <c r="B60" t="s">
        <v>69</v>
      </c>
      <c r="C60">
        <v>0.90399927203239405</v>
      </c>
      <c r="D60">
        <v>0.94957943031924996</v>
      </c>
      <c r="E60">
        <v>0.93611307420494705</v>
      </c>
      <c r="F60">
        <v>0.99850118176053404</v>
      </c>
    </row>
    <row r="61" spans="1:6" x14ac:dyDescent="0.25">
      <c r="A61">
        <v>21.3546752929687</v>
      </c>
      <c r="B61" t="s">
        <v>70</v>
      </c>
      <c r="C61">
        <v>0.91037816764132495</v>
      </c>
      <c r="D61">
        <v>0.95308686317886004</v>
      </c>
      <c r="E61">
        <v>0.95885550974820499</v>
      </c>
      <c r="F61">
        <v>0.99671760354685102</v>
      </c>
    </row>
    <row r="62" spans="1:6" x14ac:dyDescent="0.25">
      <c r="A62">
        <v>21.090030670166001</v>
      </c>
      <c r="B62" t="s">
        <v>71</v>
      </c>
      <c r="C62">
        <v>0.898952879581151</v>
      </c>
      <c r="D62">
        <v>0.94678797904604295</v>
      </c>
      <c r="E62">
        <v>0.91693710717660104</v>
      </c>
      <c r="F62">
        <v>0.99902589284821297</v>
      </c>
    </row>
    <row r="63" spans="1:6" x14ac:dyDescent="0.25">
      <c r="A63">
        <v>21.090507507324201</v>
      </c>
      <c r="B63" t="s">
        <v>72</v>
      </c>
      <c r="C63">
        <v>0.27639216208788903</v>
      </c>
      <c r="D63">
        <v>0.43308345240192297</v>
      </c>
      <c r="E63">
        <v>0.94701400975832395</v>
      </c>
      <c r="F63">
        <v>0.91609909533915601</v>
      </c>
    </row>
    <row r="64" spans="1:6" x14ac:dyDescent="0.25">
      <c r="A64">
        <v>22.2630500793457</v>
      </c>
      <c r="B64" t="s">
        <v>73</v>
      </c>
      <c r="C64">
        <v>0.93645507834774</v>
      </c>
      <c r="D64">
        <v>0.96718492343934004</v>
      </c>
      <c r="E64">
        <v>0.99250610389924299</v>
      </c>
      <c r="F64">
        <v>0.99487286740481295</v>
      </c>
    </row>
    <row r="65" spans="1:6" x14ac:dyDescent="0.25">
      <c r="A65">
        <v>21.079063415527301</v>
      </c>
      <c r="B65" t="s">
        <v>74</v>
      </c>
      <c r="C65">
        <v>0.89106286291340497</v>
      </c>
      <c r="D65">
        <v>0.942393698685001</v>
      </c>
      <c r="E65">
        <v>0.92166079122600797</v>
      </c>
      <c r="F65">
        <v>0.99869838193532201</v>
      </c>
    </row>
    <row r="66" spans="1:6" x14ac:dyDescent="0.25">
      <c r="A66">
        <v>21.3491916656494</v>
      </c>
      <c r="B66" t="s">
        <v>75</v>
      </c>
      <c r="C66">
        <v>0.89891530117701302</v>
      </c>
      <c r="D66">
        <v>0.94676713660670797</v>
      </c>
      <c r="E66">
        <v>0.91634122241565896</v>
      </c>
      <c r="F66">
        <v>0.99918097150297602</v>
      </c>
    </row>
    <row r="67" spans="1:6" x14ac:dyDescent="0.25">
      <c r="A67">
        <v>21.654605865478501</v>
      </c>
      <c r="B67" t="s">
        <v>76</v>
      </c>
      <c r="C67">
        <v>0.91893519633823095</v>
      </c>
      <c r="D67">
        <v>0.95775531981670903</v>
      </c>
      <c r="E67">
        <v>0.93856879229034196</v>
      </c>
      <c r="F67">
        <v>0.99895779781277505</v>
      </c>
    </row>
    <row r="68" spans="1:6" x14ac:dyDescent="0.25">
      <c r="A68">
        <v>21.225214004516602</v>
      </c>
      <c r="B68" t="s">
        <v>77</v>
      </c>
      <c r="C68">
        <v>0.91341960770466601</v>
      </c>
      <c r="D68">
        <v>0.95475096421783001</v>
      </c>
      <c r="E68">
        <v>0.94765088378056594</v>
      </c>
      <c r="F68">
        <v>0.99794161055392405</v>
      </c>
    </row>
    <row r="69" spans="1:6" x14ac:dyDescent="0.25">
      <c r="A69">
        <v>21.42333984375</v>
      </c>
      <c r="B69" t="s">
        <v>78</v>
      </c>
      <c r="C69">
        <v>0.93442815249266797</v>
      </c>
      <c r="D69">
        <v>0.96610272269722797</v>
      </c>
      <c r="E69">
        <v>0.982062503852555</v>
      </c>
      <c r="F69">
        <v>0.99837225551848596</v>
      </c>
    </row>
    <row r="70" spans="1:6" x14ac:dyDescent="0.25">
      <c r="A70">
        <v>21.086692810058501</v>
      </c>
      <c r="B70" t="s">
        <v>79</v>
      </c>
      <c r="C70">
        <v>0.266840114751415</v>
      </c>
      <c r="D70">
        <v>0.421268811500771</v>
      </c>
      <c r="E70">
        <v>0.95507384909500104</v>
      </c>
      <c r="F70">
        <v>0.91768300783844803</v>
      </c>
    </row>
    <row r="71" spans="1:6" x14ac:dyDescent="0.25">
      <c r="A71">
        <v>21.8827724456787</v>
      </c>
      <c r="B71" t="s">
        <v>80</v>
      </c>
      <c r="C71">
        <v>0.931868249005116</v>
      </c>
      <c r="D71">
        <v>0.96473271351192202</v>
      </c>
      <c r="E71">
        <v>0.96842863209201802</v>
      </c>
      <c r="F71">
        <v>0.99786306092136701</v>
      </c>
    </row>
    <row r="72" spans="1:6" x14ac:dyDescent="0.25">
      <c r="A72">
        <v>21.3763713836669</v>
      </c>
      <c r="B72" t="s">
        <v>81</v>
      </c>
      <c r="C72">
        <v>0.82274717676884002</v>
      </c>
      <c r="D72">
        <v>0.90275512397425595</v>
      </c>
      <c r="E72">
        <v>0.936883266848624</v>
      </c>
      <c r="F72">
        <v>0.99476878132199598</v>
      </c>
    </row>
    <row r="73" spans="1:6" x14ac:dyDescent="0.25">
      <c r="A73">
        <v>22.532939910888601</v>
      </c>
      <c r="B73" t="s">
        <v>82</v>
      </c>
      <c r="C73">
        <v>0.90858640357638298</v>
      </c>
      <c r="D73">
        <v>0.95210403036911395</v>
      </c>
      <c r="E73">
        <v>0.92919702914798197</v>
      </c>
      <c r="F73">
        <v>0.99869388232636203</v>
      </c>
    </row>
    <row r="74" spans="1:6" x14ac:dyDescent="0.25">
      <c r="A74">
        <v>21.618604660034102</v>
      </c>
      <c r="B74" t="s">
        <v>83</v>
      </c>
      <c r="C74">
        <v>0.88839209778144901</v>
      </c>
      <c r="D74">
        <v>0.94089791926704602</v>
      </c>
      <c r="E74">
        <v>0.912676618902591</v>
      </c>
      <c r="F74">
        <v>0.99891424843185705</v>
      </c>
    </row>
    <row r="75" spans="1:6" x14ac:dyDescent="0.25">
      <c r="A75">
        <v>21.672725677490199</v>
      </c>
      <c r="B75" t="s">
        <v>84</v>
      </c>
      <c r="C75">
        <v>0.90983669401211298</v>
      </c>
      <c r="D75">
        <v>0.95279004415897195</v>
      </c>
      <c r="E75">
        <v>0.93093980440353497</v>
      </c>
      <c r="F75">
        <v>0.99912207250275598</v>
      </c>
    </row>
    <row r="76" spans="1:6" x14ac:dyDescent="0.25">
      <c r="A76">
        <v>21.874666213989201</v>
      </c>
      <c r="B76" t="s">
        <v>85</v>
      </c>
      <c r="C76">
        <v>0.37757926048648199</v>
      </c>
      <c r="D76">
        <v>0.54817791079860301</v>
      </c>
      <c r="E76">
        <v>0.89557470751094004</v>
      </c>
      <c r="F76">
        <v>0.93878787154259602</v>
      </c>
    </row>
    <row r="77" spans="1:6" x14ac:dyDescent="0.25">
      <c r="A77">
        <v>22.697687149047798</v>
      </c>
      <c r="B77" t="s">
        <v>86</v>
      </c>
      <c r="C77">
        <v>0.88774901586544197</v>
      </c>
      <c r="D77">
        <v>0.94053712480252705</v>
      </c>
      <c r="E77">
        <v>0.910633438022596</v>
      </c>
      <c r="F77">
        <v>0.99873542082273603</v>
      </c>
    </row>
    <row r="78" spans="1:6" x14ac:dyDescent="0.25">
      <c r="A78" s="1">
        <f>AVERAGE(A4:A77)</f>
        <v>21.976406509811788</v>
      </c>
      <c r="B78" s="1"/>
      <c r="C78" s="1">
        <f>SUBTOTAL(101,CMTUnet_test2[Column3])</f>
        <v>0.79999970120332231</v>
      </c>
      <c r="D78" s="1">
        <f>SUBTOTAL(101,CMTUnet_test2[Column4])</f>
        <v>0.86322273403265704</v>
      </c>
      <c r="E78" s="1">
        <f>SUBTOTAL(101,CMTUnet_test2[Column5])</f>
        <v>0.94059511180551059</v>
      </c>
      <c r="F78" s="1">
        <f>SUBTOTAL(101,CMTUnet_test2[Column6])</f>
        <v>0.98377003688355535</v>
      </c>
    </row>
    <row r="79" spans="1:6" x14ac:dyDescent="0.25">
      <c r="A79" s="1">
        <f>STDEVA(A4:A77)</f>
        <v>2.324206135168001</v>
      </c>
      <c r="B79" s="1"/>
      <c r="C79" s="1">
        <f>STDEVA(C3:C77)</f>
        <v>0.2385565661451918</v>
      </c>
      <c r="D79" s="1">
        <f>STDEVA(D3:D77)</f>
        <v>0.19681316466009613</v>
      </c>
      <c r="E79" s="1">
        <f>STDEVA(E3:E77)</f>
        <v>2.6908286243350552E-2</v>
      </c>
      <c r="F79" s="1">
        <f>STDEVA(F3:F77)</f>
        <v>3.2949454094677789E-2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EFAD-3BED-47DE-A3C3-656B0F8B6053}">
  <dimension ref="A1:F79"/>
  <sheetViews>
    <sheetView workbookViewId="0">
      <selection activeCell="F77" sqref="F3:F77"/>
    </sheetView>
  </sheetViews>
  <sheetFormatPr defaultRowHeight="15" x14ac:dyDescent="0.25"/>
  <cols>
    <col min="1" max="1" width="18.7109375" bestFit="1" customWidth="1"/>
    <col min="2" max="2" width="10.7109375" bestFit="1" customWidth="1"/>
    <col min="3" max="4" width="19.7109375" bestFit="1" customWidth="1"/>
    <col min="5" max="6" width="18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>
        <v>569.81515884399403</v>
      </c>
      <c r="B3" t="s">
        <v>12</v>
      </c>
      <c r="C3">
        <v>0.90311698252278505</v>
      </c>
      <c r="D3">
        <v>0.949092452872347</v>
      </c>
      <c r="E3">
        <v>0.95699716118178901</v>
      </c>
      <c r="F3">
        <v>0.99595518936373595</v>
      </c>
    </row>
    <row r="4" spans="1:6" x14ac:dyDescent="0.25">
      <c r="A4">
        <v>41.198015213012603</v>
      </c>
      <c r="B4" t="s">
        <v>13</v>
      </c>
      <c r="C4">
        <v>0.90512988800203198</v>
      </c>
      <c r="D4">
        <v>0.95020281157970699</v>
      </c>
      <c r="E4">
        <v>0.92707362029708296</v>
      </c>
      <c r="F4">
        <v>0.99888474464343202</v>
      </c>
    </row>
    <row r="5" spans="1:6" x14ac:dyDescent="0.25">
      <c r="A5">
        <v>29.117107391357401</v>
      </c>
      <c r="B5" t="s">
        <v>14</v>
      </c>
      <c r="C5">
        <v>0.89799972282533302</v>
      </c>
      <c r="D5">
        <v>0.94625906634863399</v>
      </c>
      <c r="E5">
        <v>0.91464734390438995</v>
      </c>
      <c r="F5">
        <v>0.99921675430139001</v>
      </c>
    </row>
    <row r="6" spans="1:6" x14ac:dyDescent="0.25">
      <c r="A6">
        <v>24.758577346801701</v>
      </c>
      <c r="B6" t="s">
        <v>15</v>
      </c>
      <c r="C6">
        <v>0.893550335460911</v>
      </c>
      <c r="D6">
        <v>0.94378302887143595</v>
      </c>
      <c r="E6">
        <v>0.93088670453385902</v>
      </c>
      <c r="F6">
        <v>0.99751761513234305</v>
      </c>
    </row>
    <row r="7" spans="1:6" x14ac:dyDescent="0.25">
      <c r="A7">
        <v>24.509668350219702</v>
      </c>
      <c r="B7" t="s">
        <v>16</v>
      </c>
      <c r="C7">
        <v>0.90973066452065798</v>
      </c>
      <c r="D7">
        <v>0.95273190237954297</v>
      </c>
      <c r="E7">
        <v>0.96753104854863903</v>
      </c>
      <c r="F7">
        <v>0.99648874567005596</v>
      </c>
    </row>
    <row r="8" spans="1:6" x14ac:dyDescent="0.25">
      <c r="A8">
        <v>24.275302886962798</v>
      </c>
      <c r="B8" t="s">
        <v>17</v>
      </c>
      <c r="C8">
        <v>0.92196416932932701</v>
      </c>
      <c r="D8">
        <v>0.95939787436417001</v>
      </c>
      <c r="E8">
        <v>0.98150310537983698</v>
      </c>
      <c r="F8">
        <v>0.99614344835949997</v>
      </c>
    </row>
    <row r="9" spans="1:6" x14ac:dyDescent="0.25">
      <c r="A9">
        <v>24.531841278076101</v>
      </c>
      <c r="B9" t="s">
        <v>18</v>
      </c>
      <c r="C9">
        <v>0.87663729459395001</v>
      </c>
      <c r="D9">
        <v>0.93426395939086204</v>
      </c>
      <c r="E9">
        <v>0.93952993725406697</v>
      </c>
      <c r="F9">
        <v>0.99663225704674996</v>
      </c>
    </row>
    <row r="10" spans="1:6" x14ac:dyDescent="0.25">
      <c r="A10">
        <v>24.492263793945298</v>
      </c>
      <c r="B10" t="s">
        <v>19</v>
      </c>
      <c r="C10">
        <v>0.87628121842067197</v>
      </c>
      <c r="D10">
        <v>0.93406170654766396</v>
      </c>
      <c r="E10">
        <v>0.95103799451625504</v>
      </c>
      <c r="F10">
        <v>0.99676624622258503</v>
      </c>
    </row>
    <row r="11" spans="1:6" x14ac:dyDescent="0.25">
      <c r="A11">
        <v>24.333000183105401</v>
      </c>
      <c r="B11" t="s">
        <v>20</v>
      </c>
      <c r="C11">
        <v>0.300757088425948</v>
      </c>
      <c r="D11">
        <v>0.46243390268954199</v>
      </c>
      <c r="E11">
        <v>0.92624199939042895</v>
      </c>
      <c r="F11">
        <v>0.93282409531329002</v>
      </c>
    </row>
    <row r="12" spans="1:6" x14ac:dyDescent="0.25">
      <c r="A12">
        <v>25.569438934326101</v>
      </c>
      <c r="B12" t="s">
        <v>21</v>
      </c>
      <c r="C12">
        <v>0.92209690893901397</v>
      </c>
      <c r="D12">
        <v>0.95946973812887104</v>
      </c>
      <c r="E12">
        <v>0.98815261343798</v>
      </c>
      <c r="F12">
        <v>0.99510879144053699</v>
      </c>
    </row>
    <row r="13" spans="1:6" x14ac:dyDescent="0.25">
      <c r="A13">
        <v>24.021387100219702</v>
      </c>
      <c r="B13" t="s">
        <v>22</v>
      </c>
      <c r="C13">
        <v>0.92555058597067297</v>
      </c>
      <c r="D13">
        <v>0.96133603834053605</v>
      </c>
      <c r="E13">
        <v>0.97562140065049296</v>
      </c>
      <c r="F13">
        <v>0.99821390396458098</v>
      </c>
    </row>
    <row r="14" spans="1:6" x14ac:dyDescent="0.25">
      <c r="A14">
        <v>24.830579757690401</v>
      </c>
      <c r="B14" t="s">
        <v>23</v>
      </c>
      <c r="C14">
        <v>0.90560818341028504</v>
      </c>
      <c r="D14">
        <v>0.95046630392781395</v>
      </c>
      <c r="E14">
        <v>0.96247805579644197</v>
      </c>
      <c r="F14">
        <v>0.99703484580499002</v>
      </c>
    </row>
    <row r="15" spans="1:6" x14ac:dyDescent="0.25">
      <c r="A15">
        <v>24.0907669067382</v>
      </c>
      <c r="B15" t="s">
        <v>24</v>
      </c>
      <c r="C15">
        <v>0.36014686486293801</v>
      </c>
      <c r="D15">
        <v>0.52957055471980896</v>
      </c>
      <c r="E15">
        <v>0.95884898640953597</v>
      </c>
      <c r="F15">
        <v>0.91205773316785299</v>
      </c>
    </row>
    <row r="16" spans="1:6" x14ac:dyDescent="0.25">
      <c r="A16">
        <v>24.3933200836181</v>
      </c>
      <c r="B16" t="s">
        <v>25</v>
      </c>
      <c r="C16">
        <v>0.25094105301666397</v>
      </c>
      <c r="D16">
        <v>0.40120364170880102</v>
      </c>
      <c r="E16">
        <v>0.958661272526664</v>
      </c>
      <c r="F16">
        <v>0.92492260516592095</v>
      </c>
    </row>
    <row r="17" spans="1:6" x14ac:dyDescent="0.25">
      <c r="A17">
        <v>25.069236755371001</v>
      </c>
      <c r="B17" t="s">
        <v>26</v>
      </c>
      <c r="C17">
        <v>0.89200299671513905</v>
      </c>
      <c r="D17">
        <v>0.94291922186573496</v>
      </c>
      <c r="E17">
        <v>0.94699596198556102</v>
      </c>
      <c r="F17">
        <v>0.99697561483159203</v>
      </c>
    </row>
    <row r="18" spans="1:6" x14ac:dyDescent="0.25">
      <c r="A18">
        <v>23.692369461059499</v>
      </c>
      <c r="B18" t="s">
        <v>27</v>
      </c>
      <c r="C18">
        <v>0.91737097980553395</v>
      </c>
      <c r="D18">
        <v>0.95690504286090405</v>
      </c>
      <c r="E18">
        <v>0.96927848901533098</v>
      </c>
      <c r="F18">
        <v>0.997130145496813</v>
      </c>
    </row>
    <row r="19" spans="1:6" x14ac:dyDescent="0.25">
      <c r="A19">
        <v>25.088310241699201</v>
      </c>
      <c r="B19" t="s">
        <v>28</v>
      </c>
      <c r="C19">
        <v>0.91035166887107999</v>
      </c>
      <c r="D19">
        <v>0.95307234129206297</v>
      </c>
      <c r="E19">
        <v>0.95966782858314503</v>
      </c>
      <c r="F19">
        <v>0.99735748735254603</v>
      </c>
    </row>
    <row r="20" spans="1:6" x14ac:dyDescent="0.25">
      <c r="A20">
        <v>23.8091945648193</v>
      </c>
      <c r="B20" t="s">
        <v>29</v>
      </c>
      <c r="C20">
        <v>0.901922832398525</v>
      </c>
      <c r="D20">
        <v>0.948432625167137</v>
      </c>
      <c r="E20">
        <v>0.95524465060601504</v>
      </c>
      <c r="F20">
        <v>0.99597553746080902</v>
      </c>
    </row>
    <row r="21" spans="1:6" x14ac:dyDescent="0.25">
      <c r="A21">
        <v>24.965763092041001</v>
      </c>
      <c r="B21" t="s">
        <v>30</v>
      </c>
      <c r="C21">
        <v>0.23617134121611</v>
      </c>
      <c r="D21">
        <v>0.38210130479771798</v>
      </c>
      <c r="E21">
        <v>0.94755288521717296</v>
      </c>
      <c r="F21">
        <v>0.905317621136707</v>
      </c>
    </row>
    <row r="22" spans="1:6" x14ac:dyDescent="0.25">
      <c r="A22">
        <v>23.839473724365199</v>
      </c>
      <c r="B22" t="s">
        <v>31</v>
      </c>
      <c r="C22">
        <v>0.87738748108925801</v>
      </c>
      <c r="D22">
        <v>0.93468981755455105</v>
      </c>
      <c r="E22">
        <v>0.93571482592583199</v>
      </c>
      <c r="F22">
        <v>0.99738628558175202</v>
      </c>
    </row>
    <row r="23" spans="1:6" x14ac:dyDescent="0.25">
      <c r="A23">
        <v>24.150371551513601</v>
      </c>
      <c r="B23" t="s">
        <v>32</v>
      </c>
      <c r="C23">
        <v>0.90048903542740799</v>
      </c>
      <c r="D23">
        <v>0.94763928509052797</v>
      </c>
      <c r="E23">
        <v>0.96119233767154</v>
      </c>
      <c r="F23">
        <v>0.99716369570251195</v>
      </c>
    </row>
    <row r="24" spans="1:6" x14ac:dyDescent="0.25">
      <c r="A24">
        <v>23.713111877441399</v>
      </c>
      <c r="B24" t="s">
        <v>33</v>
      </c>
      <c r="C24">
        <v>0.95417210563309496</v>
      </c>
      <c r="D24">
        <v>0.97654869075512796</v>
      </c>
      <c r="E24">
        <v>0.99221066700079297</v>
      </c>
      <c r="F24">
        <v>0.99809231630175099</v>
      </c>
    </row>
    <row r="25" spans="1:6" x14ac:dyDescent="0.25">
      <c r="A25">
        <v>25.6450176239013</v>
      </c>
      <c r="B25" t="s">
        <v>34</v>
      </c>
      <c r="C25">
        <v>0.92874127483316704</v>
      </c>
      <c r="D25">
        <v>0.96305428514615199</v>
      </c>
      <c r="E25">
        <v>0.98565235972892096</v>
      </c>
      <c r="F25">
        <v>0.99698730988084305</v>
      </c>
    </row>
    <row r="26" spans="1:6" x14ac:dyDescent="0.25">
      <c r="A26">
        <v>23.54097366333</v>
      </c>
      <c r="B26" t="s">
        <v>35</v>
      </c>
      <c r="C26">
        <v>0.89695251906048801</v>
      </c>
      <c r="D26">
        <v>0.94567735359525495</v>
      </c>
      <c r="E26">
        <v>0.96115179054929001</v>
      </c>
      <c r="F26">
        <v>0.99697844057715701</v>
      </c>
    </row>
    <row r="27" spans="1:6" x14ac:dyDescent="0.25">
      <c r="A27">
        <v>24.528026580810501</v>
      </c>
      <c r="B27" t="s">
        <v>36</v>
      </c>
      <c r="C27">
        <v>0.89840647380402405</v>
      </c>
      <c r="D27">
        <v>0.94648483999719901</v>
      </c>
      <c r="E27">
        <v>0.94708169843049295</v>
      </c>
      <c r="F27">
        <v>0.99688044635941098</v>
      </c>
    </row>
    <row r="28" spans="1:6" x14ac:dyDescent="0.25">
      <c r="A28">
        <v>23.603439331054599</v>
      </c>
      <c r="B28" t="s">
        <v>37</v>
      </c>
      <c r="C28">
        <v>0.91934825035174506</v>
      </c>
      <c r="D28">
        <v>0.95797961644872098</v>
      </c>
      <c r="E28">
        <v>0.95213324350155903</v>
      </c>
      <c r="F28">
        <v>0.99768876053182798</v>
      </c>
    </row>
    <row r="29" spans="1:6" x14ac:dyDescent="0.25">
      <c r="A29">
        <v>24.2831707000732</v>
      </c>
      <c r="B29" t="s">
        <v>38</v>
      </c>
      <c r="C29">
        <v>0.93029910539474003</v>
      </c>
      <c r="D29">
        <v>0.96389114287497601</v>
      </c>
      <c r="E29">
        <v>0.95782291828190402</v>
      </c>
      <c r="F29">
        <v>0.99906132942909298</v>
      </c>
    </row>
    <row r="30" spans="1:6" x14ac:dyDescent="0.25">
      <c r="A30">
        <v>24.533748626708899</v>
      </c>
      <c r="B30" t="s">
        <v>39</v>
      </c>
      <c r="C30">
        <v>0.333896712345436</v>
      </c>
      <c r="D30">
        <v>0.50063353369892405</v>
      </c>
      <c r="E30">
        <v>0.96068858198794005</v>
      </c>
      <c r="F30">
        <v>0.90321872185774399</v>
      </c>
    </row>
    <row r="31" spans="1:6" x14ac:dyDescent="0.25">
      <c r="A31">
        <v>24.300575256347599</v>
      </c>
      <c r="B31" t="s">
        <v>40</v>
      </c>
      <c r="C31">
        <v>0.89620277107863999</v>
      </c>
      <c r="D31">
        <v>0.945260480311229</v>
      </c>
      <c r="E31">
        <v>0.96669217036470201</v>
      </c>
      <c r="F31">
        <v>0.99694461671980195</v>
      </c>
    </row>
    <row r="32" spans="1:6" x14ac:dyDescent="0.25">
      <c r="A32">
        <v>24.720668792724599</v>
      </c>
      <c r="B32" t="s">
        <v>41</v>
      </c>
      <c r="C32">
        <v>0.88355530891601897</v>
      </c>
      <c r="D32">
        <v>0.93817824699238805</v>
      </c>
      <c r="E32">
        <v>0.95391682061011496</v>
      </c>
      <c r="F32">
        <v>0.99683694292020497</v>
      </c>
    </row>
    <row r="33" spans="1:6" x14ac:dyDescent="0.25">
      <c r="A33">
        <v>24.420738220214801</v>
      </c>
      <c r="B33" t="s">
        <v>42</v>
      </c>
      <c r="C33">
        <v>0.89429554136089096</v>
      </c>
      <c r="D33">
        <v>0.94419853907106299</v>
      </c>
      <c r="E33">
        <v>0.94602706192049002</v>
      </c>
      <c r="F33">
        <v>0.99651139862579396</v>
      </c>
    </row>
    <row r="34" spans="1:6" x14ac:dyDescent="0.25">
      <c r="A34">
        <v>26.807785034179599</v>
      </c>
      <c r="B34" t="s">
        <v>43</v>
      </c>
      <c r="C34">
        <v>0.91764414182449305</v>
      </c>
      <c r="D34">
        <v>0.95705362826225304</v>
      </c>
      <c r="E34">
        <v>0.96060775466198101</v>
      </c>
      <c r="F34">
        <v>0.99765145369507902</v>
      </c>
    </row>
    <row r="35" spans="1:6" x14ac:dyDescent="0.25">
      <c r="A35">
        <v>25.998353958129801</v>
      </c>
      <c r="B35" t="s">
        <v>44</v>
      </c>
      <c r="C35">
        <v>0.90976265114196098</v>
      </c>
      <c r="D35">
        <v>0.95274944307656195</v>
      </c>
      <c r="E35">
        <v>0.96745773474085195</v>
      </c>
      <c r="F35">
        <v>0.99679817267426696</v>
      </c>
    </row>
    <row r="36" spans="1:6" x14ac:dyDescent="0.25">
      <c r="A36">
        <v>23.965120315551701</v>
      </c>
      <c r="B36" t="s">
        <v>45</v>
      </c>
      <c r="C36">
        <v>0.92367706919945702</v>
      </c>
      <c r="D36">
        <v>0.96032445776758901</v>
      </c>
      <c r="E36">
        <v>0.97163247100802796</v>
      </c>
      <c r="F36">
        <v>0.99827971143292304</v>
      </c>
    </row>
    <row r="37" spans="1:6" x14ac:dyDescent="0.25">
      <c r="A37">
        <v>25.620460510253899</v>
      </c>
      <c r="B37" t="s">
        <v>46</v>
      </c>
      <c r="C37">
        <v>0.89175484498367596</v>
      </c>
      <c r="D37">
        <v>0.94278055885340795</v>
      </c>
      <c r="E37">
        <v>0.95641808835580699</v>
      </c>
      <c r="F37">
        <v>0.99710405660180801</v>
      </c>
    </row>
    <row r="38" spans="1:6" x14ac:dyDescent="0.25">
      <c r="A38">
        <v>23.923158645629801</v>
      </c>
      <c r="B38" t="s">
        <v>47</v>
      </c>
      <c r="C38">
        <v>0.92205011064315801</v>
      </c>
      <c r="D38">
        <v>0.95944440317908297</v>
      </c>
      <c r="E38">
        <v>0.95393534331554697</v>
      </c>
      <c r="F38">
        <v>0.99811647675563298</v>
      </c>
    </row>
    <row r="39" spans="1:6" x14ac:dyDescent="0.25">
      <c r="A39">
        <v>24.495601654052699</v>
      </c>
      <c r="B39" t="s">
        <v>48</v>
      </c>
      <c r="C39">
        <v>0.89304117936998695</v>
      </c>
      <c r="D39">
        <v>0.94349894667076895</v>
      </c>
      <c r="E39">
        <v>0.93938536953242802</v>
      </c>
      <c r="F39">
        <v>0.99781144647287001</v>
      </c>
    </row>
    <row r="40" spans="1:6" x14ac:dyDescent="0.25">
      <c r="A40">
        <v>23.8232612609863</v>
      </c>
      <c r="B40" t="s">
        <v>49</v>
      </c>
      <c r="C40">
        <v>0.93149744450377603</v>
      </c>
      <c r="D40">
        <v>0.96453396524486501</v>
      </c>
      <c r="E40">
        <v>0.969794038227352</v>
      </c>
      <c r="F40">
        <v>0.99846359623348502</v>
      </c>
    </row>
    <row r="41" spans="1:6" x14ac:dyDescent="0.25">
      <c r="A41">
        <v>24.621009826660099</v>
      </c>
      <c r="B41" t="s">
        <v>50</v>
      </c>
      <c r="C41">
        <v>0.89461327768357901</v>
      </c>
      <c r="D41">
        <v>0.94437560236816698</v>
      </c>
      <c r="E41">
        <v>0.93578607485560905</v>
      </c>
      <c r="F41">
        <v>0.99691026644372205</v>
      </c>
    </row>
    <row r="42" spans="1:6" x14ac:dyDescent="0.25">
      <c r="A42">
        <v>24.651527404785099</v>
      </c>
      <c r="B42" t="s">
        <v>51</v>
      </c>
      <c r="C42">
        <v>0.13003865093726899</v>
      </c>
      <c r="D42">
        <v>0.23014903221126701</v>
      </c>
      <c r="E42">
        <v>0.94354469759355797</v>
      </c>
      <c r="F42">
        <v>0.86681737341704301</v>
      </c>
    </row>
    <row r="43" spans="1:6" x14ac:dyDescent="0.25">
      <c r="A43">
        <v>24.140596389770501</v>
      </c>
      <c r="B43" t="s">
        <v>52</v>
      </c>
      <c r="C43">
        <v>0.93572516758074298</v>
      </c>
      <c r="D43">
        <v>0.96679547618860195</v>
      </c>
      <c r="E43">
        <v>0.96120500782472595</v>
      </c>
      <c r="F43">
        <v>0.998232921285783</v>
      </c>
    </row>
    <row r="44" spans="1:6" x14ac:dyDescent="0.25">
      <c r="A44">
        <v>24.495363235473601</v>
      </c>
      <c r="B44" t="s">
        <v>53</v>
      </c>
      <c r="C44">
        <v>0.90144082029523498</v>
      </c>
      <c r="D44">
        <v>0.94816605457672798</v>
      </c>
      <c r="E44">
        <v>0.95117287692953401</v>
      </c>
      <c r="F44">
        <v>0.99764738637154504</v>
      </c>
    </row>
    <row r="45" spans="1:6" x14ac:dyDescent="0.25">
      <c r="A45">
        <v>24.337053298950099</v>
      </c>
      <c r="B45" t="s">
        <v>54</v>
      </c>
      <c r="C45">
        <v>0.93308667053588701</v>
      </c>
      <c r="D45">
        <v>0.96538524087719002</v>
      </c>
      <c r="E45">
        <v>0.98708109490918305</v>
      </c>
      <c r="F45">
        <v>0.99533798572953702</v>
      </c>
    </row>
    <row r="46" spans="1:6" x14ac:dyDescent="0.25">
      <c r="A46">
        <v>23.850917816162099</v>
      </c>
      <c r="B46" t="s">
        <v>55</v>
      </c>
      <c r="C46">
        <v>0.90747449603271602</v>
      </c>
      <c r="D46">
        <v>0.95149318947135297</v>
      </c>
      <c r="E46">
        <v>0.96383551295972802</v>
      </c>
      <c r="F46">
        <v>0.99738524806850204</v>
      </c>
    </row>
    <row r="47" spans="1:6" x14ac:dyDescent="0.25">
      <c r="A47">
        <v>24.863243103027301</v>
      </c>
      <c r="B47" t="s">
        <v>56</v>
      </c>
      <c r="C47">
        <v>0.30100566248275901</v>
      </c>
      <c r="D47">
        <v>0.46272767469487902</v>
      </c>
      <c r="E47">
        <v>0.94509607642591298</v>
      </c>
      <c r="F47">
        <v>0.90192724483679299</v>
      </c>
    </row>
    <row r="48" spans="1:6" x14ac:dyDescent="0.25">
      <c r="A48">
        <v>23.863315582275298</v>
      </c>
      <c r="B48" t="s">
        <v>57</v>
      </c>
      <c r="C48">
        <v>0.88335824290077303</v>
      </c>
      <c r="D48">
        <v>0.93806714280785197</v>
      </c>
      <c r="E48">
        <v>0.96070671378091799</v>
      </c>
      <c r="F48">
        <v>0.99630563170020403</v>
      </c>
    </row>
    <row r="49" spans="1:6" x14ac:dyDescent="0.25">
      <c r="A49">
        <v>24.937629699706999</v>
      </c>
      <c r="B49" t="s">
        <v>58</v>
      </c>
      <c r="C49">
        <v>0.24826272588598899</v>
      </c>
      <c r="D49">
        <v>0.39777319427651397</v>
      </c>
      <c r="E49">
        <v>0.96486825595984904</v>
      </c>
      <c r="F49">
        <v>0.90949015241527398</v>
      </c>
    </row>
    <row r="50" spans="1:6" x14ac:dyDescent="0.25">
      <c r="A50">
        <v>24.132490158081001</v>
      </c>
      <c r="B50" t="s">
        <v>59</v>
      </c>
      <c r="C50">
        <v>0.91475177025187804</v>
      </c>
      <c r="D50">
        <v>0.955478182042935</v>
      </c>
      <c r="E50">
        <v>0.95257363513124904</v>
      </c>
      <c r="F50">
        <v>0.99798677854564</v>
      </c>
    </row>
    <row r="51" spans="1:6" x14ac:dyDescent="0.25">
      <c r="A51">
        <v>24.2424011230468</v>
      </c>
      <c r="B51" t="s">
        <v>60</v>
      </c>
      <c r="C51">
        <v>0.75666820489155495</v>
      </c>
      <c r="D51">
        <v>0.861481072845246</v>
      </c>
      <c r="E51">
        <v>0.95617692509548902</v>
      </c>
      <c r="F51">
        <v>0.99108430717780804</v>
      </c>
    </row>
    <row r="52" spans="1:6" x14ac:dyDescent="0.25">
      <c r="A52">
        <v>25.199174880981399</v>
      </c>
      <c r="B52" t="s">
        <v>61</v>
      </c>
      <c r="C52">
        <v>0.90551181102362199</v>
      </c>
      <c r="D52">
        <v>0.95041322314049503</v>
      </c>
      <c r="E52">
        <v>0.97105962084439901</v>
      </c>
      <c r="F52">
        <v>0.99602406887053097</v>
      </c>
    </row>
    <row r="53" spans="1:6" x14ac:dyDescent="0.25">
      <c r="A53">
        <v>24.280309677123999</v>
      </c>
      <c r="B53" t="s">
        <v>62</v>
      </c>
      <c r="C53">
        <v>0.90608285371458697</v>
      </c>
      <c r="D53">
        <v>0.95072766847338996</v>
      </c>
      <c r="E53">
        <v>0.953311222852252</v>
      </c>
      <c r="F53">
        <v>0.997568476434883</v>
      </c>
    </row>
    <row r="54" spans="1:6" x14ac:dyDescent="0.25">
      <c r="A54">
        <v>23.8254070281982</v>
      </c>
      <c r="B54" t="s">
        <v>63</v>
      </c>
      <c r="C54">
        <v>0.93705467708134804</v>
      </c>
      <c r="D54">
        <v>0.96750462252645597</v>
      </c>
      <c r="E54">
        <v>0.97692063239850602</v>
      </c>
      <c r="F54">
        <v>0.99785419763821404</v>
      </c>
    </row>
    <row r="55" spans="1:6" x14ac:dyDescent="0.25">
      <c r="A55">
        <v>24.823665618896399</v>
      </c>
      <c r="B55" t="s">
        <v>64</v>
      </c>
      <c r="C55">
        <v>0.24733353230392199</v>
      </c>
      <c r="D55">
        <v>0.39657962509366301</v>
      </c>
      <c r="E55">
        <v>0.97101538651290398</v>
      </c>
      <c r="F55">
        <v>0.90661667380147504</v>
      </c>
    </row>
    <row r="56" spans="1:6" x14ac:dyDescent="0.25">
      <c r="A56">
        <v>23.675441741943299</v>
      </c>
      <c r="B56" t="s">
        <v>65</v>
      </c>
      <c r="C56">
        <v>0.26374493192610399</v>
      </c>
      <c r="D56">
        <v>0.41740215966543898</v>
      </c>
      <c r="E56">
        <v>0.95403315547693102</v>
      </c>
      <c r="F56">
        <v>0.90949740954624803</v>
      </c>
    </row>
    <row r="57" spans="1:6" x14ac:dyDescent="0.25">
      <c r="A57">
        <v>24.206638336181602</v>
      </c>
      <c r="B57" t="s">
        <v>66</v>
      </c>
      <c r="C57">
        <v>0.82141660524023297</v>
      </c>
      <c r="D57">
        <v>0.90195357050881098</v>
      </c>
      <c r="E57">
        <v>0.96509552802855303</v>
      </c>
      <c r="F57">
        <v>0.99340407255223295</v>
      </c>
    </row>
    <row r="58" spans="1:6" x14ac:dyDescent="0.25">
      <c r="A58">
        <v>25.058984756469702</v>
      </c>
      <c r="B58" t="s">
        <v>67</v>
      </c>
      <c r="C58">
        <v>0.93966627767758304</v>
      </c>
      <c r="D58">
        <v>0.96889479235847897</v>
      </c>
      <c r="E58">
        <v>0.96378163277995399</v>
      </c>
      <c r="F58">
        <v>0.99832257041952999</v>
      </c>
    </row>
    <row r="59" spans="1:6" x14ac:dyDescent="0.25">
      <c r="A59">
        <v>24.138927459716701</v>
      </c>
      <c r="B59" t="s">
        <v>68</v>
      </c>
      <c r="C59">
        <v>0.91834852622991503</v>
      </c>
      <c r="D59">
        <v>0.95743658013460498</v>
      </c>
      <c r="E59">
        <v>0.98370060790273495</v>
      </c>
      <c r="F59">
        <v>0.99816777793429401</v>
      </c>
    </row>
    <row r="60" spans="1:6" x14ac:dyDescent="0.25">
      <c r="A60">
        <v>23.728370666503899</v>
      </c>
      <c r="B60" t="s">
        <v>69</v>
      </c>
      <c r="C60">
        <v>0.87602746218532901</v>
      </c>
      <c r="D60">
        <v>0.93391752502905301</v>
      </c>
      <c r="E60">
        <v>0.92005745736919198</v>
      </c>
      <c r="F60">
        <v>0.99638747453394405</v>
      </c>
    </row>
    <row r="61" spans="1:6" x14ac:dyDescent="0.25">
      <c r="A61">
        <v>25.264263153076101</v>
      </c>
      <c r="B61" t="s">
        <v>70</v>
      </c>
      <c r="C61">
        <v>0.323145484746586</v>
      </c>
      <c r="D61">
        <v>0.48845042132079097</v>
      </c>
      <c r="E61">
        <v>0.890538820534577</v>
      </c>
      <c r="F61">
        <v>0.92166512418396995</v>
      </c>
    </row>
    <row r="62" spans="1:6" x14ac:dyDescent="0.25">
      <c r="A62">
        <v>23.890018463134702</v>
      </c>
      <c r="B62" t="s">
        <v>71</v>
      </c>
      <c r="C62">
        <v>0.90616363995262506</v>
      </c>
      <c r="D62">
        <v>0.950772138298836</v>
      </c>
      <c r="E62">
        <v>0.96033157261649404</v>
      </c>
      <c r="F62">
        <v>0.99773738189549199</v>
      </c>
    </row>
    <row r="63" spans="1:6" x14ac:dyDescent="0.25">
      <c r="A63">
        <v>27.817487716674801</v>
      </c>
      <c r="B63" t="s">
        <v>72</v>
      </c>
      <c r="C63">
        <v>0.89574055560604604</v>
      </c>
      <c r="D63">
        <v>0.94500331594128695</v>
      </c>
      <c r="E63">
        <v>0.97128919402788905</v>
      </c>
      <c r="F63">
        <v>0.99480101610520599</v>
      </c>
    </row>
    <row r="64" spans="1:6" x14ac:dyDescent="0.25">
      <c r="A64">
        <v>25.532722473144499</v>
      </c>
      <c r="B64" t="s">
        <v>73</v>
      </c>
      <c r="C64">
        <v>0.88010781152235595</v>
      </c>
      <c r="D64">
        <v>0.93623121624043204</v>
      </c>
      <c r="E64">
        <v>0.92876552302105198</v>
      </c>
      <c r="F64">
        <v>0.99784284368097798</v>
      </c>
    </row>
    <row r="65" spans="1:6" x14ac:dyDescent="0.25">
      <c r="A65">
        <v>24.2919921875</v>
      </c>
      <c r="B65" t="s">
        <v>74</v>
      </c>
      <c r="C65">
        <v>0.92154968208452803</v>
      </c>
      <c r="D65">
        <v>0.95917341162349301</v>
      </c>
      <c r="E65">
        <v>0.98160751635071797</v>
      </c>
      <c r="F65">
        <v>0.99807257070759103</v>
      </c>
    </row>
    <row r="66" spans="1:6" x14ac:dyDescent="0.25">
      <c r="A66">
        <v>23.796796798706001</v>
      </c>
      <c r="B66" t="s">
        <v>75</v>
      </c>
      <c r="C66">
        <v>0.89600169639280902</v>
      </c>
      <c r="D66">
        <v>0.94514862312357095</v>
      </c>
      <c r="E66">
        <v>0.96512955866304595</v>
      </c>
      <c r="F66">
        <v>0.99698763244755795</v>
      </c>
    </row>
    <row r="67" spans="1:6" x14ac:dyDescent="0.25">
      <c r="A67">
        <v>24.516105651855401</v>
      </c>
      <c r="B67" t="s">
        <v>76</v>
      </c>
      <c r="C67">
        <v>0.35046933174850098</v>
      </c>
      <c r="D67">
        <v>0.51903338122419396</v>
      </c>
      <c r="E67">
        <v>0.89532910601053795</v>
      </c>
      <c r="F67">
        <v>0.93063276309340204</v>
      </c>
    </row>
    <row r="68" spans="1:6" x14ac:dyDescent="0.25">
      <c r="A68">
        <v>23.775815963745099</v>
      </c>
      <c r="B68" t="s">
        <v>77</v>
      </c>
      <c r="C68">
        <v>0.89788905252822704</v>
      </c>
      <c r="D68">
        <v>0.94619762027935805</v>
      </c>
      <c r="E68">
        <v>0.94157014157014096</v>
      </c>
      <c r="F68">
        <v>0.99672987417190895</v>
      </c>
    </row>
    <row r="69" spans="1:6" x14ac:dyDescent="0.25">
      <c r="A69">
        <v>24.3589878082275</v>
      </c>
      <c r="B69" t="s">
        <v>78</v>
      </c>
      <c r="C69">
        <v>0.87916579576859599</v>
      </c>
      <c r="D69">
        <v>0.93569795464376104</v>
      </c>
      <c r="E69">
        <v>0.95920539198297206</v>
      </c>
      <c r="F69">
        <v>0.99643943673137703</v>
      </c>
    </row>
    <row r="70" spans="1:6" x14ac:dyDescent="0.25">
      <c r="A70">
        <v>25.034427642822202</v>
      </c>
      <c r="B70" t="s">
        <v>79</v>
      </c>
      <c r="C70">
        <v>0.92055152351692704</v>
      </c>
      <c r="D70">
        <v>0.95863246806438895</v>
      </c>
      <c r="E70">
        <v>0.95292527040314601</v>
      </c>
      <c r="F70">
        <v>0.99767256946703897</v>
      </c>
    </row>
    <row r="71" spans="1:6" x14ac:dyDescent="0.25">
      <c r="A71">
        <v>24.389266967773398</v>
      </c>
      <c r="B71" t="s">
        <v>80</v>
      </c>
      <c r="C71">
        <v>0.91878844665335802</v>
      </c>
      <c r="D71">
        <v>0.95767560853918698</v>
      </c>
      <c r="E71">
        <v>0.96291947741439599</v>
      </c>
      <c r="F71">
        <v>0.99775389026206596</v>
      </c>
    </row>
    <row r="72" spans="1:6" x14ac:dyDescent="0.25">
      <c r="A72">
        <v>23.9109992980957</v>
      </c>
      <c r="B72" t="s">
        <v>81</v>
      </c>
      <c r="C72">
        <v>0.25679732660353599</v>
      </c>
      <c r="D72">
        <v>0.40865352140352601</v>
      </c>
      <c r="E72">
        <v>0.98202638491278804</v>
      </c>
      <c r="F72">
        <v>0.90569561433852397</v>
      </c>
    </row>
    <row r="73" spans="1:6" x14ac:dyDescent="0.25">
      <c r="A73">
        <v>24.6179103851318</v>
      </c>
      <c r="B73" t="s">
        <v>82</v>
      </c>
      <c r="C73">
        <v>0.94306086716122195</v>
      </c>
      <c r="D73">
        <v>0.97069616613607901</v>
      </c>
      <c r="E73">
        <v>0.98954480624652497</v>
      </c>
      <c r="F73">
        <v>0.99577777731761496</v>
      </c>
    </row>
    <row r="74" spans="1:6" x14ac:dyDescent="0.25">
      <c r="A74">
        <v>23.7245559692382</v>
      </c>
      <c r="B74" t="s">
        <v>83</v>
      </c>
      <c r="C74">
        <v>0.90133429959928302</v>
      </c>
      <c r="D74">
        <v>0.94810712644193496</v>
      </c>
      <c r="E74">
        <v>0.95475378745117501</v>
      </c>
      <c r="F74">
        <v>0.99738620013243195</v>
      </c>
    </row>
    <row r="75" spans="1:6" x14ac:dyDescent="0.25">
      <c r="A75">
        <v>24.2559909820556</v>
      </c>
      <c r="B75" t="s">
        <v>84</v>
      </c>
      <c r="C75">
        <v>0.93278097387761805</v>
      </c>
      <c r="D75">
        <v>0.96522160191409301</v>
      </c>
      <c r="E75">
        <v>0.97228359108254603</v>
      </c>
      <c r="F75">
        <v>0.99854398094943098</v>
      </c>
    </row>
    <row r="76" spans="1:6" x14ac:dyDescent="0.25">
      <c r="A76">
        <v>23.657321929931602</v>
      </c>
      <c r="B76" t="s">
        <v>85</v>
      </c>
      <c r="C76">
        <v>0.91511644727325303</v>
      </c>
      <c r="D76">
        <v>0.95567708018611397</v>
      </c>
      <c r="E76">
        <v>0.97488134130555304</v>
      </c>
      <c r="F76">
        <v>0.99791463690669502</v>
      </c>
    </row>
    <row r="77" spans="1:6" x14ac:dyDescent="0.25">
      <c r="A77">
        <v>24.970054626464801</v>
      </c>
      <c r="B77" t="s">
        <v>86</v>
      </c>
      <c r="C77">
        <v>0.87817879724927295</v>
      </c>
      <c r="D77">
        <v>0.93513865510081196</v>
      </c>
      <c r="E77">
        <v>0.93687683103966102</v>
      </c>
      <c r="F77">
        <v>0.99730643271488695</v>
      </c>
    </row>
    <row r="78" spans="1:6" x14ac:dyDescent="0.25">
      <c r="A78" s="1">
        <f>AVERAGE(A4:A77)</f>
        <v>24.777518736349545</v>
      </c>
      <c r="B78" s="1"/>
      <c r="C78" s="1">
        <f>SUBTOTAL(101,CMTSam_test2[Column3])</f>
        <v>0.79531945199219689</v>
      </c>
      <c r="D78" s="1">
        <f>SUBTOTAL(101,CMTSam_test2[Column4])</f>
        <v>0.85939408922955896</v>
      </c>
      <c r="E78" s="1">
        <f>SUBTOTAL(101,CMTSam_test2[Column5])</f>
        <v>0.95677955687086202</v>
      </c>
      <c r="F78" s="1">
        <f>SUBTOTAL(101,CMTSam_test2[Column6])</f>
        <v>0.98200568430745006</v>
      </c>
    </row>
    <row r="79" spans="1:6" x14ac:dyDescent="0.25">
      <c r="A79" s="1">
        <f>STDEVA(A4:A77)</f>
        <v>2.1368671849514769</v>
      </c>
      <c r="B79" s="1"/>
      <c r="C79" s="1">
        <f>STDEVA(C3:C77)</f>
        <v>0.24156014848156482</v>
      </c>
      <c r="D79" s="1">
        <f>STDEVA(D3:D77)</f>
        <v>0.20078544980037322</v>
      </c>
      <c r="E79" s="1">
        <f>STDEVA(E3:E77)</f>
        <v>1.9632005768154284E-2</v>
      </c>
      <c r="F79" s="1">
        <f>STDEVA(F3:F77)</f>
        <v>3.3863199478684533E-2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6C43B-BE89-42BF-AE52-6B772CF6917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46EA189-2685-4B4A-9EDC-1F00BFA91D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Sam_test2</vt:lpstr>
      <vt:lpstr>MobSam_test2</vt:lpstr>
      <vt:lpstr>FastSAM_test2</vt:lpstr>
      <vt:lpstr>Edgesam_test2</vt:lpstr>
      <vt:lpstr>CMTUnet_test2</vt:lpstr>
      <vt:lpstr>CMTSam_test2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Zen</dc:creator>
  <cp:lastModifiedBy>Marco De Zen</cp:lastModifiedBy>
  <dcterms:created xsi:type="dcterms:W3CDTF">2025-09-02T09:27:18Z</dcterms:created>
  <dcterms:modified xsi:type="dcterms:W3CDTF">2025-10-21T08:52:14Z</dcterms:modified>
</cp:coreProperties>
</file>