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esults_distillation_final\Results_distillation\RisultatiFinal\Dataset4\"/>
    </mc:Choice>
  </mc:AlternateContent>
  <xr:revisionPtr revIDLastSave="0" documentId="13_ncr:1_{A0AF2F00-2D70-4FCA-8C70-6BE2BA1A0DF5}" xr6:coauthVersionLast="47" xr6:coauthVersionMax="47" xr10:uidLastSave="{00000000-0000-0000-0000-000000000000}"/>
  <bookViews>
    <workbookView xWindow="-120" yWindow="-120" windowWidth="29040" windowHeight="15720" activeTab="4" xr2:uid="{D945E7ED-022D-499C-B7BA-88211A254A18}"/>
  </bookViews>
  <sheets>
    <sheet name="Sam_test4" sheetId="7" r:id="rId1"/>
    <sheet name="MobSam_test4" sheetId="6" r:id="rId2"/>
    <sheet name="FastSAM_test4" sheetId="5" r:id="rId3"/>
    <sheet name="Edgesam_test4" sheetId="4" r:id="rId4"/>
    <sheet name="CMTUnet_test4" sheetId="3" r:id="rId5"/>
    <sheet name="CMTSam_test4" sheetId="2" r:id="rId6"/>
    <sheet name="Foglio1" sheetId="1" r:id="rId7"/>
  </sheets>
  <definedNames>
    <definedName name="DatiEsterni_1" localSheetId="5" hidden="1">'CMTSam_test4'!$A$1:$F$77</definedName>
    <definedName name="DatiEsterni_2" localSheetId="4" hidden="1">'CMTUnet_test4'!$A$1:$F$77</definedName>
    <definedName name="DatiEsterni_3" localSheetId="3" hidden="1">Edgesam_test4!$A$1:$F$77</definedName>
    <definedName name="DatiEsterni_4" localSheetId="2" hidden="1">FastSAM_test4!$A$1:$F$77</definedName>
    <definedName name="DatiEsterni_5" localSheetId="1" hidden="1">MobSam_test4!$A$1:$F$77</definedName>
    <definedName name="DatiEsterni_6" localSheetId="0" hidden="1">Sam_test4!$A$1:$F$77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" i="7" l="1"/>
  <c r="F79" i="2"/>
  <c r="E79" i="2"/>
  <c r="D79" i="2"/>
  <c r="C79" i="2"/>
  <c r="F78" i="2"/>
  <c r="E78" i="2"/>
  <c r="D78" i="2"/>
  <c r="C78" i="2"/>
  <c r="A79" i="2"/>
  <c r="A78" i="2"/>
  <c r="F79" i="3"/>
  <c r="E79" i="3"/>
  <c r="D79" i="3"/>
  <c r="C79" i="3"/>
  <c r="A79" i="3"/>
  <c r="F78" i="3"/>
  <c r="E78" i="3"/>
  <c r="D78" i="3"/>
  <c r="C78" i="3"/>
  <c r="A78" i="3"/>
  <c r="F79" i="4"/>
  <c r="E79" i="4"/>
  <c r="D79" i="4"/>
  <c r="C79" i="4"/>
  <c r="A79" i="4"/>
  <c r="F78" i="4"/>
  <c r="E78" i="4"/>
  <c r="D78" i="4"/>
  <c r="C78" i="4"/>
  <c r="A78" i="4"/>
  <c r="F79" i="6"/>
  <c r="E79" i="6"/>
  <c r="D79" i="6"/>
  <c r="C79" i="6"/>
  <c r="A79" i="6"/>
  <c r="F78" i="6"/>
  <c r="E78" i="6"/>
  <c r="D78" i="6"/>
  <c r="C78" i="6"/>
  <c r="A78" i="6"/>
  <c r="F78" i="7"/>
  <c r="E78" i="7"/>
  <c r="D78" i="7"/>
  <c r="F79" i="7"/>
  <c r="E79" i="7"/>
  <c r="D79" i="7"/>
  <c r="C79" i="7"/>
  <c r="A79" i="7"/>
  <c r="A78" i="7"/>
  <c r="F79" i="5"/>
  <c r="E79" i="5"/>
  <c r="D79" i="5"/>
  <c r="C79" i="5"/>
  <c r="F78" i="5"/>
  <c r="E78" i="5"/>
  <c r="D78" i="5"/>
  <c r="C78" i="5"/>
  <c r="A79" i="5"/>
  <c r="A7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2798E2-C17A-43A8-A70D-C9E6428A7AC8}" keepAlive="1" name="Query - CMTSam_test4" description="Connessione alla query 'CMTSam_test4' nella cartella di lavoro." type="5" refreshedVersion="8" background="1" saveData="1">
    <dbPr connection="Provider=Microsoft.Mashup.OleDb.1;Data Source=$Workbook$;Location=CMTSam_test4;Extended Properties=&quot;&quot;" command="SELECT * FROM [CMTSam_test4]"/>
  </connection>
  <connection id="2" xr16:uid="{674AEDD9-84E0-49CD-A1C8-82EC34CCBA21}" keepAlive="1" name="Query - CMTUnet_test4" description="Connessione alla query 'CMTUnet_test4' nella cartella di lavoro." type="5" refreshedVersion="8" background="1" saveData="1">
    <dbPr connection="Provider=Microsoft.Mashup.OleDb.1;Data Source=$Workbook$;Location=CMTUnet_test4;Extended Properties=&quot;&quot;" command="SELECT * FROM [CMTUnet_test4]"/>
  </connection>
  <connection id="3" xr16:uid="{63AC7970-4FB2-47A2-B923-4B94697861DF}" keepAlive="1" name="Query - Edgesam_test4" description="Connessione alla query 'Edgesam_test4' nella cartella di lavoro." type="5" refreshedVersion="8" background="1" saveData="1">
    <dbPr connection="Provider=Microsoft.Mashup.OleDb.1;Data Source=$Workbook$;Location=Edgesam_test4;Extended Properties=&quot;&quot;" command="SELECT * FROM [Edgesam_test4]"/>
  </connection>
  <connection id="4" xr16:uid="{6A3704EF-7D57-4990-9450-2508A4560102}" keepAlive="1" name="Query - FastSAM_test4" description="Connessione alla query 'FastSAM_test4' nella cartella di lavoro." type="5" refreshedVersion="8" background="1" saveData="1">
    <dbPr connection="Provider=Microsoft.Mashup.OleDb.1;Data Source=$Workbook$;Location=FastSAM_test4;Extended Properties=&quot;&quot;" command="SELECT * FROM [FastSAM_test4]"/>
  </connection>
  <connection id="5" xr16:uid="{044404B0-FB48-4046-8337-3D757304D831}" keepAlive="1" name="Query - MobSam_test4" description="Connessione alla query 'MobSam_test4' nella cartella di lavoro." type="5" refreshedVersion="8" background="1" saveData="1">
    <dbPr connection="Provider=Microsoft.Mashup.OleDb.1;Data Source=$Workbook$;Location=MobSam_test4;Extended Properties=&quot;&quot;" command="SELECT * FROM [MobSam_test4]"/>
  </connection>
  <connection id="6" xr16:uid="{7FCFFD70-226F-4C70-838B-324CACB3314C}" keepAlive="1" name="Query - Sam_test4" description="Connessione alla query 'Sam_test4' nella cartella di lavoro." type="5" refreshedVersion="8" background="1" saveData="1">
    <dbPr connection="Provider=Microsoft.Mashup.OleDb.1;Data Source=$Workbook$;Location=Sam_test4;Extended Properties=&quot;&quot;" command="SELECT * FROM [Sam_test4]"/>
  </connection>
</connections>
</file>

<file path=xl/sharedStrings.xml><?xml version="1.0" encoding="utf-8"?>
<sst xmlns="http://schemas.openxmlformats.org/spreadsheetml/2006/main" count="447" uniqueCount="87">
  <si>
    <t>Column1</t>
  </si>
  <si>
    <t>Column2</t>
  </si>
  <si>
    <t>Column3</t>
  </si>
  <si>
    <t>Column4</t>
  </si>
  <si>
    <t>Column5</t>
  </si>
  <si>
    <t>Column6</t>
  </si>
  <si>
    <t>time</t>
  </si>
  <si>
    <t>index</t>
  </si>
  <si>
    <t>iou</t>
  </si>
  <si>
    <t>dice</t>
  </si>
  <si>
    <t>sensitivity</t>
  </si>
  <si>
    <t>specificity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</si>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</sst>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78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6" xr16:uid="{E84A5F4E-DD34-42B1-80C0-091FEB8FE092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5" xr16:uid="{F5A3E504-0CB2-4CA7-8143-4B3EDE817E3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4" xr16:uid="{4C546032-1F23-482F-B4FB-8431AFEBF01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3" xr16:uid="{15A94792-8046-452F-B464-4C4DF37BDED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BD5699F8-075F-4822-8B58-B0B68D7381E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B8073333-DD38-4E11-9006-F87FA970199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9CFF59-97E6-4198-AC24-D3E2621B5B8F}" name="Sam_test4" displayName="Sam_test4" ref="A1:F78" tableType="queryTable" totalsRowCount="1" totalsRowDxfId="77">
  <autoFilter ref="A1:F77" xr:uid="{879CFF59-97E6-4198-AC24-D3E2621B5B8F}"/>
  <tableColumns count="6">
    <tableColumn id="1" xr3:uid="{B8F98166-CE61-43CF-825B-DF55F637DA4F}" uniqueName="1" name="Column1" totalsRowFunction="custom" queryTableFieldId="1" dataDxfId="76" totalsRowDxfId="75">
      <totalsRowFormula>AVERAGE(A4:A77)</totalsRowFormula>
    </tableColumn>
    <tableColumn id="2" xr3:uid="{E33B5C05-058B-4AAE-91A2-44656DC14995}" uniqueName="2" name="Column2" queryTableFieldId="2" dataDxfId="74" totalsRowDxfId="73"/>
    <tableColumn id="3" xr3:uid="{410D1829-73A2-47B0-B0F8-B6711B82DCC6}" uniqueName="3" name="Column3" totalsRowFunction="average" queryTableFieldId="3" dataDxfId="72" totalsRowDxfId="71"/>
    <tableColumn id="4" xr3:uid="{47E11726-2826-4381-9CC8-268B0215E484}" uniqueName="4" name="Column4" totalsRowFunction="average" queryTableFieldId="4" dataDxfId="70" totalsRowDxfId="69"/>
    <tableColumn id="5" xr3:uid="{A8B3D05E-B047-4DE6-9610-B8A373342E5C}" uniqueName="5" name="Column5" totalsRowFunction="average" queryTableFieldId="5" dataDxfId="68" totalsRowDxfId="67"/>
    <tableColumn id="6" xr3:uid="{14FBA21B-D9B3-44C1-BA7B-8676C45FCEE0}" uniqueName="6" name="Column6" totalsRowFunction="average" queryTableFieldId="6" dataDxfId="66" totalsRowDxfId="6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AE5024-39C0-4DFA-8C57-74FE77561F2A}" name="MobSam_test4" displayName="MobSam_test4" ref="A1:F78" tableType="queryTable" totalsRowCount="1" totalsRowDxfId="64">
  <autoFilter ref="A1:F77" xr:uid="{2BAE5024-39C0-4DFA-8C57-74FE77561F2A}"/>
  <tableColumns count="6">
    <tableColumn id="1" xr3:uid="{964EF9FB-26A4-4CE1-B99C-AAE74F0928B5}" uniqueName="1" name="Column1" totalsRowFunction="custom" queryTableFieldId="1" dataDxfId="63" totalsRowDxfId="5">
      <totalsRowFormula>AVERAGE(A4:A77)</totalsRowFormula>
    </tableColumn>
    <tableColumn id="2" xr3:uid="{94101B33-C775-4F56-9D2C-0F7DF0736935}" uniqueName="2" name="Column2" queryTableFieldId="2" dataDxfId="62" totalsRowDxfId="4"/>
    <tableColumn id="3" xr3:uid="{480E43F3-F7A4-46EC-9A9E-0C7960D48AAC}" uniqueName="3" name="Column3" totalsRowFunction="custom" queryTableFieldId="3" dataDxfId="61" totalsRowDxfId="3">
      <totalsRowFormula>AVERAGE(C3:C77)</totalsRowFormula>
    </tableColumn>
    <tableColumn id="4" xr3:uid="{D5AA34AF-77B6-4E88-80C4-37E9A72822D5}" uniqueName="4" name="Column4" totalsRowFunction="average" queryTableFieldId="4" dataDxfId="60" totalsRowDxfId="2"/>
    <tableColumn id="5" xr3:uid="{6943424A-BD65-4DB3-8132-04351FE3CE21}" uniqueName="5" name="Column5" totalsRowFunction="average" queryTableFieldId="5" dataDxfId="59" totalsRowDxfId="1"/>
    <tableColumn id="6" xr3:uid="{CCC93693-7A9F-44D0-8EEC-3D887F0CA0AD}" uniqueName="6" name="Column6" totalsRowFunction="average" queryTableFieldId="6" dataDxfId="58" totalsRow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F9357B-49E7-4177-BF61-A7F2ADCB4FE4}" name="FastSAM_test4" displayName="FastSAM_test4" ref="A1:F78" tableType="queryTable" totalsRowCount="1" totalsRowDxfId="57">
  <autoFilter ref="A1:F77" xr:uid="{9FF9357B-49E7-4177-BF61-A7F2ADCB4FE4}"/>
  <tableColumns count="6">
    <tableColumn id="1" xr3:uid="{E9719539-EECB-462D-ACAD-A0FB618243DF}" uniqueName="1" name="Column1" totalsRowFunction="custom" queryTableFieldId="1" dataDxfId="56" totalsRowDxfId="55">
      <totalsRowFormula>AVERAGE(A4:A77)</totalsRowFormula>
    </tableColumn>
    <tableColumn id="2" xr3:uid="{23BF6178-A7DF-4ECE-849E-A7C045A00499}" uniqueName="2" name="Column2" queryTableFieldId="2" dataDxfId="54" totalsRowDxfId="53"/>
    <tableColumn id="3" xr3:uid="{66C88179-E7AF-40AF-A5E6-82C3D9DFCB18}" uniqueName="3" name="Column3" totalsRowFunction="average" queryTableFieldId="3" dataDxfId="52" totalsRowDxfId="51"/>
    <tableColumn id="4" xr3:uid="{B221FDB9-4848-4F21-AF7E-F02DFC614BE0}" uniqueName="4" name="Column4" totalsRowFunction="average" queryTableFieldId="4" dataDxfId="50" totalsRowDxfId="49"/>
    <tableColumn id="5" xr3:uid="{895E837F-53F0-46FC-82AA-1D6D6A815E91}" uniqueName="5" name="Column5" totalsRowFunction="average" queryTableFieldId="5" dataDxfId="48" totalsRowDxfId="47"/>
    <tableColumn id="6" xr3:uid="{02CE7335-A163-4B4E-85B1-B6BCD6C1DB16}" uniqueName="6" name="Column6" totalsRowFunction="average" queryTableFieldId="6" dataDxfId="46" totalsRowDxfId="4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C27272-5A60-403B-92C9-DA8FCB263889}" name="Edgesam_test4" displayName="Edgesam_test4" ref="A1:F78" tableType="queryTable" totalsRowCount="1" totalsRowDxfId="44">
  <autoFilter ref="A1:F77" xr:uid="{F7C27272-5A60-403B-92C9-DA8FCB263889}"/>
  <tableColumns count="6">
    <tableColumn id="1" xr3:uid="{613A09CC-2299-4931-913A-2307B592589A}" uniqueName="1" name="Column1" totalsRowFunction="custom" queryTableFieldId="1" dataDxfId="43" totalsRowDxfId="42">
      <totalsRowFormula>AVERAGE(A4:A77)</totalsRowFormula>
    </tableColumn>
    <tableColumn id="2" xr3:uid="{AAD5D03A-CF58-4117-9A06-9651AECC624D}" uniqueName="2" name="Column2" queryTableFieldId="2" dataDxfId="41" totalsRowDxfId="40"/>
    <tableColumn id="3" xr3:uid="{9F4B2DA1-7FB4-4329-9572-8B845ED2E95E}" uniqueName="3" name="Column3" totalsRowFunction="average" queryTableFieldId="3" dataDxfId="39" totalsRowDxfId="38"/>
    <tableColumn id="4" xr3:uid="{7FC08B8B-CB1A-4896-9196-619AEDA95839}" uniqueName="4" name="Column4" totalsRowFunction="average" queryTableFieldId="4" dataDxfId="37" totalsRowDxfId="36"/>
    <tableColumn id="5" xr3:uid="{2E13BE04-5D35-4699-9B78-38F2BABCF13E}" uniqueName="5" name="Column5" totalsRowFunction="average" queryTableFieldId="5" dataDxfId="35" totalsRowDxfId="34"/>
    <tableColumn id="6" xr3:uid="{E1B5D5B3-1E35-4D8B-AC50-920A1D400D3F}" uniqueName="6" name="Column6" totalsRowFunction="average" queryTableFieldId="6" dataDxfId="33" totalsRowDxfId="3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50D8C7-0B20-41A1-AC61-C190E966F551}" name="CMTUnet_test4" displayName="CMTUnet_test4" ref="A1:F78" tableType="queryTable" totalsRowCount="1" totalsRowDxfId="31">
  <autoFilter ref="A1:F77" xr:uid="{C550D8C7-0B20-41A1-AC61-C190E966F551}"/>
  <tableColumns count="6">
    <tableColumn id="1" xr3:uid="{511D68D6-37FB-4195-8C3C-A3115C06B5F8}" uniqueName="1" name="Column1" totalsRowFunction="custom" queryTableFieldId="1" dataDxfId="30" totalsRowDxfId="29">
      <totalsRowFormula>AVERAGE(A4:A77)</totalsRowFormula>
    </tableColumn>
    <tableColumn id="2" xr3:uid="{1DE61EA5-9E01-4428-BB74-71D05366F025}" uniqueName="2" name="Column2" queryTableFieldId="2" dataDxfId="28" totalsRowDxfId="27"/>
    <tableColumn id="3" xr3:uid="{19F2B015-57B2-4AF1-86DE-5362F0D5294D}" uniqueName="3" name="Column3" totalsRowFunction="average" queryTableFieldId="3" dataDxfId="26" totalsRowDxfId="25"/>
    <tableColumn id="4" xr3:uid="{1BCB8934-151F-4A61-AAEA-C577FE49158C}" uniqueName="4" name="Column4" totalsRowFunction="average" queryTableFieldId="4" dataDxfId="24" totalsRowDxfId="23"/>
    <tableColumn id="5" xr3:uid="{BDE50AED-F785-4600-90D2-E03DB582D058}" uniqueName="5" name="Column5" totalsRowFunction="average" queryTableFieldId="5" dataDxfId="22" totalsRowDxfId="21"/>
    <tableColumn id="6" xr3:uid="{B9CD90D4-6B6C-4CF3-BE72-AD85AEDC9795}" uniqueName="6" name="Column6" totalsRowFunction="average" queryTableFieldId="6" dataDxfId="20" totalsRow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92BDD-8673-4A4D-9060-243852CD7C26}" name="CMTSam_test4" displayName="CMTSam_test4" ref="A1:F78" tableType="queryTable" totalsRowCount="1" totalsRowDxfId="18">
  <autoFilter ref="A1:F77" xr:uid="{8AA92BDD-8673-4A4D-9060-243852CD7C26}"/>
  <tableColumns count="6">
    <tableColumn id="1" xr3:uid="{C71671B9-8570-4ED3-8CDE-2CB67313111C}" uniqueName="1" name="Column1" totalsRowFunction="custom" queryTableFieldId="1" dataDxfId="17" totalsRowDxfId="16">
      <totalsRowFormula>AVERAGE(A4:A77)</totalsRowFormula>
    </tableColumn>
    <tableColumn id="2" xr3:uid="{8416FFCC-A197-4C89-B663-710C98A04786}" uniqueName="2" name="Column2" queryTableFieldId="2" dataDxfId="15" totalsRowDxfId="14"/>
    <tableColumn id="3" xr3:uid="{31911491-A29B-4624-B731-6ACFD5E51EDC}" uniqueName="3" name="Column3" totalsRowFunction="average" queryTableFieldId="3" dataDxfId="13" totalsRowDxfId="12"/>
    <tableColumn id="4" xr3:uid="{4132F5BD-640E-4B0E-A9A2-9F29E4589694}" uniqueName="4" name="Column4" totalsRowFunction="average" queryTableFieldId="4" dataDxfId="11" totalsRowDxfId="10"/>
    <tableColumn id="5" xr3:uid="{C4FC7401-61D1-4FA5-BF45-5FE5BEB2083B}" uniqueName="5" name="Column5" totalsRowFunction="average" queryTableFieldId="5" dataDxfId="9" totalsRowDxfId="8"/>
    <tableColumn id="6" xr3:uid="{D1F341B4-F294-490E-8319-97537D83E9E5}" uniqueName="6" name="Column6" totalsRowFunction="average" queryTableFieldId="6" dataDxfId="7" totalsRow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6DF3-17ED-4661-92BC-363A7C6CADAF}">
  <dimension ref="A1:F79"/>
  <sheetViews>
    <sheetView workbookViewId="0">
      <selection activeCell="F77" sqref="F3:F77"/>
    </sheetView>
  </sheetViews>
  <sheetFormatPr defaultRowHeight="15" x14ac:dyDescent="0.25"/>
  <cols>
    <col min="1" max="1" width="18.7109375" bestFit="1" customWidth="1"/>
    <col min="2" max="2" width="11.140625" bestFit="1" customWidth="1"/>
    <col min="3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1944.3342685699399</v>
      </c>
      <c r="B3" t="s">
        <v>12</v>
      </c>
      <c r="C3">
        <v>0.91413769034909198</v>
      </c>
      <c r="D3">
        <v>0.95514308605706999</v>
      </c>
      <c r="E3">
        <v>0.98074103762142295</v>
      </c>
      <c r="F3">
        <v>0.99275711051907001</v>
      </c>
    </row>
    <row r="4" spans="1:6" x14ac:dyDescent="0.25">
      <c r="A4">
        <v>1072.0336437225301</v>
      </c>
      <c r="B4" t="s">
        <v>13</v>
      </c>
      <c r="C4">
        <v>0.92896782357194496</v>
      </c>
      <c r="D4">
        <v>0.963176069833802</v>
      </c>
      <c r="E4">
        <v>0.988535485174035</v>
      </c>
      <c r="F4">
        <v>0.99294200844164104</v>
      </c>
    </row>
    <row r="5" spans="1:6" x14ac:dyDescent="0.25">
      <c r="A5">
        <v>1066.5266513824399</v>
      </c>
      <c r="B5" t="s">
        <v>14</v>
      </c>
      <c r="C5">
        <v>0.94202794930126699</v>
      </c>
      <c r="D5">
        <v>0.97014870423487398</v>
      </c>
      <c r="E5">
        <v>0.987180971712314</v>
      </c>
      <c r="F5">
        <v>0.99219639750133903</v>
      </c>
    </row>
    <row r="6" spans="1:6" x14ac:dyDescent="0.25">
      <c r="A6">
        <v>1072.0157623291</v>
      </c>
      <c r="B6" t="s">
        <v>15</v>
      </c>
      <c r="C6">
        <v>0.92665956546082695</v>
      </c>
      <c r="D6">
        <v>0.96193389021395104</v>
      </c>
      <c r="E6">
        <v>0.97535611102327102</v>
      </c>
      <c r="F6">
        <v>0.99195983435851298</v>
      </c>
    </row>
    <row r="7" spans="1:6" x14ac:dyDescent="0.25">
      <c r="A7">
        <v>1058.87365341186</v>
      </c>
      <c r="B7" t="s">
        <v>16</v>
      </c>
      <c r="C7">
        <v>0.93115135005207905</v>
      </c>
      <c r="D7">
        <v>0.96434839250374405</v>
      </c>
      <c r="E7">
        <v>0.99091087369866004</v>
      </c>
      <c r="F7">
        <v>0.99191768863289997</v>
      </c>
    </row>
    <row r="8" spans="1:6" x14ac:dyDescent="0.25">
      <c r="A8">
        <v>1071.27356529235</v>
      </c>
      <c r="B8" t="s">
        <v>17</v>
      </c>
      <c r="C8">
        <v>0.899485002976113</v>
      </c>
      <c r="D8">
        <v>0.94708302678547096</v>
      </c>
      <c r="E8">
        <v>0.985948920638823</v>
      </c>
      <c r="F8">
        <v>0.98921744258441902</v>
      </c>
    </row>
    <row r="9" spans="1:6" x14ac:dyDescent="0.25">
      <c r="A9">
        <v>1070.28698921203</v>
      </c>
      <c r="B9" t="s">
        <v>18</v>
      </c>
      <c r="C9">
        <v>0.92632796653144001</v>
      </c>
      <c r="D9">
        <v>0.96175519706479895</v>
      </c>
      <c r="E9">
        <v>0.97837548328786295</v>
      </c>
      <c r="F9">
        <v>0.99277351191821595</v>
      </c>
    </row>
    <row r="10" spans="1:6" x14ac:dyDescent="0.25">
      <c r="A10">
        <v>1072.2212791442801</v>
      </c>
      <c r="B10" t="s">
        <v>19</v>
      </c>
      <c r="C10">
        <v>0.91829467808680498</v>
      </c>
      <c r="D10">
        <v>0.95740731450358696</v>
      </c>
      <c r="E10">
        <v>0.96348652784142497</v>
      </c>
      <c r="F10">
        <v>0.99311176316467498</v>
      </c>
    </row>
    <row r="11" spans="1:6" x14ac:dyDescent="0.25">
      <c r="A11">
        <v>1070.03283500671</v>
      </c>
      <c r="B11" t="s">
        <v>20</v>
      </c>
      <c r="C11">
        <v>0.92517624706254897</v>
      </c>
      <c r="D11">
        <v>0.961134076398658</v>
      </c>
      <c r="E11">
        <v>0.99566839452585498</v>
      </c>
      <c r="F11">
        <v>0.99093344147182105</v>
      </c>
    </row>
    <row r="12" spans="1:6" x14ac:dyDescent="0.25">
      <c r="A12">
        <v>1066.49804115295</v>
      </c>
      <c r="B12" t="s">
        <v>21</v>
      </c>
      <c r="C12">
        <v>0.92904424479815895</v>
      </c>
      <c r="D12">
        <v>0.96321714476317499</v>
      </c>
      <c r="E12">
        <v>0.97910556563310502</v>
      </c>
      <c r="F12">
        <v>0.99316893795629002</v>
      </c>
    </row>
    <row r="13" spans="1:6" x14ac:dyDescent="0.25">
      <c r="A13">
        <v>1073.0242729187</v>
      </c>
      <c r="B13" t="s">
        <v>22</v>
      </c>
      <c r="C13">
        <v>0.92030293291140197</v>
      </c>
      <c r="D13">
        <v>0.95849765902936601</v>
      </c>
      <c r="E13">
        <v>0.97798406165163299</v>
      </c>
      <c r="F13">
        <v>0.99234042462108796</v>
      </c>
    </row>
    <row r="14" spans="1:6" x14ac:dyDescent="0.25">
      <c r="A14">
        <v>1071.3317394256501</v>
      </c>
      <c r="B14" t="s">
        <v>23</v>
      </c>
      <c r="C14">
        <v>0.90532046563174895</v>
      </c>
      <c r="D14">
        <v>0.95030781641404405</v>
      </c>
      <c r="E14">
        <v>0.96604141669615895</v>
      </c>
      <c r="F14">
        <v>0.99166960606993004</v>
      </c>
    </row>
    <row r="15" spans="1:6" x14ac:dyDescent="0.25">
      <c r="A15">
        <v>1070.01709938049</v>
      </c>
      <c r="B15" t="s">
        <v>24</v>
      </c>
      <c r="C15">
        <v>0.94087516355418099</v>
      </c>
      <c r="D15">
        <v>0.96953702249579599</v>
      </c>
      <c r="E15">
        <v>0.98949977326390504</v>
      </c>
      <c r="F15">
        <v>0.99282047717215804</v>
      </c>
    </row>
    <row r="16" spans="1:6" x14ac:dyDescent="0.25">
      <c r="A16">
        <v>1063.4958744049</v>
      </c>
      <c r="B16" t="s">
        <v>25</v>
      </c>
      <c r="C16">
        <v>0.93616167899941005</v>
      </c>
      <c r="D16">
        <v>0.96702841415930696</v>
      </c>
      <c r="E16">
        <v>0.99332105820840999</v>
      </c>
      <c r="F16">
        <v>0.99246870172416302</v>
      </c>
    </row>
    <row r="17" spans="1:6" x14ac:dyDescent="0.25">
      <c r="A17">
        <v>1071.8669891357399</v>
      </c>
      <c r="B17" t="s">
        <v>26</v>
      </c>
      <c r="C17">
        <v>0.93017505890088203</v>
      </c>
      <c r="D17">
        <v>0.96382455530283395</v>
      </c>
      <c r="E17">
        <v>0.99360582937660402</v>
      </c>
      <c r="F17">
        <v>0.98977836118211704</v>
      </c>
    </row>
    <row r="18" spans="1:6" x14ac:dyDescent="0.25">
      <c r="A18">
        <v>1074.7525691986</v>
      </c>
      <c r="B18" t="s">
        <v>27</v>
      </c>
      <c r="C18">
        <v>0.92435720627963602</v>
      </c>
      <c r="D18">
        <v>0.96069191651450003</v>
      </c>
      <c r="E18">
        <v>0.99403727969932398</v>
      </c>
      <c r="F18">
        <v>0.992189498079738</v>
      </c>
    </row>
    <row r="19" spans="1:6" x14ac:dyDescent="0.25">
      <c r="A19">
        <v>1061.2449645996001</v>
      </c>
      <c r="B19" t="s">
        <v>28</v>
      </c>
      <c r="C19">
        <v>0.90980320164488104</v>
      </c>
      <c r="D19">
        <v>0.95277167915655703</v>
      </c>
      <c r="E19">
        <v>0.98116808552761803</v>
      </c>
      <c r="F19">
        <v>0.98926055593564299</v>
      </c>
    </row>
    <row r="20" spans="1:6" x14ac:dyDescent="0.25">
      <c r="A20">
        <v>1071.1584091186501</v>
      </c>
      <c r="B20" t="s">
        <v>29</v>
      </c>
      <c r="C20">
        <v>0.91230168980002402</v>
      </c>
      <c r="D20">
        <v>0.95413991909971696</v>
      </c>
      <c r="E20">
        <v>0.97527939659056195</v>
      </c>
      <c r="F20">
        <v>0.98957141822125705</v>
      </c>
    </row>
    <row r="21" spans="1:6" x14ac:dyDescent="0.25">
      <c r="A21">
        <v>1071.91467285156</v>
      </c>
      <c r="B21" t="s">
        <v>30</v>
      </c>
      <c r="C21">
        <v>0.94205077661311698</v>
      </c>
      <c r="D21">
        <v>0.97016080934405602</v>
      </c>
      <c r="E21">
        <v>0.98883888116957597</v>
      </c>
      <c r="F21">
        <v>0.99282106026074202</v>
      </c>
    </row>
    <row r="22" spans="1:6" x14ac:dyDescent="0.25">
      <c r="A22">
        <v>1072.1845626831</v>
      </c>
      <c r="B22" t="s">
        <v>31</v>
      </c>
      <c r="C22">
        <v>0.93054479899513798</v>
      </c>
      <c r="D22">
        <v>0.96402300478030101</v>
      </c>
      <c r="E22">
        <v>0.98032238380264702</v>
      </c>
      <c r="F22">
        <v>0.99135727934863804</v>
      </c>
    </row>
    <row r="23" spans="1:6" x14ac:dyDescent="0.25">
      <c r="A23">
        <v>1071.67077064514</v>
      </c>
      <c r="B23" t="s">
        <v>32</v>
      </c>
      <c r="C23">
        <v>0.92724684374180499</v>
      </c>
      <c r="D23">
        <v>0.96225021382474096</v>
      </c>
      <c r="E23">
        <v>0.98068815772790596</v>
      </c>
      <c r="F23">
        <v>0.99211499765824196</v>
      </c>
    </row>
    <row r="24" spans="1:6" x14ac:dyDescent="0.25">
      <c r="A24">
        <v>1070.33705711364</v>
      </c>
      <c r="B24" t="s">
        <v>33</v>
      </c>
      <c r="C24">
        <v>0.93414555077238504</v>
      </c>
      <c r="D24">
        <v>0.96595165798079796</v>
      </c>
      <c r="E24">
        <v>0.99309117722492901</v>
      </c>
      <c r="F24">
        <v>0.99147766635491297</v>
      </c>
    </row>
    <row r="25" spans="1:6" x14ac:dyDescent="0.25">
      <c r="A25">
        <v>1069.6544647216699</v>
      </c>
      <c r="B25" t="s">
        <v>34</v>
      </c>
      <c r="C25">
        <v>0.930003882351366</v>
      </c>
      <c r="D25">
        <v>0.96373265448390899</v>
      </c>
      <c r="E25">
        <v>0.99495137566061698</v>
      </c>
      <c r="F25">
        <v>0.98927094816565297</v>
      </c>
    </row>
    <row r="26" spans="1:6" x14ac:dyDescent="0.25">
      <c r="A26">
        <v>1072.04699516296</v>
      </c>
      <c r="B26" t="s">
        <v>35</v>
      </c>
      <c r="C26">
        <v>0.92366883268664302</v>
      </c>
      <c r="D26">
        <v>0.96032000622126301</v>
      </c>
      <c r="E26">
        <v>0.98999889767409199</v>
      </c>
      <c r="F26">
        <v>0.99244719837012896</v>
      </c>
    </row>
    <row r="27" spans="1:6" x14ac:dyDescent="0.25">
      <c r="A27">
        <v>1072.5064277648901</v>
      </c>
      <c r="B27" t="s">
        <v>36</v>
      </c>
      <c r="C27">
        <v>0.91008285490605401</v>
      </c>
      <c r="D27">
        <v>0.95292500277514403</v>
      </c>
      <c r="E27">
        <v>0.97662533145472497</v>
      </c>
      <c r="F27">
        <v>0.99105754318441297</v>
      </c>
    </row>
    <row r="28" spans="1:6" x14ac:dyDescent="0.25">
      <c r="A28">
        <v>1072.50523567199</v>
      </c>
      <c r="B28" t="s">
        <v>37</v>
      </c>
      <c r="C28">
        <v>0.93190389926647399</v>
      </c>
      <c r="D28">
        <v>0.96475181774860497</v>
      </c>
      <c r="E28">
        <v>0.98891488808527706</v>
      </c>
      <c r="F28">
        <v>0.99157488371386504</v>
      </c>
    </row>
    <row r="29" spans="1:6" x14ac:dyDescent="0.25">
      <c r="A29">
        <v>1060.9602928161601</v>
      </c>
      <c r="B29" t="s">
        <v>38</v>
      </c>
      <c r="C29">
        <v>0.93017098892740602</v>
      </c>
      <c r="D29">
        <v>0.96382237041527696</v>
      </c>
      <c r="E29">
        <v>0.99393569966083595</v>
      </c>
      <c r="F29">
        <v>0.99047157657824003</v>
      </c>
    </row>
    <row r="30" spans="1:6" x14ac:dyDescent="0.25">
      <c r="A30">
        <v>1068.1722164154</v>
      </c>
      <c r="B30" t="s">
        <v>39</v>
      </c>
      <c r="C30">
        <v>0.92174435028248503</v>
      </c>
      <c r="D30">
        <v>0.95927884491711302</v>
      </c>
      <c r="E30">
        <v>0.98505649099238402</v>
      </c>
      <c r="F30">
        <v>0.99006524560708298</v>
      </c>
    </row>
    <row r="31" spans="1:6" x14ac:dyDescent="0.25">
      <c r="A31">
        <v>1068.91918182373</v>
      </c>
      <c r="B31" t="s">
        <v>40</v>
      </c>
      <c r="C31">
        <v>0.92428331058128799</v>
      </c>
      <c r="D31">
        <v>0.96065200534538797</v>
      </c>
      <c r="E31">
        <v>0.99194221563516805</v>
      </c>
      <c r="F31">
        <v>0.99077079042155303</v>
      </c>
    </row>
    <row r="32" spans="1:6" x14ac:dyDescent="0.25">
      <c r="A32">
        <v>1071.9118118286101</v>
      </c>
      <c r="B32" t="s">
        <v>41</v>
      </c>
      <c r="C32">
        <v>0.93082491807664003</v>
      </c>
      <c r="D32">
        <v>0.96417330164131698</v>
      </c>
      <c r="E32">
        <v>0.98699652531555804</v>
      </c>
      <c r="F32">
        <v>0.99272463024707103</v>
      </c>
    </row>
    <row r="33" spans="1:6" x14ac:dyDescent="0.25">
      <c r="A33">
        <v>1065.2794837951601</v>
      </c>
      <c r="B33" t="s">
        <v>42</v>
      </c>
      <c r="C33">
        <v>0.92857957486380005</v>
      </c>
      <c r="D33">
        <v>0.96296734339248402</v>
      </c>
      <c r="E33">
        <v>0.99347668972508196</v>
      </c>
      <c r="F33">
        <v>0.99209583508043697</v>
      </c>
    </row>
    <row r="34" spans="1:6" x14ac:dyDescent="0.25">
      <c r="A34">
        <v>1065.14048576354</v>
      </c>
      <c r="B34" t="s">
        <v>43</v>
      </c>
      <c r="C34">
        <v>0.93259511077847002</v>
      </c>
      <c r="D34">
        <v>0.96512208436956104</v>
      </c>
      <c r="E34">
        <v>0.99322942176380702</v>
      </c>
      <c r="F34">
        <v>0.99283179928190901</v>
      </c>
    </row>
    <row r="35" spans="1:6" x14ac:dyDescent="0.25">
      <c r="A35">
        <v>1071.59399986267</v>
      </c>
      <c r="B35" t="s">
        <v>44</v>
      </c>
      <c r="C35">
        <v>0.94010587170021498</v>
      </c>
      <c r="D35">
        <v>0.96912842274566402</v>
      </c>
      <c r="E35">
        <v>0.98485909840491503</v>
      </c>
      <c r="F35">
        <v>0.99284280276019399</v>
      </c>
    </row>
    <row r="36" spans="1:6" x14ac:dyDescent="0.25">
      <c r="A36">
        <v>1068.1927204132</v>
      </c>
      <c r="B36" t="s">
        <v>45</v>
      </c>
      <c r="C36">
        <v>0.93419179594445401</v>
      </c>
      <c r="D36">
        <v>0.96597638135290897</v>
      </c>
      <c r="E36">
        <v>0.99224728462108103</v>
      </c>
      <c r="F36">
        <v>0.99123341574677004</v>
      </c>
    </row>
    <row r="37" spans="1:6" x14ac:dyDescent="0.25">
      <c r="A37">
        <v>1069.7243213653501</v>
      </c>
      <c r="B37" t="s">
        <v>46</v>
      </c>
      <c r="C37">
        <v>0.92364950472241403</v>
      </c>
      <c r="D37">
        <v>0.960309559984731</v>
      </c>
      <c r="E37">
        <v>0.97296600465606498</v>
      </c>
      <c r="F37">
        <v>0.99231923028673297</v>
      </c>
    </row>
    <row r="38" spans="1:6" x14ac:dyDescent="0.25">
      <c r="A38">
        <v>1062.7968311309801</v>
      </c>
      <c r="B38" t="s">
        <v>47</v>
      </c>
      <c r="C38">
        <v>0.93253533785439902</v>
      </c>
      <c r="D38">
        <v>0.96509007580658102</v>
      </c>
      <c r="E38">
        <v>0.99126273460773495</v>
      </c>
      <c r="F38">
        <v>0.99223193423873202</v>
      </c>
    </row>
    <row r="39" spans="1:6" x14ac:dyDescent="0.25">
      <c r="A39">
        <v>1070.0466632842999</v>
      </c>
      <c r="B39" t="s">
        <v>48</v>
      </c>
      <c r="C39">
        <v>0.94047564345776902</v>
      </c>
      <c r="D39">
        <v>0.969324862827876</v>
      </c>
      <c r="E39">
        <v>0.99471652526486798</v>
      </c>
      <c r="F39">
        <v>0.99081634683629904</v>
      </c>
    </row>
    <row r="40" spans="1:6" x14ac:dyDescent="0.25">
      <c r="A40">
        <v>1068.4549808502099</v>
      </c>
      <c r="B40" t="s">
        <v>49</v>
      </c>
      <c r="C40">
        <v>0.91151124500805702</v>
      </c>
      <c r="D40">
        <v>0.95370743686544701</v>
      </c>
      <c r="E40">
        <v>0.98974069163388101</v>
      </c>
      <c r="F40">
        <v>0.99174439294055095</v>
      </c>
    </row>
    <row r="41" spans="1:6" x14ac:dyDescent="0.25">
      <c r="A41">
        <v>1069.9610710144</v>
      </c>
      <c r="B41" t="s">
        <v>50</v>
      </c>
      <c r="C41">
        <v>0.93017033858391296</v>
      </c>
      <c r="D41">
        <v>0.96382202128993499</v>
      </c>
      <c r="E41">
        <v>0.98262744366357702</v>
      </c>
      <c r="F41">
        <v>0.99097099677496003</v>
      </c>
    </row>
    <row r="42" spans="1:6" x14ac:dyDescent="0.25">
      <c r="A42">
        <v>1062.92629241943</v>
      </c>
      <c r="B42" t="s">
        <v>51</v>
      </c>
      <c r="C42">
        <v>0.93961470656952895</v>
      </c>
      <c r="D42">
        <v>0.96886737699712</v>
      </c>
      <c r="E42">
        <v>0.99485011356736397</v>
      </c>
      <c r="F42">
        <v>0.99143114704837798</v>
      </c>
    </row>
    <row r="43" spans="1:6" x14ac:dyDescent="0.25">
      <c r="A43">
        <v>1069.19312477111</v>
      </c>
      <c r="B43" t="s">
        <v>52</v>
      </c>
      <c r="C43">
        <v>0.93529169947255097</v>
      </c>
      <c r="D43">
        <v>0.96656405825277603</v>
      </c>
      <c r="E43">
        <v>0.986427201446197</v>
      </c>
      <c r="F43">
        <v>0.99184653066592099</v>
      </c>
    </row>
    <row r="44" spans="1:6" x14ac:dyDescent="0.25">
      <c r="A44">
        <v>1073.91762733459</v>
      </c>
      <c r="B44" t="s">
        <v>53</v>
      </c>
      <c r="C44">
        <v>0.92171545937871502</v>
      </c>
      <c r="D44">
        <v>0.959263198805408</v>
      </c>
      <c r="E44">
        <v>0.99329619588240203</v>
      </c>
      <c r="F44">
        <v>0.99231464169230899</v>
      </c>
    </row>
    <row r="45" spans="1:6" x14ac:dyDescent="0.25">
      <c r="A45">
        <v>1069.9744224548299</v>
      </c>
      <c r="B45" t="s">
        <v>54</v>
      </c>
      <c r="C45">
        <v>0.93070730576761096</v>
      </c>
      <c r="D45">
        <v>0.96411020250175095</v>
      </c>
      <c r="E45">
        <v>0.99165440361239299</v>
      </c>
      <c r="F45">
        <v>0.99315645665194097</v>
      </c>
    </row>
    <row r="46" spans="1:6" x14ac:dyDescent="0.25">
      <c r="A46">
        <v>1069.4451332092201</v>
      </c>
      <c r="B46" t="s">
        <v>55</v>
      </c>
      <c r="C46">
        <v>0.93137261592002396</v>
      </c>
      <c r="D46">
        <v>0.96446704094575497</v>
      </c>
      <c r="E46">
        <v>0.97848575873366295</v>
      </c>
      <c r="F46">
        <v>0.992238366624976</v>
      </c>
    </row>
    <row r="47" spans="1:6" x14ac:dyDescent="0.25">
      <c r="A47">
        <v>1068.20225715637</v>
      </c>
      <c r="B47" t="s">
        <v>56</v>
      </c>
      <c r="C47">
        <v>0.93979533497356504</v>
      </c>
      <c r="D47">
        <v>0.96896339322970104</v>
      </c>
      <c r="E47">
        <v>0.99196512116732805</v>
      </c>
      <c r="F47">
        <v>0.990914377412345</v>
      </c>
    </row>
    <row r="48" spans="1:6" x14ac:dyDescent="0.25">
      <c r="A48">
        <v>1064.86988067626</v>
      </c>
      <c r="B48" t="s">
        <v>57</v>
      </c>
      <c r="C48">
        <v>0.92743547689571004</v>
      </c>
      <c r="D48">
        <v>0.96235177572783803</v>
      </c>
      <c r="E48">
        <v>0.98975069010858796</v>
      </c>
      <c r="F48">
        <v>0.99173644883634504</v>
      </c>
    </row>
    <row r="49" spans="1:6" x14ac:dyDescent="0.25">
      <c r="A49">
        <v>1069.3087577819799</v>
      </c>
      <c r="B49" t="s">
        <v>58</v>
      </c>
      <c r="C49">
        <v>0.93456393238618596</v>
      </c>
      <c r="D49">
        <v>0.96617528812650699</v>
      </c>
      <c r="E49">
        <v>0.99222871613252395</v>
      </c>
      <c r="F49">
        <v>0.992842584758164</v>
      </c>
    </row>
    <row r="50" spans="1:6" x14ac:dyDescent="0.25">
      <c r="A50">
        <v>1064.4812583923299</v>
      </c>
      <c r="B50" t="s">
        <v>59</v>
      </c>
      <c r="C50">
        <v>0.93761455065080301</v>
      </c>
      <c r="D50">
        <v>0.96780296198320603</v>
      </c>
      <c r="E50">
        <v>0.996105706954448</v>
      </c>
      <c r="F50">
        <v>0.99184686205011297</v>
      </c>
    </row>
    <row r="51" spans="1:6" x14ac:dyDescent="0.25">
      <c r="A51">
        <v>1064.91613388061</v>
      </c>
      <c r="B51" t="s">
        <v>60</v>
      </c>
      <c r="C51">
        <v>0.90828593389700196</v>
      </c>
      <c r="D51">
        <v>0.95193903362495302</v>
      </c>
      <c r="E51">
        <v>0.98994705448696396</v>
      </c>
      <c r="F51">
        <v>0.99160731974349603</v>
      </c>
    </row>
    <row r="52" spans="1:6" x14ac:dyDescent="0.25">
      <c r="A52">
        <v>1068.4995651245099</v>
      </c>
      <c r="B52" t="s">
        <v>61</v>
      </c>
      <c r="C52">
        <v>0.93933250678550995</v>
      </c>
      <c r="D52">
        <v>0.96871733289561202</v>
      </c>
      <c r="E52">
        <v>0.98770905759654204</v>
      </c>
      <c r="F52">
        <v>0.99001466489351997</v>
      </c>
    </row>
    <row r="53" spans="1:6" x14ac:dyDescent="0.25">
      <c r="A53">
        <v>1070.2333450317301</v>
      </c>
      <c r="B53" t="s">
        <v>62</v>
      </c>
      <c r="C53">
        <v>0.94861146150711195</v>
      </c>
      <c r="D53">
        <v>0.97362812468877602</v>
      </c>
      <c r="E53">
        <v>0.99698137836790401</v>
      </c>
      <c r="F53">
        <v>0.99168043093149205</v>
      </c>
    </row>
    <row r="54" spans="1:6" x14ac:dyDescent="0.25">
      <c r="A54">
        <v>1069.20385360717</v>
      </c>
      <c r="B54" t="s">
        <v>63</v>
      </c>
      <c r="C54">
        <v>0.92359189571419698</v>
      </c>
      <c r="D54">
        <v>0.96027842264461505</v>
      </c>
      <c r="E54">
        <v>0.98519295886659697</v>
      </c>
      <c r="F54">
        <v>0.99122065773299795</v>
      </c>
    </row>
    <row r="55" spans="1:6" x14ac:dyDescent="0.25">
      <c r="A55">
        <v>1069.68665122985</v>
      </c>
      <c r="B55" t="s">
        <v>64</v>
      </c>
      <c r="C55">
        <v>0.92795093331662204</v>
      </c>
      <c r="D55">
        <v>0.96262920106611105</v>
      </c>
      <c r="E55">
        <v>0.98345481412608504</v>
      </c>
      <c r="F55">
        <v>0.99223697848764902</v>
      </c>
    </row>
    <row r="56" spans="1:6" x14ac:dyDescent="0.25">
      <c r="A56">
        <v>1064.24903869628</v>
      </c>
      <c r="B56" t="s">
        <v>65</v>
      </c>
      <c r="C56">
        <v>0.92992384224596403</v>
      </c>
      <c r="D56">
        <v>0.96368967716752796</v>
      </c>
      <c r="E56">
        <v>0.99355136334190497</v>
      </c>
      <c r="F56">
        <v>0.99263648021430295</v>
      </c>
    </row>
    <row r="57" spans="1:6" x14ac:dyDescent="0.25">
      <c r="A57">
        <v>1064.5534992217999</v>
      </c>
      <c r="B57" t="s">
        <v>66</v>
      </c>
      <c r="C57">
        <v>0.93435448577680502</v>
      </c>
      <c r="D57">
        <v>0.96606334841628905</v>
      </c>
      <c r="E57">
        <v>0.98929832303618703</v>
      </c>
      <c r="F57">
        <v>0.99255541803116598</v>
      </c>
    </row>
    <row r="58" spans="1:6" x14ac:dyDescent="0.25">
      <c r="A58">
        <v>1069.9498653411799</v>
      </c>
      <c r="B58" t="s">
        <v>67</v>
      </c>
      <c r="C58">
        <v>0.86718242434604198</v>
      </c>
      <c r="D58">
        <v>0.92886738118238399</v>
      </c>
      <c r="E58">
        <v>0.91200294881822497</v>
      </c>
      <c r="F58">
        <v>0.99386671929758996</v>
      </c>
    </row>
    <row r="59" spans="1:6" x14ac:dyDescent="0.25">
      <c r="A59">
        <v>1070.62292098999</v>
      </c>
      <c r="B59" t="s">
        <v>68</v>
      </c>
      <c r="C59">
        <v>0.93292346100593204</v>
      </c>
      <c r="D59">
        <v>0.96529788150061602</v>
      </c>
      <c r="E59">
        <v>0.98282885538298703</v>
      </c>
      <c r="F59">
        <v>0.992275126847044</v>
      </c>
    </row>
    <row r="60" spans="1:6" x14ac:dyDescent="0.25">
      <c r="A60">
        <v>1059.32545661926</v>
      </c>
      <c r="B60" t="s">
        <v>69</v>
      </c>
      <c r="C60">
        <v>0.93251631767741705</v>
      </c>
      <c r="D60">
        <v>0.965079890034932</v>
      </c>
      <c r="E60">
        <v>0.98767981045862197</v>
      </c>
      <c r="F60">
        <v>0.99248599521064096</v>
      </c>
    </row>
    <row r="61" spans="1:6" x14ac:dyDescent="0.25">
      <c r="A61">
        <v>1064.9437904357901</v>
      </c>
      <c r="B61" t="s">
        <v>70</v>
      </c>
      <c r="C61">
        <v>0.87858821554473698</v>
      </c>
      <c r="D61">
        <v>0.93537073029064099</v>
      </c>
      <c r="E61">
        <v>0.96575235037412199</v>
      </c>
      <c r="F61">
        <v>0.98856293787738403</v>
      </c>
    </row>
    <row r="62" spans="1:6" x14ac:dyDescent="0.25">
      <c r="A62">
        <v>1070.18494606018</v>
      </c>
      <c r="B62" t="s">
        <v>71</v>
      </c>
      <c r="C62">
        <v>0.93402074427364501</v>
      </c>
      <c r="D62">
        <v>0.96588492862772501</v>
      </c>
      <c r="E62">
        <v>0.98072942230948101</v>
      </c>
      <c r="F62">
        <v>0.99225770072434005</v>
      </c>
    </row>
    <row r="63" spans="1:6" x14ac:dyDescent="0.25">
      <c r="A63">
        <v>1065.0248527526801</v>
      </c>
      <c r="B63" t="s">
        <v>72</v>
      </c>
      <c r="C63">
        <v>0.93387497349850002</v>
      </c>
      <c r="D63">
        <v>0.96580697955779604</v>
      </c>
      <c r="E63">
        <v>0.98375235299747898</v>
      </c>
      <c r="F63">
        <v>0.99274699849654002</v>
      </c>
    </row>
    <row r="64" spans="1:6" x14ac:dyDescent="0.25">
      <c r="A64">
        <v>1069.79417800903</v>
      </c>
      <c r="B64" t="s">
        <v>73</v>
      </c>
      <c r="C64">
        <v>0.932667154114875</v>
      </c>
      <c r="D64">
        <v>0.96516066114034904</v>
      </c>
      <c r="E64">
        <v>0.99210135158491397</v>
      </c>
      <c r="F64">
        <v>0.99209527689042298</v>
      </c>
    </row>
    <row r="65" spans="1:6" x14ac:dyDescent="0.25">
      <c r="A65">
        <v>1070.0972080230699</v>
      </c>
      <c r="B65" t="s">
        <v>74</v>
      </c>
      <c r="C65">
        <v>0.942988361706949</v>
      </c>
      <c r="D65">
        <v>0.97065775615713601</v>
      </c>
      <c r="E65">
        <v>0.99133182907516104</v>
      </c>
      <c r="F65">
        <v>0.99192378597370401</v>
      </c>
    </row>
    <row r="66" spans="1:6" x14ac:dyDescent="0.25">
      <c r="A66">
        <v>1071.1989402770901</v>
      </c>
      <c r="B66" t="s">
        <v>75</v>
      </c>
      <c r="C66">
        <v>0.93270712607128103</v>
      </c>
      <c r="D66">
        <v>0.965182063531007</v>
      </c>
      <c r="E66">
        <v>0.98102537773214005</v>
      </c>
      <c r="F66">
        <v>0.99225748600142905</v>
      </c>
    </row>
    <row r="67" spans="1:6" x14ac:dyDescent="0.25">
      <c r="A67">
        <v>1069.8921680450401</v>
      </c>
      <c r="B67" t="s">
        <v>76</v>
      </c>
      <c r="C67">
        <v>0.90318476565706296</v>
      </c>
      <c r="D67">
        <v>0.94912988161214495</v>
      </c>
      <c r="E67">
        <v>0.980070809859939</v>
      </c>
      <c r="F67">
        <v>0.99202509913867698</v>
      </c>
    </row>
    <row r="68" spans="1:6" x14ac:dyDescent="0.25">
      <c r="A68">
        <v>1070.7232952117899</v>
      </c>
      <c r="B68" t="s">
        <v>77</v>
      </c>
      <c r="C68">
        <v>0.936023002965226</v>
      </c>
      <c r="D68">
        <v>0.96695442309477397</v>
      </c>
      <c r="E68">
        <v>0.98950368083590601</v>
      </c>
      <c r="F68">
        <v>0.99217345480490005</v>
      </c>
    </row>
    <row r="69" spans="1:6" x14ac:dyDescent="0.25">
      <c r="A69">
        <v>1071.1681842803901</v>
      </c>
      <c r="B69" t="s">
        <v>78</v>
      </c>
      <c r="C69">
        <v>0.92609263279340504</v>
      </c>
      <c r="D69">
        <v>0.961628342298673</v>
      </c>
      <c r="E69">
        <v>0.97455948368132606</v>
      </c>
      <c r="F69">
        <v>0.99290434511393899</v>
      </c>
    </row>
    <row r="70" spans="1:6" x14ac:dyDescent="0.25">
      <c r="A70">
        <v>1069.95630264282</v>
      </c>
      <c r="B70" t="s">
        <v>79</v>
      </c>
      <c r="C70">
        <v>0.93481036904609804</v>
      </c>
      <c r="D70">
        <v>0.966306966306966</v>
      </c>
      <c r="E70">
        <v>0.99081566557421397</v>
      </c>
      <c r="F70">
        <v>0.99344329246809204</v>
      </c>
    </row>
    <row r="71" spans="1:6" x14ac:dyDescent="0.25">
      <c r="A71">
        <v>1070.1367855072001</v>
      </c>
      <c r="B71" t="s">
        <v>80</v>
      </c>
      <c r="C71">
        <v>0.93056787620214299</v>
      </c>
      <c r="D71">
        <v>0.96403538841926295</v>
      </c>
      <c r="E71">
        <v>0.98731643186877205</v>
      </c>
      <c r="F71">
        <v>0.991074688805753</v>
      </c>
    </row>
    <row r="72" spans="1:6" x14ac:dyDescent="0.25">
      <c r="A72">
        <v>1073.27318191528</v>
      </c>
      <c r="B72" t="s">
        <v>81</v>
      </c>
      <c r="C72">
        <v>0.92482843909891099</v>
      </c>
      <c r="D72">
        <v>0.96094635793292804</v>
      </c>
      <c r="E72">
        <v>0.98993770548537796</v>
      </c>
      <c r="F72">
        <v>0.99127863356327295</v>
      </c>
    </row>
    <row r="73" spans="1:6" x14ac:dyDescent="0.25">
      <c r="A73">
        <v>1064.9273395538301</v>
      </c>
      <c r="B73" t="s">
        <v>82</v>
      </c>
      <c r="C73">
        <v>0.92812201519125503</v>
      </c>
      <c r="D73">
        <v>0.96272124676631698</v>
      </c>
      <c r="E73">
        <v>0.97759537535331598</v>
      </c>
      <c r="F73">
        <v>0.99276968031070001</v>
      </c>
    </row>
    <row r="74" spans="1:6" x14ac:dyDescent="0.25">
      <c r="A74">
        <v>1069.4580078125</v>
      </c>
      <c r="B74" t="s">
        <v>83</v>
      </c>
      <c r="C74">
        <v>0.92841400516521799</v>
      </c>
      <c r="D74">
        <v>0.96287830588087397</v>
      </c>
      <c r="E74">
        <v>0.98337050169263096</v>
      </c>
      <c r="F74">
        <v>0.99201336049303002</v>
      </c>
    </row>
    <row r="75" spans="1:6" x14ac:dyDescent="0.25">
      <c r="A75">
        <v>1070.9574222564599</v>
      </c>
      <c r="B75" t="s">
        <v>84</v>
      </c>
      <c r="C75">
        <v>0.91866366480958495</v>
      </c>
      <c r="D75">
        <v>0.95760782012907497</v>
      </c>
      <c r="E75">
        <v>0.98050156292955104</v>
      </c>
      <c r="F75">
        <v>0.993043710666345</v>
      </c>
    </row>
    <row r="76" spans="1:6" x14ac:dyDescent="0.25">
      <c r="A76">
        <v>1071.6795921325599</v>
      </c>
      <c r="B76" t="s">
        <v>85</v>
      </c>
      <c r="C76">
        <v>0.91351358647966396</v>
      </c>
      <c r="D76">
        <v>0.95480229974251296</v>
      </c>
      <c r="E76">
        <v>0.95743642344285995</v>
      </c>
      <c r="F76">
        <v>0.99250780689387497</v>
      </c>
    </row>
    <row r="77" spans="1:6" x14ac:dyDescent="0.25">
      <c r="A77">
        <v>1067.8775310516301</v>
      </c>
      <c r="B77" t="s">
        <v>86</v>
      </c>
      <c r="C77">
        <v>0.93789061095328796</v>
      </c>
      <c r="D77">
        <v>0.96795000259784603</v>
      </c>
      <c r="E77">
        <v>0.98152245905587598</v>
      </c>
      <c r="F77">
        <v>0.99325006115459802</v>
      </c>
    </row>
    <row r="78" spans="1:6" x14ac:dyDescent="0.25">
      <c r="A78" s="1">
        <f>AVERAGE(A4:A77)</f>
        <v>1068.8578566989338</v>
      </c>
      <c r="B78" s="1"/>
      <c r="C78" s="1">
        <f>SUBTOTAL(101,Sam_test4[Column3])</f>
        <v>0.92681062978514528</v>
      </c>
      <c r="D78" s="1">
        <f>SUBTOTAL(101,Sam_test4[Column4])</f>
        <v>0.96196554008696333</v>
      </c>
      <c r="E78" s="1">
        <f>SUBTOTAL(101,Sam_test4[Column5])</f>
        <v>0.98471289929140959</v>
      </c>
      <c r="F78" s="1">
        <f>SUBTOTAL(101,Sam_test4[Column6])</f>
        <v>0.99186071039892643</v>
      </c>
    </row>
    <row r="79" spans="1:6" x14ac:dyDescent="0.25">
      <c r="A79" s="1">
        <f>STDEVA(A4:A77)</f>
        <v>3.470812517770435</v>
      </c>
      <c r="B79" s="1"/>
      <c r="C79" s="1">
        <f>STDEVA(C3:C77)</f>
        <v>1.3332561636319698E-2</v>
      </c>
      <c r="D79" s="1">
        <f>STDEVA(D3:D77)</f>
        <v>7.2855618567733349E-3</v>
      </c>
      <c r="E79" s="1">
        <f>STDEVA(E3:E77)</f>
        <v>1.174715164536229E-2</v>
      </c>
      <c r="F79" s="1">
        <f>STDEVA(F3:F77)</f>
        <v>1.0907084062623858E-3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8F28-3B56-4C4A-AB2E-32D80930B366}">
  <dimension ref="A1:F79"/>
  <sheetViews>
    <sheetView workbookViewId="0">
      <selection activeCell="F77" sqref="F3:F77"/>
    </sheetView>
  </sheetViews>
  <sheetFormatPr defaultRowHeight="15" x14ac:dyDescent="0.25"/>
  <cols>
    <col min="1" max="1" width="17.7109375" bestFit="1" customWidth="1"/>
    <col min="2" max="2" width="11.140625" bestFit="1" customWidth="1"/>
    <col min="3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940.13881683349598</v>
      </c>
      <c r="B3">
        <v>0</v>
      </c>
      <c r="C3">
        <v>0.90685030026250402</v>
      </c>
      <c r="D3">
        <v>0.95114996718689804</v>
      </c>
      <c r="E3">
        <v>0.94903811416184902</v>
      </c>
      <c r="F3">
        <v>0.99325006115459802</v>
      </c>
    </row>
    <row r="4" spans="1:6" x14ac:dyDescent="0.25">
      <c r="A4">
        <v>80.202579498291001</v>
      </c>
      <c r="B4">
        <v>1</v>
      </c>
      <c r="C4">
        <v>0.92905822830907603</v>
      </c>
      <c r="D4">
        <v>0.96322466027730602</v>
      </c>
      <c r="E4">
        <v>0.99188386075509904</v>
      </c>
      <c r="F4">
        <v>0.98923211968045699</v>
      </c>
    </row>
    <row r="5" spans="1:6" x14ac:dyDescent="0.25">
      <c r="A5">
        <v>76.560974121093693</v>
      </c>
      <c r="B5">
        <v>2</v>
      </c>
      <c r="C5">
        <v>0.910142236416979</v>
      </c>
      <c r="D5">
        <v>0.952957553699469</v>
      </c>
      <c r="E5">
        <v>0.97103619880816505</v>
      </c>
      <c r="F5">
        <v>0.99084654547346795</v>
      </c>
    </row>
    <row r="6" spans="1:6" x14ac:dyDescent="0.25">
      <c r="A6">
        <v>78.529357910156193</v>
      </c>
      <c r="B6">
        <v>3</v>
      </c>
      <c r="C6">
        <v>0.92384743711828798</v>
      </c>
      <c r="D6">
        <v>0.96041652710477898</v>
      </c>
      <c r="E6">
        <v>0.97437775629795198</v>
      </c>
      <c r="F6">
        <v>0.99209410665479003</v>
      </c>
    </row>
    <row r="7" spans="1:6" x14ac:dyDescent="0.25">
      <c r="A7">
        <v>76.829433441162095</v>
      </c>
      <c r="B7">
        <v>4</v>
      </c>
      <c r="C7">
        <v>0.89611279412653699</v>
      </c>
      <c r="D7">
        <v>0.94521042936091804</v>
      </c>
      <c r="E7">
        <v>0.94370600926679105</v>
      </c>
      <c r="F7">
        <v>0.99172408623793096</v>
      </c>
    </row>
    <row r="8" spans="1:6" x14ac:dyDescent="0.25">
      <c r="A8">
        <v>76.767921447753906</v>
      </c>
      <c r="B8">
        <v>5</v>
      </c>
      <c r="C8">
        <v>0.90732262452909096</v>
      </c>
      <c r="D8">
        <v>0.95140970160001603</v>
      </c>
      <c r="E8">
        <v>0.97211049290148899</v>
      </c>
      <c r="F8">
        <v>0.98875114530782504</v>
      </c>
    </row>
    <row r="9" spans="1:6" x14ac:dyDescent="0.25">
      <c r="A9">
        <v>76.586961746215806</v>
      </c>
      <c r="B9">
        <v>6</v>
      </c>
      <c r="C9">
        <v>0.91512514384349797</v>
      </c>
      <c r="D9">
        <v>0.95568182244938504</v>
      </c>
      <c r="E9">
        <v>0.98154005183905202</v>
      </c>
      <c r="F9">
        <v>0.98976216178570098</v>
      </c>
    </row>
    <row r="10" spans="1:6" x14ac:dyDescent="0.25">
      <c r="A10">
        <v>76.748847961425696</v>
      </c>
      <c r="B10">
        <v>7</v>
      </c>
      <c r="C10">
        <v>0.84651872072254197</v>
      </c>
      <c r="D10">
        <v>0.91688073478215204</v>
      </c>
      <c r="E10">
        <v>0.90330033893428896</v>
      </c>
      <c r="F10">
        <v>0.99204028399361999</v>
      </c>
    </row>
    <row r="11" spans="1:6" x14ac:dyDescent="0.25">
      <c r="A11">
        <v>76.916933059692298</v>
      </c>
      <c r="B11">
        <v>8</v>
      </c>
      <c r="C11">
        <v>0.89167831196319203</v>
      </c>
      <c r="D11">
        <v>0.942737786149067</v>
      </c>
      <c r="E11">
        <v>0.97853030330206403</v>
      </c>
      <c r="F11">
        <v>0.98840961721109399</v>
      </c>
    </row>
    <row r="12" spans="1:6" x14ac:dyDescent="0.25">
      <c r="A12">
        <v>71.953296661376896</v>
      </c>
      <c r="B12">
        <v>9</v>
      </c>
      <c r="C12">
        <v>0.80237280722308102</v>
      </c>
      <c r="D12">
        <v>0.89035165644703396</v>
      </c>
      <c r="E12">
        <v>0.94781662007436296</v>
      </c>
      <c r="F12">
        <v>0.979103137773362</v>
      </c>
    </row>
    <row r="13" spans="1:6" x14ac:dyDescent="0.25">
      <c r="A13">
        <v>76.703786849975501</v>
      </c>
      <c r="B13">
        <v>10</v>
      </c>
      <c r="C13">
        <v>0.92737909192747503</v>
      </c>
      <c r="D13">
        <v>0.96232141960204598</v>
      </c>
      <c r="E13">
        <v>0.97859112998555198</v>
      </c>
      <c r="F13">
        <v>0.99169747567277</v>
      </c>
    </row>
    <row r="14" spans="1:6" x14ac:dyDescent="0.25">
      <c r="A14">
        <v>76.920032501220703</v>
      </c>
      <c r="B14">
        <v>11</v>
      </c>
      <c r="C14">
        <v>0.93394118670610704</v>
      </c>
      <c r="D14">
        <v>0.96584238768583996</v>
      </c>
      <c r="E14">
        <v>0.98605977322329996</v>
      </c>
      <c r="F14">
        <v>0.99167776261787699</v>
      </c>
    </row>
    <row r="15" spans="1:6" x14ac:dyDescent="0.25">
      <c r="A15">
        <v>76.992988586425696</v>
      </c>
      <c r="B15">
        <v>12</v>
      </c>
      <c r="C15">
        <v>0.89003716887254403</v>
      </c>
      <c r="D15">
        <v>0.94181975204590695</v>
      </c>
      <c r="E15">
        <v>0.98370900080422496</v>
      </c>
      <c r="F15">
        <v>0.98987624429989896</v>
      </c>
    </row>
    <row r="16" spans="1:6" x14ac:dyDescent="0.25">
      <c r="A16">
        <v>76.573371887207003</v>
      </c>
      <c r="B16">
        <v>13</v>
      </c>
      <c r="C16">
        <v>0.93880010513022605</v>
      </c>
      <c r="D16">
        <v>0.96843413887391805</v>
      </c>
      <c r="E16">
        <v>0.99566922977557504</v>
      </c>
      <c r="F16">
        <v>0.99011635194661196</v>
      </c>
    </row>
    <row r="17" spans="1:6" x14ac:dyDescent="0.25">
      <c r="A17">
        <v>76.094865798950195</v>
      </c>
      <c r="B17">
        <v>14</v>
      </c>
      <c r="C17">
        <v>0.89966691717464098</v>
      </c>
      <c r="D17">
        <v>0.94718385527575299</v>
      </c>
      <c r="E17">
        <v>0.97172032989608004</v>
      </c>
      <c r="F17">
        <v>0.991576613085971</v>
      </c>
    </row>
    <row r="18" spans="1:6" x14ac:dyDescent="0.25">
      <c r="A18">
        <v>76.858043670654297</v>
      </c>
      <c r="B18">
        <v>15</v>
      </c>
      <c r="C18">
        <v>0.89760876589994398</v>
      </c>
      <c r="D18">
        <v>0.94604196821809206</v>
      </c>
      <c r="E18">
        <v>0.94931920743784304</v>
      </c>
      <c r="F18">
        <v>0.99193654472733495</v>
      </c>
    </row>
    <row r="19" spans="1:6" x14ac:dyDescent="0.25">
      <c r="A19">
        <v>76.701879501342702</v>
      </c>
      <c r="B19">
        <v>16</v>
      </c>
      <c r="C19">
        <v>0.90104230296873</v>
      </c>
      <c r="D19">
        <v>0.94794555761503296</v>
      </c>
      <c r="E19">
        <v>0.960781893850573</v>
      </c>
      <c r="F19">
        <v>0.98928798914397997</v>
      </c>
    </row>
    <row r="20" spans="1:6" x14ac:dyDescent="0.25">
      <c r="A20">
        <v>78.550815582275305</v>
      </c>
      <c r="B20">
        <v>17</v>
      </c>
      <c r="C20">
        <v>0.91595349663757797</v>
      </c>
      <c r="D20">
        <v>0.95613332812621998</v>
      </c>
      <c r="E20">
        <v>0.98706835728828501</v>
      </c>
      <c r="F20">
        <v>0.99188612984298896</v>
      </c>
    </row>
    <row r="21" spans="1:6" x14ac:dyDescent="0.25">
      <c r="A21">
        <v>71.302652359008704</v>
      </c>
      <c r="B21">
        <v>18</v>
      </c>
      <c r="C21">
        <v>0.91854439457733705</v>
      </c>
      <c r="D21">
        <v>0.95754301768940397</v>
      </c>
      <c r="E21">
        <v>0.98277270364594904</v>
      </c>
      <c r="F21">
        <v>0.99086128235348603</v>
      </c>
    </row>
    <row r="22" spans="1:6" x14ac:dyDescent="0.25">
      <c r="A22">
        <v>76.771974563598604</v>
      </c>
      <c r="B22">
        <v>19</v>
      </c>
      <c r="C22">
        <v>0.889362407598837</v>
      </c>
      <c r="D22">
        <v>0.941441836697825</v>
      </c>
      <c r="E22">
        <v>0.96582436668643501</v>
      </c>
      <c r="F22">
        <v>0.99149192162254995</v>
      </c>
    </row>
    <row r="23" spans="1:6" x14ac:dyDescent="0.25">
      <c r="A23">
        <v>76.587438583373995</v>
      </c>
      <c r="B23">
        <v>20</v>
      </c>
      <c r="C23">
        <v>0.89667254379712602</v>
      </c>
      <c r="D23">
        <v>0.94552172089969</v>
      </c>
      <c r="E23">
        <v>0.95462242599485603</v>
      </c>
      <c r="F23">
        <v>0.99123764595801001</v>
      </c>
    </row>
    <row r="24" spans="1:6" x14ac:dyDescent="0.25">
      <c r="A24">
        <v>76.452255249023395</v>
      </c>
      <c r="B24">
        <v>21</v>
      </c>
      <c r="C24">
        <v>0.87584957681456699</v>
      </c>
      <c r="D24">
        <v>0.93381642924895103</v>
      </c>
      <c r="E24">
        <v>0.95632236214546296</v>
      </c>
      <c r="F24">
        <v>0.98876279424214897</v>
      </c>
    </row>
    <row r="25" spans="1:6" x14ac:dyDescent="0.25">
      <c r="A25">
        <v>76.536178588867102</v>
      </c>
      <c r="B25">
        <v>22</v>
      </c>
      <c r="C25">
        <v>0.92141392529196697</v>
      </c>
      <c r="D25">
        <v>0.95909987240459305</v>
      </c>
      <c r="E25">
        <v>0.981116339621106</v>
      </c>
      <c r="F25">
        <v>0.98939511305146799</v>
      </c>
    </row>
    <row r="26" spans="1:6" x14ac:dyDescent="0.25">
      <c r="A26">
        <v>76.961040496826101</v>
      </c>
      <c r="B26">
        <v>23</v>
      </c>
      <c r="C26">
        <v>0.91857903979521904</v>
      </c>
      <c r="D26">
        <v>0.95756184211546902</v>
      </c>
      <c r="E26">
        <v>0.97717090160690201</v>
      </c>
      <c r="F26">
        <v>0.99126263491519595</v>
      </c>
    </row>
    <row r="27" spans="1:6" x14ac:dyDescent="0.25">
      <c r="A27">
        <v>76.879978179931598</v>
      </c>
      <c r="B27">
        <v>24</v>
      </c>
      <c r="C27">
        <v>0.89233278955954298</v>
      </c>
      <c r="D27">
        <v>0.94310344827586201</v>
      </c>
      <c r="E27">
        <v>0.95135904327952703</v>
      </c>
      <c r="F27">
        <v>0.98987941950707803</v>
      </c>
    </row>
    <row r="28" spans="1:6" x14ac:dyDescent="0.25">
      <c r="A28">
        <v>71.777582168579102</v>
      </c>
      <c r="B28">
        <v>25</v>
      </c>
      <c r="C28">
        <v>0.88636912136180002</v>
      </c>
      <c r="D28">
        <v>0.93976211900872897</v>
      </c>
      <c r="E28">
        <v>0.95693900416018896</v>
      </c>
      <c r="F28">
        <v>0.99017930508432805</v>
      </c>
    </row>
    <row r="29" spans="1:6" x14ac:dyDescent="0.25">
      <c r="A29">
        <v>77.797651290893498</v>
      </c>
      <c r="B29">
        <v>26</v>
      </c>
      <c r="C29">
        <v>0.91966056255331396</v>
      </c>
      <c r="D29">
        <v>0.95814914416961905</v>
      </c>
      <c r="E29">
        <v>0.974995302076482</v>
      </c>
      <c r="F29">
        <v>0.98833412274789101</v>
      </c>
    </row>
    <row r="30" spans="1:6" x14ac:dyDescent="0.25">
      <c r="A30">
        <v>76.508045196533203</v>
      </c>
      <c r="B30">
        <v>27</v>
      </c>
      <c r="C30">
        <v>0.92239614933462699</v>
      </c>
      <c r="D30">
        <v>0.95963170718364499</v>
      </c>
      <c r="E30">
        <v>0.98536071070552</v>
      </c>
      <c r="F30">
        <v>0.99153249147781997</v>
      </c>
    </row>
    <row r="31" spans="1:6" x14ac:dyDescent="0.25">
      <c r="A31">
        <v>76.718091964721594</v>
      </c>
      <c r="B31">
        <v>28</v>
      </c>
      <c r="C31">
        <v>0.88974308330421303</v>
      </c>
      <c r="D31">
        <v>0.94165507593603504</v>
      </c>
      <c r="E31">
        <v>0.96027679164377799</v>
      </c>
      <c r="F31">
        <v>0.98956515545425405</v>
      </c>
    </row>
    <row r="32" spans="1:6" x14ac:dyDescent="0.25">
      <c r="A32">
        <v>69.776058197021399</v>
      </c>
      <c r="B32">
        <v>29</v>
      </c>
      <c r="C32">
        <v>0.92275670307845004</v>
      </c>
      <c r="D32">
        <v>0.95982679618389599</v>
      </c>
      <c r="E32">
        <v>0.990356658680286</v>
      </c>
      <c r="F32">
        <v>0.99077411727565801</v>
      </c>
    </row>
    <row r="33" spans="1:6" x14ac:dyDescent="0.25">
      <c r="A33">
        <v>76.580047607421804</v>
      </c>
      <c r="B33">
        <v>30</v>
      </c>
      <c r="C33">
        <v>0.75646660529207299</v>
      </c>
      <c r="D33">
        <v>0.86135039859329898</v>
      </c>
      <c r="E33">
        <v>0.96343504448878003</v>
      </c>
      <c r="F33">
        <v>0.96931012209130196</v>
      </c>
    </row>
    <row r="34" spans="1:6" x14ac:dyDescent="0.25">
      <c r="A34">
        <v>76.812744140625</v>
      </c>
      <c r="B34">
        <v>31</v>
      </c>
      <c r="C34">
        <v>0.91201628104324794</v>
      </c>
      <c r="D34">
        <v>0.95398380242413705</v>
      </c>
      <c r="E34">
        <v>0.973366568350859</v>
      </c>
      <c r="F34">
        <v>0.99091477882850099</v>
      </c>
    </row>
    <row r="35" spans="1:6" x14ac:dyDescent="0.25">
      <c r="A35">
        <v>76.7080783843994</v>
      </c>
      <c r="B35">
        <v>32</v>
      </c>
      <c r="C35">
        <v>0.88878025515679004</v>
      </c>
      <c r="D35">
        <v>0.94111557205262197</v>
      </c>
      <c r="E35">
        <v>0.96740785603045498</v>
      </c>
      <c r="F35">
        <v>0.98904068184643801</v>
      </c>
    </row>
    <row r="36" spans="1:6" x14ac:dyDescent="0.25">
      <c r="A36">
        <v>71.544647216796804</v>
      </c>
      <c r="B36">
        <v>33</v>
      </c>
      <c r="C36">
        <v>0.895733541272139</v>
      </c>
      <c r="D36">
        <v>0.94499941238688401</v>
      </c>
      <c r="E36">
        <v>0.95422720260396299</v>
      </c>
      <c r="F36">
        <v>0.99172148781111502</v>
      </c>
    </row>
    <row r="37" spans="1:6" x14ac:dyDescent="0.25">
      <c r="A37">
        <v>76.534032821655202</v>
      </c>
      <c r="B37">
        <v>34</v>
      </c>
      <c r="C37">
        <v>0.91593788761363404</v>
      </c>
      <c r="D37">
        <v>0.956124823810928</v>
      </c>
      <c r="E37">
        <v>0.99379908349091095</v>
      </c>
      <c r="F37">
        <v>0.98928234680091998</v>
      </c>
    </row>
    <row r="38" spans="1:6" x14ac:dyDescent="0.25">
      <c r="A38">
        <v>71.831464767455998</v>
      </c>
      <c r="B38">
        <v>35</v>
      </c>
      <c r="C38">
        <v>0.91468307672711602</v>
      </c>
      <c r="D38">
        <v>0.95544070749362797</v>
      </c>
      <c r="E38">
        <v>0.97509165591689795</v>
      </c>
      <c r="F38">
        <v>0.99163894690698995</v>
      </c>
    </row>
    <row r="39" spans="1:6" x14ac:dyDescent="0.25">
      <c r="A39">
        <v>76.372146606445298</v>
      </c>
      <c r="B39">
        <v>36</v>
      </c>
      <c r="C39">
        <v>0.90264019675784302</v>
      </c>
      <c r="D39">
        <v>0.94882910420579702</v>
      </c>
      <c r="E39">
        <v>0.97197246263360804</v>
      </c>
      <c r="F39">
        <v>0.98848653728688396</v>
      </c>
    </row>
    <row r="40" spans="1:6" x14ac:dyDescent="0.25">
      <c r="A40">
        <v>76.533555984496999</v>
      </c>
      <c r="B40">
        <v>37</v>
      </c>
      <c r="C40">
        <v>0.90445554719047205</v>
      </c>
      <c r="D40">
        <v>0.94983109322216597</v>
      </c>
      <c r="E40">
        <v>0.96998834766173303</v>
      </c>
      <c r="F40">
        <v>0.99159522555170598</v>
      </c>
    </row>
    <row r="41" spans="1:6" x14ac:dyDescent="0.25">
      <c r="A41">
        <v>71.828842163085895</v>
      </c>
      <c r="B41">
        <v>38</v>
      </c>
      <c r="C41">
        <v>0.88044643677691403</v>
      </c>
      <c r="D41">
        <v>0.93642277658915896</v>
      </c>
      <c r="E41">
        <v>0.96310568996715995</v>
      </c>
      <c r="F41">
        <v>0.99123611907616904</v>
      </c>
    </row>
    <row r="42" spans="1:6" x14ac:dyDescent="0.25">
      <c r="A42">
        <v>76.462507247924805</v>
      </c>
      <c r="B42">
        <v>39</v>
      </c>
      <c r="C42">
        <v>0.905306116763819</v>
      </c>
      <c r="D42">
        <v>0.95029991117804202</v>
      </c>
      <c r="E42">
        <v>0.97100258451977195</v>
      </c>
      <c r="F42">
        <v>0.98937905459920195</v>
      </c>
    </row>
    <row r="43" spans="1:6" x14ac:dyDescent="0.25">
      <c r="A43">
        <v>76.531410217285099</v>
      </c>
      <c r="B43">
        <v>40</v>
      </c>
      <c r="C43">
        <v>0.90786376293028004</v>
      </c>
      <c r="D43">
        <v>0.95170711931327401</v>
      </c>
      <c r="E43">
        <v>0.96020686171991099</v>
      </c>
      <c r="F43">
        <v>0.99107377871561497</v>
      </c>
    </row>
    <row r="44" spans="1:6" x14ac:dyDescent="0.25">
      <c r="A44">
        <v>76.613664627075195</v>
      </c>
      <c r="B44">
        <v>41</v>
      </c>
      <c r="C44">
        <v>0.91119191114210196</v>
      </c>
      <c r="D44">
        <v>0.95353261577754</v>
      </c>
      <c r="E44">
        <v>0.97294709970216897</v>
      </c>
      <c r="F44">
        <v>0.99182910147901104</v>
      </c>
    </row>
    <row r="45" spans="1:6" x14ac:dyDescent="0.25">
      <c r="A45">
        <v>71.2933540344238</v>
      </c>
      <c r="B45">
        <v>42</v>
      </c>
      <c r="C45">
        <v>0.89411581110253702</v>
      </c>
      <c r="D45">
        <v>0.94409835540318399</v>
      </c>
      <c r="E45">
        <v>0.967984156334181</v>
      </c>
      <c r="F45">
        <v>0.99065639811684203</v>
      </c>
    </row>
    <row r="46" spans="1:6" x14ac:dyDescent="0.25">
      <c r="A46">
        <v>76.9107341766357</v>
      </c>
      <c r="B46">
        <v>43</v>
      </c>
      <c r="C46">
        <v>0.92546527297228398</v>
      </c>
      <c r="D46">
        <v>0.96129001749657095</v>
      </c>
      <c r="E46">
        <v>0.98264644179548899</v>
      </c>
      <c r="F46">
        <v>0.993238031654603</v>
      </c>
    </row>
    <row r="47" spans="1:6" x14ac:dyDescent="0.25">
      <c r="A47">
        <v>76.370716094970703</v>
      </c>
      <c r="B47">
        <v>44</v>
      </c>
      <c r="C47">
        <v>0.93542397206563299</v>
      </c>
      <c r="D47">
        <v>0.96663468631865401</v>
      </c>
      <c r="E47">
        <v>0.98860846585667095</v>
      </c>
      <c r="F47">
        <v>0.99210143872858303</v>
      </c>
    </row>
    <row r="48" spans="1:6" x14ac:dyDescent="0.25">
      <c r="A48">
        <v>76.517820358276296</v>
      </c>
      <c r="B48">
        <v>45</v>
      </c>
      <c r="C48">
        <v>0.90894048501535496</v>
      </c>
      <c r="D48">
        <v>0.95229840023854195</v>
      </c>
      <c r="E48">
        <v>0.98344337663453596</v>
      </c>
      <c r="F48">
        <v>0.98740722648729096</v>
      </c>
    </row>
    <row r="49" spans="1:6" x14ac:dyDescent="0.25">
      <c r="A49">
        <v>76.781272888183594</v>
      </c>
      <c r="B49">
        <v>46</v>
      </c>
      <c r="C49">
        <v>0.91017046845267702</v>
      </c>
      <c r="D49">
        <v>0.95297302883124901</v>
      </c>
      <c r="E49">
        <v>0.96468441930138704</v>
      </c>
      <c r="F49">
        <v>0.99229669716989399</v>
      </c>
    </row>
    <row r="50" spans="1:6" x14ac:dyDescent="0.25">
      <c r="A50">
        <v>71.690320968627901</v>
      </c>
      <c r="B50">
        <v>47</v>
      </c>
      <c r="C50">
        <v>0.91669022110781795</v>
      </c>
      <c r="D50">
        <v>0.95653456256273395</v>
      </c>
      <c r="E50">
        <v>0.98680826838892</v>
      </c>
      <c r="F50">
        <v>0.991768195425343</v>
      </c>
    </row>
    <row r="51" spans="1:6" x14ac:dyDescent="0.25">
      <c r="A51">
        <v>76.895713806152301</v>
      </c>
      <c r="B51">
        <v>48</v>
      </c>
      <c r="C51">
        <v>0.90337142051065</v>
      </c>
      <c r="D51">
        <v>0.94923293559623501</v>
      </c>
      <c r="E51">
        <v>0.97125220859779604</v>
      </c>
      <c r="F51">
        <v>0.98919063384622097</v>
      </c>
    </row>
    <row r="52" spans="1:6" x14ac:dyDescent="0.25">
      <c r="A52">
        <v>76.961278915405202</v>
      </c>
      <c r="B52">
        <v>49</v>
      </c>
      <c r="C52">
        <v>0.91673994474717302</v>
      </c>
      <c r="D52">
        <v>0.95656163190995103</v>
      </c>
      <c r="E52">
        <v>0.97111632682998295</v>
      </c>
      <c r="F52">
        <v>0.99113496945965696</v>
      </c>
    </row>
    <row r="53" spans="1:6" x14ac:dyDescent="0.25">
      <c r="A53">
        <v>66.978216171264606</v>
      </c>
      <c r="B53">
        <v>50</v>
      </c>
      <c r="C53">
        <v>0.75040233447928195</v>
      </c>
      <c r="D53">
        <v>0.85740554579700701</v>
      </c>
      <c r="E53">
        <v>0.94899227875668102</v>
      </c>
      <c r="F53">
        <v>0.96376670956661603</v>
      </c>
    </row>
    <row r="54" spans="1:6" x14ac:dyDescent="0.25">
      <c r="A54">
        <v>71.787595748901296</v>
      </c>
      <c r="B54">
        <v>51</v>
      </c>
      <c r="C54">
        <v>0.90459618300872802</v>
      </c>
      <c r="D54">
        <v>0.94990863793470304</v>
      </c>
      <c r="E54">
        <v>0.97034504988718195</v>
      </c>
      <c r="F54">
        <v>0.98940530499631196</v>
      </c>
    </row>
    <row r="55" spans="1:6" x14ac:dyDescent="0.25">
      <c r="A55">
        <v>66.886901855468693</v>
      </c>
      <c r="B55">
        <v>52</v>
      </c>
      <c r="C55">
        <v>0.91707439773455601</v>
      </c>
      <c r="D55">
        <v>0.95674367026995</v>
      </c>
      <c r="E55">
        <v>0.98163073876565499</v>
      </c>
      <c r="F55">
        <v>0.99131704515993502</v>
      </c>
    </row>
    <row r="56" spans="1:6" x14ac:dyDescent="0.25">
      <c r="A56">
        <v>76.411247253417898</v>
      </c>
      <c r="B56">
        <v>53</v>
      </c>
      <c r="C56">
        <v>0.89178980939060404</v>
      </c>
      <c r="D56">
        <v>0.94280009857741298</v>
      </c>
      <c r="E56">
        <v>0.95906058800447602</v>
      </c>
      <c r="F56">
        <v>0.98860430447946002</v>
      </c>
    </row>
    <row r="57" spans="1:6" x14ac:dyDescent="0.25">
      <c r="A57">
        <v>71.723937988281193</v>
      </c>
      <c r="B57">
        <v>54</v>
      </c>
      <c r="C57">
        <v>0.89630742326749302</v>
      </c>
      <c r="D57">
        <v>0.94531868859436496</v>
      </c>
      <c r="E57">
        <v>0.95761805145238799</v>
      </c>
      <c r="F57">
        <v>0.99072166734897604</v>
      </c>
    </row>
    <row r="58" spans="1:6" x14ac:dyDescent="0.25">
      <c r="A58">
        <v>76.638221740722599</v>
      </c>
      <c r="B58">
        <v>55</v>
      </c>
      <c r="C58">
        <v>0.89542908864626303</v>
      </c>
      <c r="D58">
        <v>0.94482995329124997</v>
      </c>
      <c r="E58">
        <v>0.96699011332511897</v>
      </c>
      <c r="F58">
        <v>0.99174105052490402</v>
      </c>
    </row>
    <row r="59" spans="1:6" x14ac:dyDescent="0.25">
      <c r="A59">
        <v>76.568603515625</v>
      </c>
      <c r="B59">
        <v>56</v>
      </c>
      <c r="C59">
        <v>0.90429847155173704</v>
      </c>
      <c r="D59">
        <v>0.94974447027189002</v>
      </c>
      <c r="E59">
        <v>0.97348453402845803</v>
      </c>
      <c r="F59">
        <v>0.99007022813909396</v>
      </c>
    </row>
    <row r="60" spans="1:6" x14ac:dyDescent="0.25">
      <c r="A60">
        <v>66.620111465454102</v>
      </c>
      <c r="B60">
        <v>57</v>
      </c>
      <c r="C60">
        <v>0.88980331485381103</v>
      </c>
      <c r="D60">
        <v>0.94168880735892102</v>
      </c>
      <c r="E60">
        <v>0.970827276847814</v>
      </c>
      <c r="F60">
        <v>0.98734322962718302</v>
      </c>
    </row>
    <row r="61" spans="1:6" x14ac:dyDescent="0.25">
      <c r="A61">
        <v>77.394485473632798</v>
      </c>
      <c r="B61">
        <v>58</v>
      </c>
      <c r="C61">
        <v>0.86569946506727102</v>
      </c>
      <c r="D61">
        <v>0.92801598679351804</v>
      </c>
      <c r="E61">
        <v>0.95134605535638705</v>
      </c>
      <c r="F61">
        <v>0.990731759213482</v>
      </c>
    </row>
    <row r="62" spans="1:6" x14ac:dyDescent="0.25">
      <c r="A62">
        <v>73.488712310791001</v>
      </c>
      <c r="B62">
        <v>59</v>
      </c>
      <c r="C62">
        <v>0.90547596949275599</v>
      </c>
      <c r="D62">
        <v>0.950393480673279</v>
      </c>
      <c r="E62">
        <v>0.97697606172226703</v>
      </c>
      <c r="F62">
        <v>0.99028850674546098</v>
      </c>
    </row>
    <row r="63" spans="1:6" x14ac:dyDescent="0.25">
      <c r="A63">
        <v>68.8214302062988</v>
      </c>
      <c r="B63">
        <v>60</v>
      </c>
      <c r="C63">
        <v>0.89586610457434002</v>
      </c>
      <c r="D63">
        <v>0.94507318044538802</v>
      </c>
      <c r="E63">
        <v>0.96381790489084396</v>
      </c>
      <c r="F63">
        <v>0.99036539280048497</v>
      </c>
    </row>
    <row r="64" spans="1:6" x14ac:dyDescent="0.25">
      <c r="A64">
        <v>71.733236312866197</v>
      </c>
      <c r="B64">
        <v>61</v>
      </c>
      <c r="C64">
        <v>0.90552453937225896</v>
      </c>
      <c r="D64">
        <v>0.95042023407430598</v>
      </c>
      <c r="E64">
        <v>0.96511182720224598</v>
      </c>
      <c r="F64">
        <v>0.99106373022647198</v>
      </c>
    </row>
    <row r="65" spans="1:6" x14ac:dyDescent="0.25">
      <c r="A65">
        <v>73.711395263671804</v>
      </c>
      <c r="B65">
        <v>62</v>
      </c>
      <c r="C65">
        <v>0.88158938744216298</v>
      </c>
      <c r="D65">
        <v>0.93706883481161396</v>
      </c>
      <c r="E65">
        <v>0.95108345435834296</v>
      </c>
      <c r="F65">
        <v>0.99132333901120295</v>
      </c>
    </row>
    <row r="66" spans="1:6" x14ac:dyDescent="0.25">
      <c r="A66">
        <v>77.289104461669893</v>
      </c>
      <c r="B66">
        <v>63</v>
      </c>
      <c r="C66">
        <v>0.91461850747114604</v>
      </c>
      <c r="D66">
        <v>0.95540548041519402</v>
      </c>
      <c r="E66">
        <v>0.975641461663454</v>
      </c>
      <c r="F66">
        <v>0.99036519070439499</v>
      </c>
    </row>
    <row r="67" spans="1:6" x14ac:dyDescent="0.25">
      <c r="A67">
        <v>76.513528823852496</v>
      </c>
      <c r="B67">
        <v>64</v>
      </c>
      <c r="C67">
        <v>0.89483590261708401</v>
      </c>
      <c r="D67">
        <v>0.944499628048177</v>
      </c>
      <c r="E67">
        <v>0.96177423592258504</v>
      </c>
      <c r="F67">
        <v>0.99085816782357605</v>
      </c>
    </row>
    <row r="68" spans="1:6" x14ac:dyDescent="0.25">
      <c r="A68">
        <v>76.954603195190401</v>
      </c>
      <c r="B68">
        <v>65</v>
      </c>
      <c r="C68">
        <v>0.89428462879798898</v>
      </c>
      <c r="D68">
        <v>0.94419245682783504</v>
      </c>
      <c r="E68">
        <v>0.96823220444453795</v>
      </c>
      <c r="F68">
        <v>0.99177992855667496</v>
      </c>
    </row>
    <row r="69" spans="1:6" x14ac:dyDescent="0.25">
      <c r="A69">
        <v>76.632499694824205</v>
      </c>
      <c r="B69">
        <v>66</v>
      </c>
      <c r="C69">
        <v>0.90904198424497595</v>
      </c>
      <c r="D69">
        <v>0.95235410404501997</v>
      </c>
      <c r="E69">
        <v>0.96875022403200195</v>
      </c>
      <c r="F69">
        <v>0.98992175666355298</v>
      </c>
    </row>
    <row r="70" spans="1:6" x14ac:dyDescent="0.25">
      <c r="A70">
        <v>76.787948608398395</v>
      </c>
      <c r="B70">
        <v>67</v>
      </c>
      <c r="C70">
        <v>0.87376831104278296</v>
      </c>
      <c r="D70">
        <v>0.93263217858190395</v>
      </c>
      <c r="E70">
        <v>0.94686957797784999</v>
      </c>
      <c r="F70">
        <v>0.98960898610421599</v>
      </c>
    </row>
    <row r="71" spans="1:6" x14ac:dyDescent="0.25">
      <c r="A71">
        <v>76.811790466308594</v>
      </c>
      <c r="B71">
        <v>68</v>
      </c>
      <c r="C71">
        <v>0.89760880590566705</v>
      </c>
      <c r="D71">
        <v>0.946041990437821</v>
      </c>
      <c r="E71">
        <v>0.97081619178221301</v>
      </c>
      <c r="F71">
        <v>0.99154958632020196</v>
      </c>
    </row>
    <row r="72" spans="1:6" x14ac:dyDescent="0.25">
      <c r="A72">
        <v>76.539278030395494</v>
      </c>
      <c r="B72">
        <v>69</v>
      </c>
      <c r="C72">
        <v>0.89511120236410402</v>
      </c>
      <c r="D72">
        <v>0.94465295888439105</v>
      </c>
      <c r="E72">
        <v>0.96172603149841995</v>
      </c>
      <c r="F72">
        <v>0.98975097895185604</v>
      </c>
    </row>
    <row r="73" spans="1:6" x14ac:dyDescent="0.25">
      <c r="A73">
        <v>76.658248901367102</v>
      </c>
      <c r="B73">
        <v>70</v>
      </c>
      <c r="C73">
        <v>0.91096224391048897</v>
      </c>
      <c r="D73">
        <v>0.95340684706187095</v>
      </c>
      <c r="E73">
        <v>0.97413723948723696</v>
      </c>
      <c r="F73">
        <v>0.99064310902049701</v>
      </c>
    </row>
    <row r="74" spans="1:6" x14ac:dyDescent="0.25">
      <c r="A74">
        <v>71.638822555541907</v>
      </c>
      <c r="B74">
        <v>71</v>
      </c>
      <c r="C74">
        <v>0.895108259823576</v>
      </c>
      <c r="D74">
        <v>0.94465132024373699</v>
      </c>
      <c r="E74">
        <v>0.96878467007298097</v>
      </c>
      <c r="F74">
        <v>0.98809488722017902</v>
      </c>
    </row>
    <row r="75" spans="1:6" x14ac:dyDescent="0.25">
      <c r="A75">
        <v>76.310396194457994</v>
      </c>
      <c r="B75">
        <v>72</v>
      </c>
      <c r="C75">
        <v>0.91235387988634697</v>
      </c>
      <c r="D75">
        <v>0.95416846168719405</v>
      </c>
      <c r="E75">
        <v>0.97188879905466696</v>
      </c>
      <c r="F75">
        <v>0.98955264337041404</v>
      </c>
    </row>
    <row r="76" spans="1:6" x14ac:dyDescent="0.25">
      <c r="A76">
        <v>72.337865829467702</v>
      </c>
      <c r="B76">
        <v>73</v>
      </c>
      <c r="C76">
        <v>0.92349061753362305</v>
      </c>
      <c r="D76">
        <v>0.96022367784435503</v>
      </c>
      <c r="E76">
        <v>0.99110701355076003</v>
      </c>
      <c r="F76">
        <v>0.99192756834937601</v>
      </c>
    </row>
    <row r="77" spans="1:6" x14ac:dyDescent="0.25">
      <c r="A77">
        <v>72.121381759643498</v>
      </c>
      <c r="B77">
        <v>74</v>
      </c>
      <c r="C77">
        <v>0.87606093368638405</v>
      </c>
      <c r="D77">
        <v>0.93393654540309601</v>
      </c>
      <c r="E77">
        <v>0.92170993031952198</v>
      </c>
      <c r="F77">
        <v>0.99151661800273405</v>
      </c>
    </row>
    <row r="78" spans="1:6" x14ac:dyDescent="0.25">
      <c r="A78" s="1">
        <f>AVERAGE(A4:A77)</f>
        <v>75.185066944843996</v>
      </c>
      <c r="B78" s="1"/>
      <c r="C78" s="1">
        <f>AVERAGE(C3:C77)</f>
        <v>0.89859571890273382</v>
      </c>
      <c r="D78" s="1">
        <f>SUBTOTAL(101,MobSam_test4[Column4])</f>
        <v>0.94628925933456476</v>
      </c>
      <c r="E78" s="1">
        <f>SUBTOTAL(101,MobSam_test4[Column5])</f>
        <v>0.96846921218771076</v>
      </c>
      <c r="F78" s="1">
        <f>SUBTOTAL(101,MobSam_test4[Column6])</f>
        <v>0.98976210454812963</v>
      </c>
    </row>
    <row r="79" spans="1:6" x14ac:dyDescent="0.25">
      <c r="A79" s="1">
        <f>STDEVA(A4:A77)</f>
        <v>2.9100453995941673</v>
      </c>
      <c r="B79" s="1"/>
      <c r="C79" s="1">
        <f>STDEVA(C3:C77)</f>
        <v>3.1458081434020027E-2</v>
      </c>
      <c r="D79" s="1">
        <f>STDEVA(D3:D77)</f>
        <v>1.8397063979169404E-2</v>
      </c>
      <c r="E79" s="1">
        <f>STDEVA(E3:E77)</f>
        <v>1.5560696438418866E-2</v>
      </c>
      <c r="F79" s="1">
        <f>STDEVA(F3:F77)</f>
        <v>4.3106358406745484E-3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D929-0631-4432-8A0D-2BBADB46A658}">
  <dimension ref="A1:F79"/>
  <sheetViews>
    <sheetView workbookViewId="0">
      <selection activeCell="F77" sqref="F3:F77"/>
    </sheetView>
  </sheetViews>
  <sheetFormatPr defaultRowHeight="15" x14ac:dyDescent="0.25"/>
  <cols>
    <col min="1" max="1" width="18.7109375" bestFit="1" customWidth="1"/>
    <col min="2" max="2" width="11.140625" bestFit="1" customWidth="1"/>
    <col min="3" max="3" width="20.7109375" bestFit="1" customWidth="1"/>
    <col min="4" max="4" width="19.7109375" bestFit="1" customWidth="1"/>
    <col min="5" max="5" width="18.7109375" bestFit="1" customWidth="1"/>
    <col min="6" max="6" width="1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1437.3605251312199</v>
      </c>
      <c r="B3" t="s">
        <v>12</v>
      </c>
      <c r="C3">
        <v>0.93106535749816099</v>
      </c>
      <c r="D3">
        <v>0.96430227375051203</v>
      </c>
      <c r="E3">
        <v>0.96542027152487098</v>
      </c>
      <c r="F3">
        <v>0.99555450366549403</v>
      </c>
    </row>
    <row r="4" spans="1:6" x14ac:dyDescent="0.25">
      <c r="A4">
        <v>142.23265647888101</v>
      </c>
      <c r="B4" t="s">
        <v>13</v>
      </c>
      <c r="C4">
        <v>0.90554355591392</v>
      </c>
      <c r="D4">
        <v>0.95043070844907596</v>
      </c>
      <c r="E4">
        <v>0.95315784381843605</v>
      </c>
      <c r="F4">
        <v>0.99352344656423597</v>
      </c>
    </row>
    <row r="5" spans="1:6" x14ac:dyDescent="0.25">
      <c r="A5">
        <v>142.367839813232</v>
      </c>
      <c r="B5" t="s">
        <v>14</v>
      </c>
      <c r="C5">
        <v>0.93112261116126405</v>
      </c>
      <c r="D5">
        <v>0.96433297997721801</v>
      </c>
      <c r="E5">
        <v>0.96517819485449097</v>
      </c>
      <c r="F5">
        <v>0.99549021009932903</v>
      </c>
    </row>
    <row r="6" spans="1:6" x14ac:dyDescent="0.25">
      <c r="A6">
        <v>135.79487800598099</v>
      </c>
      <c r="B6" t="s">
        <v>15</v>
      </c>
      <c r="C6">
        <v>0.925753226604213</v>
      </c>
      <c r="D6">
        <v>0.96144533350895101</v>
      </c>
      <c r="E6">
        <v>0.96479804032144301</v>
      </c>
      <c r="F6">
        <v>0.99481594520595396</v>
      </c>
    </row>
    <row r="7" spans="1:6" x14ac:dyDescent="0.25">
      <c r="A7">
        <v>135.22887229919399</v>
      </c>
      <c r="B7" t="s">
        <v>16</v>
      </c>
      <c r="C7">
        <v>0.90978308840209698</v>
      </c>
      <c r="D7">
        <v>0.95276065007289001</v>
      </c>
      <c r="E7">
        <v>0.94637348492974305</v>
      </c>
      <c r="F7">
        <v>0.994906887980331</v>
      </c>
    </row>
    <row r="8" spans="1:6" x14ac:dyDescent="0.25">
      <c r="A8">
        <v>135.42866706848099</v>
      </c>
      <c r="B8" t="s">
        <v>17</v>
      </c>
      <c r="C8">
        <v>0.93394880158429605</v>
      </c>
      <c r="D8">
        <v>0.96584645965725902</v>
      </c>
      <c r="E8">
        <v>0.96873489608506502</v>
      </c>
      <c r="F8">
        <v>0.99531400661935199</v>
      </c>
    </row>
    <row r="9" spans="1:6" x14ac:dyDescent="0.25">
      <c r="A9">
        <v>140.11335372924799</v>
      </c>
      <c r="B9" t="s">
        <v>18</v>
      </c>
      <c r="C9">
        <v>0.91993936041628199</v>
      </c>
      <c r="D9">
        <v>0.95830043321453695</v>
      </c>
      <c r="E9">
        <v>0.96127087694962099</v>
      </c>
      <c r="F9">
        <v>0.99429682901736804</v>
      </c>
    </row>
    <row r="10" spans="1:6" x14ac:dyDescent="0.25">
      <c r="A10">
        <v>139.389276504516</v>
      </c>
      <c r="B10" t="s">
        <v>19</v>
      </c>
      <c r="C10">
        <v>0.94609457841283395</v>
      </c>
      <c r="D10">
        <v>0.972300718482485</v>
      </c>
      <c r="E10">
        <v>0.97996283226493497</v>
      </c>
      <c r="F10">
        <v>0.99532643275204502</v>
      </c>
    </row>
    <row r="11" spans="1:6" x14ac:dyDescent="0.25">
      <c r="A11">
        <v>133.82959365844701</v>
      </c>
      <c r="B11" t="s">
        <v>20</v>
      </c>
      <c r="C11">
        <v>0.93472423138956695</v>
      </c>
      <c r="D11">
        <v>0.96626094429822196</v>
      </c>
      <c r="E11">
        <v>0.96492372390413395</v>
      </c>
      <c r="F11">
        <v>0.99590940825235696</v>
      </c>
    </row>
    <row r="12" spans="1:6" x14ac:dyDescent="0.25">
      <c r="A12">
        <v>141.07394218444799</v>
      </c>
      <c r="B12" t="s">
        <v>21</v>
      </c>
      <c r="C12">
        <v>0.91236848809311</v>
      </c>
      <c r="D12">
        <v>0.95417645058862499</v>
      </c>
      <c r="E12">
        <v>0.94301479257384502</v>
      </c>
      <c r="F12">
        <v>0.99530164670494103</v>
      </c>
    </row>
    <row r="13" spans="1:6" x14ac:dyDescent="0.25">
      <c r="A13">
        <v>139.98126983642501</v>
      </c>
      <c r="B13" t="s">
        <v>22</v>
      </c>
      <c r="C13">
        <v>0.92673108485753497</v>
      </c>
      <c r="D13">
        <v>0.96197242276397799</v>
      </c>
      <c r="E13">
        <v>0.95513909737197</v>
      </c>
      <c r="F13">
        <v>0.99555745002269302</v>
      </c>
    </row>
    <row r="14" spans="1:6" x14ac:dyDescent="0.25">
      <c r="A14">
        <v>149.69611167907701</v>
      </c>
      <c r="B14" t="s">
        <v>23</v>
      </c>
      <c r="C14">
        <v>0.91723118899542999</v>
      </c>
      <c r="D14">
        <v>0.95682898782387404</v>
      </c>
      <c r="E14">
        <v>0.948632116853242</v>
      </c>
      <c r="F14">
        <v>0.99536316828994098</v>
      </c>
    </row>
    <row r="15" spans="1:6" x14ac:dyDescent="0.25">
      <c r="A15">
        <v>151.579856872558</v>
      </c>
      <c r="B15" t="s">
        <v>24</v>
      </c>
      <c r="C15">
        <v>0.92437967535846099</v>
      </c>
      <c r="D15">
        <v>0.960704051487421</v>
      </c>
      <c r="E15">
        <v>0.96161832169445505</v>
      </c>
      <c r="F15">
        <v>0.99508712773359598</v>
      </c>
    </row>
    <row r="16" spans="1:6" x14ac:dyDescent="0.25">
      <c r="A16">
        <v>151.405811309814</v>
      </c>
      <c r="B16" t="s">
        <v>25</v>
      </c>
      <c r="C16">
        <v>0.91730087496194701</v>
      </c>
      <c r="D16">
        <v>0.95686690278087205</v>
      </c>
      <c r="E16">
        <v>0.95258563547179798</v>
      </c>
      <c r="F16">
        <v>0.99598184372866105</v>
      </c>
    </row>
    <row r="17" spans="1:6" x14ac:dyDescent="0.25">
      <c r="A17">
        <v>136.91115379333399</v>
      </c>
      <c r="B17" t="s">
        <v>26</v>
      </c>
      <c r="C17">
        <v>0.92167879229737704</v>
      </c>
      <c r="D17">
        <v>0.95924334076196505</v>
      </c>
      <c r="E17">
        <v>0.96615396126384201</v>
      </c>
      <c r="F17">
        <v>0.99521385770807902</v>
      </c>
    </row>
    <row r="18" spans="1:6" x14ac:dyDescent="0.25">
      <c r="A18">
        <v>145.31230926513601</v>
      </c>
      <c r="B18" t="s">
        <v>27</v>
      </c>
      <c r="C18">
        <v>0.92228771439948398</v>
      </c>
      <c r="D18">
        <v>0.95957302071984896</v>
      </c>
      <c r="E18">
        <v>0.96469469083429704</v>
      </c>
      <c r="F18">
        <v>0.99524140224838598</v>
      </c>
    </row>
    <row r="19" spans="1:6" x14ac:dyDescent="0.25">
      <c r="A19">
        <v>134.63902473449701</v>
      </c>
      <c r="B19" t="s">
        <v>28</v>
      </c>
      <c r="C19">
        <v>0.899300848969108</v>
      </c>
      <c r="D19">
        <v>0.946980937177199</v>
      </c>
      <c r="E19">
        <v>0.946739626082991</v>
      </c>
      <c r="F19">
        <v>0.99478962163422402</v>
      </c>
    </row>
    <row r="20" spans="1:6" x14ac:dyDescent="0.25">
      <c r="A20">
        <v>141.922950744628</v>
      </c>
      <c r="B20" t="s">
        <v>29</v>
      </c>
      <c r="C20">
        <v>0.90845128795229402</v>
      </c>
      <c r="D20">
        <v>0.95202984083186404</v>
      </c>
      <c r="E20">
        <v>0.95953629219153902</v>
      </c>
      <c r="F20">
        <v>0.99419024744789097</v>
      </c>
    </row>
    <row r="21" spans="1:6" x14ac:dyDescent="0.25">
      <c r="A21">
        <v>153.19490432739201</v>
      </c>
      <c r="B21" t="s">
        <v>30</v>
      </c>
      <c r="C21">
        <v>0.93165360008591702</v>
      </c>
      <c r="D21">
        <v>0.96461767269708998</v>
      </c>
      <c r="E21">
        <v>0.96049618999790398</v>
      </c>
      <c r="F21">
        <v>0.995700036194611</v>
      </c>
    </row>
    <row r="22" spans="1:6" x14ac:dyDescent="0.25">
      <c r="A22">
        <v>142.07935333251899</v>
      </c>
      <c r="B22" t="s">
        <v>31</v>
      </c>
      <c r="C22">
        <v>0.93270678914654803</v>
      </c>
      <c r="D22">
        <v>0.96518188313335995</v>
      </c>
      <c r="E22">
        <v>0.96468709078612203</v>
      </c>
      <c r="F22">
        <v>0.99469210771941596</v>
      </c>
    </row>
    <row r="23" spans="1:6" x14ac:dyDescent="0.25">
      <c r="A23">
        <v>145.859003067016</v>
      </c>
      <c r="B23" t="s">
        <v>32</v>
      </c>
      <c r="C23">
        <v>0.92875957504539597</v>
      </c>
      <c r="D23">
        <v>0.96306412376310402</v>
      </c>
      <c r="E23">
        <v>0.97344656498569204</v>
      </c>
      <c r="F23">
        <v>0.99403970207724202</v>
      </c>
    </row>
    <row r="24" spans="1:6" x14ac:dyDescent="0.25">
      <c r="A24">
        <v>135.12134552001899</v>
      </c>
      <c r="B24" t="s">
        <v>33</v>
      </c>
      <c r="C24">
        <v>0.92882137990833602</v>
      </c>
      <c r="D24">
        <v>0.96309735010556197</v>
      </c>
      <c r="E24">
        <v>0.96118764445975502</v>
      </c>
      <c r="F24">
        <v>0.99523071465813695</v>
      </c>
    </row>
    <row r="25" spans="1:6" x14ac:dyDescent="0.25">
      <c r="A25">
        <v>134.25350189208899</v>
      </c>
      <c r="B25" t="s">
        <v>34</v>
      </c>
      <c r="C25">
        <v>0.91937377240363305</v>
      </c>
      <c r="D25">
        <v>0.957993472269136</v>
      </c>
      <c r="E25">
        <v>0.95971023082221396</v>
      </c>
      <c r="F25">
        <v>0.99399303903099101</v>
      </c>
    </row>
    <row r="26" spans="1:6" x14ac:dyDescent="0.25">
      <c r="A26">
        <v>131.99639320373501</v>
      </c>
      <c r="B26" t="s">
        <v>35</v>
      </c>
      <c r="C26">
        <v>5.5226813535240699E-2</v>
      </c>
      <c r="D26">
        <v>0.104672877578269</v>
      </c>
      <c r="E26">
        <v>0.276046279893711</v>
      </c>
      <c r="F26">
        <v>0.44462032268836599</v>
      </c>
    </row>
    <row r="27" spans="1:6" x14ac:dyDescent="0.25">
      <c r="A27">
        <v>146.26026153564399</v>
      </c>
      <c r="B27" t="s">
        <v>36</v>
      </c>
      <c r="C27">
        <v>0.93462374985212004</v>
      </c>
      <c r="D27">
        <v>0.96620725339855995</v>
      </c>
      <c r="E27">
        <v>0.97597202358609303</v>
      </c>
      <c r="F27">
        <v>0.99500251457622202</v>
      </c>
    </row>
    <row r="28" spans="1:6" x14ac:dyDescent="0.25">
      <c r="A28">
        <v>144.38509941101</v>
      </c>
      <c r="B28" t="s">
        <v>37</v>
      </c>
      <c r="C28">
        <v>0.89812129219723003</v>
      </c>
      <c r="D28">
        <v>0.94632655551488098</v>
      </c>
      <c r="E28">
        <v>0.96198670493180405</v>
      </c>
      <c r="F28">
        <v>0.993348946679245</v>
      </c>
    </row>
    <row r="29" spans="1:6" x14ac:dyDescent="0.25">
      <c r="A29">
        <v>134.00816917419399</v>
      </c>
      <c r="B29" t="s">
        <v>38</v>
      </c>
      <c r="C29">
        <v>0.92197943133696303</v>
      </c>
      <c r="D29">
        <v>0.95940613755228099</v>
      </c>
      <c r="E29">
        <v>0.96618181080477905</v>
      </c>
      <c r="F29">
        <v>0.99496223676048301</v>
      </c>
    </row>
    <row r="30" spans="1:6" x14ac:dyDescent="0.25">
      <c r="A30">
        <v>136.40260696411099</v>
      </c>
      <c r="B30" t="s">
        <v>39</v>
      </c>
      <c r="C30">
        <v>0.93905066549010896</v>
      </c>
      <c r="D30">
        <v>0.96856743581040705</v>
      </c>
      <c r="E30">
        <v>0.97511835675015202</v>
      </c>
      <c r="F30">
        <v>0.99444714298330805</v>
      </c>
    </row>
    <row r="31" spans="1:6" x14ac:dyDescent="0.25">
      <c r="A31">
        <v>138.76485824584901</v>
      </c>
      <c r="B31" t="s">
        <v>40</v>
      </c>
      <c r="C31">
        <v>0.93571038748408197</v>
      </c>
      <c r="D31">
        <v>0.966787587166137</v>
      </c>
      <c r="E31">
        <v>0.97220752120726395</v>
      </c>
      <c r="F31">
        <v>0.99429651068948199</v>
      </c>
    </row>
    <row r="32" spans="1:6" x14ac:dyDescent="0.25">
      <c r="A32">
        <v>142.791271209716</v>
      </c>
      <c r="B32" t="s">
        <v>41</v>
      </c>
      <c r="C32">
        <v>0.92849301586099797</v>
      </c>
      <c r="D32">
        <v>0.96292079693787402</v>
      </c>
      <c r="E32">
        <v>0.96618492808935597</v>
      </c>
      <c r="F32">
        <v>0.99497323212232003</v>
      </c>
    </row>
    <row r="33" spans="1:6" x14ac:dyDescent="0.25">
      <c r="A33">
        <v>146.34513854980401</v>
      </c>
      <c r="B33" t="s">
        <v>42</v>
      </c>
      <c r="C33">
        <v>0.92776270866226695</v>
      </c>
      <c r="D33">
        <v>0.96252791330948595</v>
      </c>
      <c r="E33">
        <v>0.96092024711374502</v>
      </c>
      <c r="F33">
        <v>0.99427777305339105</v>
      </c>
    </row>
    <row r="34" spans="1:6" x14ac:dyDescent="0.25">
      <c r="A34">
        <v>136.836528778076</v>
      </c>
      <c r="B34" t="s">
        <v>43</v>
      </c>
      <c r="C34">
        <v>0.92945725680596503</v>
      </c>
      <c r="D34">
        <v>0.96343907441058696</v>
      </c>
      <c r="E34">
        <v>0.95984542709896403</v>
      </c>
      <c r="F34">
        <v>0.994912446032861</v>
      </c>
    </row>
    <row r="35" spans="1:6" x14ac:dyDescent="0.25">
      <c r="A35">
        <v>139.73116874694799</v>
      </c>
      <c r="B35" t="s">
        <v>44</v>
      </c>
      <c r="C35">
        <v>0.212170943256414</v>
      </c>
      <c r="D35">
        <v>0.350067693730443</v>
      </c>
      <c r="E35">
        <v>0.97193058804330001</v>
      </c>
      <c r="F35">
        <v>0.450783850755483</v>
      </c>
    </row>
    <row r="36" spans="1:6" x14ac:dyDescent="0.25">
      <c r="A36">
        <v>133.62979888916001</v>
      </c>
      <c r="B36" t="s">
        <v>45</v>
      </c>
      <c r="C36">
        <v>0.90760173416100098</v>
      </c>
      <c r="D36">
        <v>0.95156312547616895</v>
      </c>
      <c r="E36">
        <v>0.96425954358294297</v>
      </c>
      <c r="F36">
        <v>0.99224002567861802</v>
      </c>
    </row>
    <row r="37" spans="1:6" x14ac:dyDescent="0.25">
      <c r="A37">
        <v>138.279914855957</v>
      </c>
      <c r="B37" t="s">
        <v>46</v>
      </c>
      <c r="C37">
        <v>0.92673728035266001</v>
      </c>
      <c r="D37">
        <v>0.96197576058011902</v>
      </c>
      <c r="E37">
        <v>0.96240595129601703</v>
      </c>
      <c r="F37">
        <v>0.99505900086249799</v>
      </c>
    </row>
    <row r="38" spans="1:6" x14ac:dyDescent="0.25">
      <c r="A38">
        <v>134.950876235961</v>
      </c>
      <c r="B38" t="s">
        <v>47</v>
      </c>
      <c r="C38">
        <v>0.92275707883089098</v>
      </c>
      <c r="D38">
        <v>0.95982699945846695</v>
      </c>
      <c r="E38">
        <v>0.96293308331334604</v>
      </c>
      <c r="F38">
        <v>0.99333804857814201</v>
      </c>
    </row>
    <row r="39" spans="1:6" x14ac:dyDescent="0.25">
      <c r="A39">
        <v>135.68043708801201</v>
      </c>
      <c r="B39" t="s">
        <v>48</v>
      </c>
      <c r="C39">
        <v>0.92247129012068996</v>
      </c>
      <c r="D39">
        <v>0.959672370517199</v>
      </c>
      <c r="E39">
        <v>0.955745353530702</v>
      </c>
      <c r="F39">
        <v>0.99481459173114595</v>
      </c>
    </row>
    <row r="40" spans="1:6" x14ac:dyDescent="0.25">
      <c r="A40">
        <v>134.809017181396</v>
      </c>
      <c r="B40" t="s">
        <v>49</v>
      </c>
      <c r="C40">
        <v>0.90408901667993802</v>
      </c>
      <c r="D40">
        <v>0.94962893936161796</v>
      </c>
      <c r="E40">
        <v>0.95666410297011695</v>
      </c>
      <c r="F40">
        <v>0.99457868420664097</v>
      </c>
    </row>
    <row r="41" spans="1:6" x14ac:dyDescent="0.25">
      <c r="A41">
        <v>139.08982276916501</v>
      </c>
      <c r="B41" t="s">
        <v>50</v>
      </c>
      <c r="C41">
        <v>0.92127708348154602</v>
      </c>
      <c r="D41">
        <v>0.95902573491596499</v>
      </c>
      <c r="E41">
        <v>0.96743614645848297</v>
      </c>
      <c r="F41">
        <v>0.99341284625936699</v>
      </c>
    </row>
    <row r="42" spans="1:6" x14ac:dyDescent="0.25">
      <c r="A42">
        <v>137.27045059204099</v>
      </c>
      <c r="B42" t="s">
        <v>51</v>
      </c>
      <c r="C42">
        <v>0.93251643199189205</v>
      </c>
      <c r="D42">
        <v>0.96507995125373902</v>
      </c>
      <c r="E42">
        <v>0.96771374507966901</v>
      </c>
      <c r="F42">
        <v>0.99434835909460595</v>
      </c>
    </row>
    <row r="43" spans="1:6" x14ac:dyDescent="0.25">
      <c r="A43">
        <v>135.89549064636199</v>
      </c>
      <c r="B43" t="s">
        <v>52</v>
      </c>
      <c r="C43">
        <v>0.936800350433174</v>
      </c>
      <c r="D43">
        <v>0.96736904268284996</v>
      </c>
      <c r="E43">
        <v>0.97648521130333299</v>
      </c>
      <c r="F43">
        <v>0.99349705114355102</v>
      </c>
    </row>
    <row r="44" spans="1:6" x14ac:dyDescent="0.25">
      <c r="A44">
        <v>137.75610923766999</v>
      </c>
      <c r="B44" t="s">
        <v>53</v>
      </c>
      <c r="C44">
        <v>0.91752451535761204</v>
      </c>
      <c r="D44">
        <v>0.956988563128223</v>
      </c>
      <c r="E44">
        <v>0.96778605913304305</v>
      </c>
      <c r="F44">
        <v>0.99173085366253</v>
      </c>
    </row>
    <row r="45" spans="1:6" x14ac:dyDescent="0.25">
      <c r="A45">
        <v>139.13464546203599</v>
      </c>
      <c r="B45" t="s">
        <v>54</v>
      </c>
      <c r="C45">
        <v>0.91206894455991905</v>
      </c>
      <c r="D45">
        <v>0.95401261252097802</v>
      </c>
      <c r="E45">
        <v>0.94646753869246503</v>
      </c>
      <c r="F45">
        <v>0.99511374834333099</v>
      </c>
    </row>
    <row r="46" spans="1:6" x14ac:dyDescent="0.25">
      <c r="A46">
        <v>139.680624008178</v>
      </c>
      <c r="B46" t="s">
        <v>55</v>
      </c>
      <c r="C46">
        <v>0.94040088626631602</v>
      </c>
      <c r="D46">
        <v>0.96928515434335605</v>
      </c>
      <c r="E46">
        <v>0.972911501402972</v>
      </c>
      <c r="F46">
        <v>0.99329634992788496</v>
      </c>
    </row>
    <row r="47" spans="1:6" x14ac:dyDescent="0.25">
      <c r="A47">
        <v>137.78448104858299</v>
      </c>
      <c r="B47" t="s">
        <v>56</v>
      </c>
      <c r="C47">
        <v>0.92408074675688301</v>
      </c>
      <c r="D47">
        <v>0.96054258462328901</v>
      </c>
      <c r="E47">
        <v>0.95924487153274696</v>
      </c>
      <c r="F47">
        <v>0.994796506225608</v>
      </c>
    </row>
    <row r="48" spans="1:6" x14ac:dyDescent="0.25">
      <c r="A48">
        <v>135.71858406066801</v>
      </c>
      <c r="B48" t="s">
        <v>57</v>
      </c>
      <c r="C48">
        <v>0.75716840469040003</v>
      </c>
      <c r="D48">
        <v>0.86180516639076199</v>
      </c>
      <c r="E48">
        <v>0.959082632818959</v>
      </c>
      <c r="F48">
        <v>0.97006944515216798</v>
      </c>
    </row>
    <row r="49" spans="1:6" x14ac:dyDescent="0.25">
      <c r="A49">
        <v>137.05253601074199</v>
      </c>
      <c r="B49" t="s">
        <v>58</v>
      </c>
      <c r="C49">
        <v>0.92536654647193395</v>
      </c>
      <c r="D49">
        <v>0.96123675584536095</v>
      </c>
      <c r="E49">
        <v>0.96463053529154197</v>
      </c>
      <c r="F49">
        <v>0.99366166657982702</v>
      </c>
    </row>
    <row r="50" spans="1:6" x14ac:dyDescent="0.25">
      <c r="A50">
        <v>136.68417930602999</v>
      </c>
      <c r="B50" t="s">
        <v>59</v>
      </c>
      <c r="C50">
        <v>0.92784150854922698</v>
      </c>
      <c r="D50">
        <v>0.96257031963946305</v>
      </c>
      <c r="E50">
        <v>0.95457004531279599</v>
      </c>
      <c r="F50">
        <v>0.99531231163034495</v>
      </c>
    </row>
    <row r="51" spans="1:6" x14ac:dyDescent="0.25">
      <c r="A51">
        <v>134.99736785888601</v>
      </c>
      <c r="B51" t="s">
        <v>60</v>
      </c>
      <c r="C51">
        <v>0.92807617798449304</v>
      </c>
      <c r="D51">
        <v>0.96269658697267202</v>
      </c>
      <c r="E51">
        <v>0.97710579032719602</v>
      </c>
      <c r="F51">
        <v>0.99372523883747998</v>
      </c>
    </row>
    <row r="52" spans="1:6" x14ac:dyDescent="0.25">
      <c r="A52">
        <v>134.737730026245</v>
      </c>
      <c r="B52" t="s">
        <v>61</v>
      </c>
      <c r="C52">
        <v>0.91252058277924797</v>
      </c>
      <c r="D52">
        <v>0.95425962051941504</v>
      </c>
      <c r="E52">
        <v>0.96862264426459399</v>
      </c>
      <c r="F52">
        <v>0.99248001065160396</v>
      </c>
    </row>
    <row r="53" spans="1:6" x14ac:dyDescent="0.25">
      <c r="A53">
        <v>140.045642852783</v>
      </c>
      <c r="B53" t="s">
        <v>62</v>
      </c>
      <c r="C53">
        <v>0.92812937615756397</v>
      </c>
      <c r="D53">
        <v>0.96272520675678797</v>
      </c>
      <c r="E53">
        <v>0.97386575660035002</v>
      </c>
      <c r="F53">
        <v>0.99378994303103496</v>
      </c>
    </row>
    <row r="54" spans="1:6" x14ac:dyDescent="0.25">
      <c r="A54">
        <v>135.00523567199701</v>
      </c>
      <c r="B54" t="s">
        <v>63</v>
      </c>
      <c r="C54">
        <v>0.92898680744444695</v>
      </c>
      <c r="D54">
        <v>0.96318627360151199</v>
      </c>
      <c r="E54">
        <v>0.958667291243264</v>
      </c>
      <c r="F54">
        <v>0.995194406826583</v>
      </c>
    </row>
    <row r="55" spans="1:6" x14ac:dyDescent="0.25">
      <c r="A55">
        <v>135.69211959838799</v>
      </c>
      <c r="B55" t="s">
        <v>64</v>
      </c>
      <c r="C55">
        <v>0.90205232846127104</v>
      </c>
      <c r="D55">
        <v>0.94850421827354903</v>
      </c>
      <c r="E55">
        <v>0.93323466535109301</v>
      </c>
      <c r="F55">
        <v>0.99501191148253598</v>
      </c>
    </row>
    <row r="56" spans="1:6" x14ac:dyDescent="0.25">
      <c r="A56">
        <v>134.84406471252399</v>
      </c>
      <c r="B56" t="s">
        <v>65</v>
      </c>
      <c r="C56">
        <v>0.139021828756277</v>
      </c>
      <c r="D56">
        <v>0.24410740030869901</v>
      </c>
      <c r="E56">
        <v>0.988847174965783</v>
      </c>
      <c r="F56">
        <v>0.41210769514604201</v>
      </c>
    </row>
    <row r="57" spans="1:6" x14ac:dyDescent="0.25">
      <c r="A57">
        <v>136.81793212890599</v>
      </c>
      <c r="B57" t="s">
        <v>66</v>
      </c>
      <c r="C57">
        <v>0.91899965633013403</v>
      </c>
      <c r="D57">
        <v>0.95779032924645202</v>
      </c>
      <c r="E57">
        <v>0.96712539644268003</v>
      </c>
      <c r="F57">
        <v>0.993921198407692</v>
      </c>
    </row>
    <row r="58" spans="1:6" x14ac:dyDescent="0.25">
      <c r="A58">
        <v>137.94207572937</v>
      </c>
      <c r="B58" t="s">
        <v>67</v>
      </c>
      <c r="C58">
        <v>0.92615513470755195</v>
      </c>
      <c r="D58">
        <v>0.96166203647783499</v>
      </c>
      <c r="E58">
        <v>0.96620890189853403</v>
      </c>
      <c r="F58">
        <v>0.99522970402104505</v>
      </c>
    </row>
    <row r="59" spans="1:6" x14ac:dyDescent="0.25">
      <c r="A59">
        <v>137.63785362243601</v>
      </c>
      <c r="B59" t="s">
        <v>68</v>
      </c>
      <c r="C59">
        <v>0.92377370333035302</v>
      </c>
      <c r="D59">
        <v>0.96037668227937201</v>
      </c>
      <c r="E59">
        <v>0.96421605364117702</v>
      </c>
      <c r="F59">
        <v>0.99528821176926796</v>
      </c>
    </row>
    <row r="60" spans="1:6" x14ac:dyDescent="0.25">
      <c r="A60">
        <v>137.893438339233</v>
      </c>
      <c r="B60" t="s">
        <v>69</v>
      </c>
      <c r="C60">
        <v>0.90186016677357195</v>
      </c>
      <c r="D60">
        <v>0.94839797639123102</v>
      </c>
      <c r="E60">
        <v>0.97202977648164202</v>
      </c>
      <c r="F60">
        <v>0.99144579041999104</v>
      </c>
    </row>
    <row r="61" spans="1:6" x14ac:dyDescent="0.25">
      <c r="A61">
        <v>134.46760177612299</v>
      </c>
      <c r="B61" t="s">
        <v>70</v>
      </c>
      <c r="C61">
        <v>0.92033357815565098</v>
      </c>
      <c r="D61">
        <v>0.95851427962798896</v>
      </c>
      <c r="E61">
        <v>0.96917006882642598</v>
      </c>
      <c r="F61">
        <v>0.99420109366089604</v>
      </c>
    </row>
    <row r="62" spans="1:6" x14ac:dyDescent="0.25">
      <c r="A62">
        <v>135.08725166320801</v>
      </c>
      <c r="B62" t="s">
        <v>71</v>
      </c>
      <c r="C62">
        <v>0.93560032926972603</v>
      </c>
      <c r="D62">
        <v>0.966728838719215</v>
      </c>
      <c r="E62">
        <v>0.96886949462147298</v>
      </c>
      <c r="F62">
        <v>0.99520591052127505</v>
      </c>
    </row>
    <row r="63" spans="1:6" x14ac:dyDescent="0.25">
      <c r="A63">
        <v>133.61263275146399</v>
      </c>
      <c r="B63" t="s">
        <v>72</v>
      </c>
      <c r="C63">
        <v>0.93197763883207696</v>
      </c>
      <c r="D63">
        <v>0.96479133101714099</v>
      </c>
      <c r="E63">
        <v>0.96582545751092996</v>
      </c>
      <c r="F63">
        <v>0.99507311732673298</v>
      </c>
    </row>
    <row r="64" spans="1:6" x14ac:dyDescent="0.25">
      <c r="A64">
        <v>134.13596153259201</v>
      </c>
      <c r="B64" t="s">
        <v>73</v>
      </c>
      <c r="C64">
        <v>0.93702911149748103</v>
      </c>
      <c r="D64">
        <v>0.967490995293386</v>
      </c>
      <c r="E64">
        <v>0.96426195664640402</v>
      </c>
      <c r="F64">
        <v>0.995804705220112</v>
      </c>
    </row>
    <row r="65" spans="1:6" x14ac:dyDescent="0.25">
      <c r="A65">
        <v>135.02812385559</v>
      </c>
      <c r="B65" t="s">
        <v>74</v>
      </c>
      <c r="C65">
        <v>0.92182726043774799</v>
      </c>
      <c r="D65">
        <v>0.95932374299631595</v>
      </c>
      <c r="E65">
        <v>0.95378582689897695</v>
      </c>
      <c r="F65">
        <v>0.99530398690197797</v>
      </c>
    </row>
    <row r="66" spans="1:6" x14ac:dyDescent="0.25">
      <c r="A66">
        <v>135.90168952941801</v>
      </c>
      <c r="B66" t="s">
        <v>75</v>
      </c>
      <c r="C66">
        <v>0.92861703086015901</v>
      </c>
      <c r="D66">
        <v>0.96298748377846499</v>
      </c>
      <c r="E66">
        <v>0.96267271937339804</v>
      </c>
      <c r="F66">
        <v>0.99505723959527503</v>
      </c>
    </row>
    <row r="67" spans="1:6" x14ac:dyDescent="0.25">
      <c r="A67">
        <v>134.53578948974601</v>
      </c>
      <c r="B67" t="s">
        <v>76</v>
      </c>
      <c r="C67">
        <v>0.93102671278405502</v>
      </c>
      <c r="D67">
        <v>0.96428154682723</v>
      </c>
      <c r="E67">
        <v>0.96714807359206001</v>
      </c>
      <c r="F67">
        <v>0.99452749952125896</v>
      </c>
    </row>
    <row r="68" spans="1:6" x14ac:dyDescent="0.25">
      <c r="A68">
        <v>135.940790176391</v>
      </c>
      <c r="B68" t="s">
        <v>77</v>
      </c>
      <c r="C68">
        <v>0.91896260940864305</v>
      </c>
      <c r="D68">
        <v>0.957770208656473</v>
      </c>
      <c r="E68">
        <v>0.95643290271552805</v>
      </c>
      <c r="F68">
        <v>0.99341635057233002</v>
      </c>
    </row>
    <row r="69" spans="1:6" x14ac:dyDescent="0.25">
      <c r="A69">
        <v>134.76181030273401</v>
      </c>
      <c r="B69" t="s">
        <v>78</v>
      </c>
      <c r="C69">
        <v>0.93149046266580504</v>
      </c>
      <c r="D69">
        <v>0.96453022230322605</v>
      </c>
      <c r="E69">
        <v>0.96691016039365796</v>
      </c>
      <c r="F69">
        <v>0.99401807525794805</v>
      </c>
    </row>
    <row r="70" spans="1:6" x14ac:dyDescent="0.25">
      <c r="A70">
        <v>153.67770195007299</v>
      </c>
      <c r="B70" t="s">
        <v>79</v>
      </c>
      <c r="C70">
        <v>0.91868567245166</v>
      </c>
      <c r="D70">
        <v>0.957619776539823</v>
      </c>
      <c r="E70">
        <v>0.97089075385483603</v>
      </c>
      <c r="F70">
        <v>0.99326492170997405</v>
      </c>
    </row>
    <row r="71" spans="1:6" x14ac:dyDescent="0.25">
      <c r="A71">
        <v>134.292364120483</v>
      </c>
      <c r="B71" t="s">
        <v>80</v>
      </c>
      <c r="C71">
        <v>0.16352727758671201</v>
      </c>
      <c r="D71">
        <v>0.28108885925886801</v>
      </c>
      <c r="E71">
        <v>0.994293559473998</v>
      </c>
      <c r="F71">
        <v>0.41492888242582698</v>
      </c>
    </row>
    <row r="72" spans="1:6" x14ac:dyDescent="0.25">
      <c r="A72">
        <v>153.21040153503401</v>
      </c>
      <c r="B72" t="s">
        <v>81</v>
      </c>
      <c r="C72">
        <v>0.93252446549673096</v>
      </c>
      <c r="D72">
        <v>0.96508425341672199</v>
      </c>
      <c r="E72">
        <v>0.96537688816132095</v>
      </c>
      <c r="F72">
        <v>0.99475349342316599</v>
      </c>
    </row>
    <row r="73" spans="1:6" x14ac:dyDescent="0.25">
      <c r="A73">
        <v>144.037723541259</v>
      </c>
      <c r="B73" t="s">
        <v>82</v>
      </c>
      <c r="C73">
        <v>0.92421452389064696</v>
      </c>
      <c r="D73">
        <v>0.960614850803579</v>
      </c>
      <c r="E73">
        <v>0.96272945154948297</v>
      </c>
      <c r="F73">
        <v>0.99426718432072103</v>
      </c>
    </row>
    <row r="74" spans="1:6" x14ac:dyDescent="0.25">
      <c r="A74">
        <v>136.89994812011699</v>
      </c>
      <c r="B74" t="s">
        <v>83</v>
      </c>
      <c r="C74">
        <v>0.93768435228761504</v>
      </c>
      <c r="D74">
        <v>0.967840145047971</v>
      </c>
      <c r="E74">
        <v>0.97308156801385404</v>
      </c>
      <c r="F74">
        <v>0.99450915490701397</v>
      </c>
    </row>
    <row r="75" spans="1:6" x14ac:dyDescent="0.25">
      <c r="A75">
        <v>139.695167541503</v>
      </c>
      <c r="B75" t="s">
        <v>84</v>
      </c>
      <c r="C75">
        <v>0.94294851402260305</v>
      </c>
      <c r="D75">
        <v>0.97063664550776996</v>
      </c>
      <c r="E75">
        <v>0.96923177535994898</v>
      </c>
      <c r="F75">
        <v>0.99545840243220496</v>
      </c>
    </row>
    <row r="76" spans="1:6" x14ac:dyDescent="0.25">
      <c r="A76">
        <v>133.751153945922</v>
      </c>
      <c r="B76" t="s">
        <v>85</v>
      </c>
      <c r="C76">
        <v>0.92615566630094204</v>
      </c>
      <c r="D76">
        <v>0.96166232304532695</v>
      </c>
      <c r="E76">
        <v>0.96152209863242999</v>
      </c>
      <c r="F76">
        <v>0.99375467837996401</v>
      </c>
    </row>
    <row r="77" spans="1:6" x14ac:dyDescent="0.25">
      <c r="A77">
        <v>134.646892547607</v>
      </c>
      <c r="B77" t="s">
        <v>86</v>
      </c>
      <c r="C77">
        <v>0.94293940271554799</v>
      </c>
      <c r="D77">
        <v>0.970631818365153</v>
      </c>
      <c r="E77">
        <v>0.97225667058968102</v>
      </c>
      <c r="F77">
        <v>0.99505297785578695</v>
      </c>
    </row>
    <row r="78" spans="1:6" x14ac:dyDescent="0.25">
      <c r="A78" s="1">
        <f>AVERAGE(A4:A77)</f>
        <v>138.75203519254077</v>
      </c>
      <c r="B78" s="1"/>
      <c r="C78" s="1">
        <f>SUBTOTAL(101,FastSAM_test4[Column3])</f>
        <v>0.88060584451241897</v>
      </c>
      <c r="D78" s="1">
        <f>SUBTOTAL(101,FastSAM_test4[Column4])</f>
        <v>0.92126828021991591</v>
      </c>
      <c r="E78" s="1">
        <f>SUBTOTAL(101,FastSAM_test4[Column5])</f>
        <v>0.9550210067561522</v>
      </c>
      <c r="F78" s="1">
        <f>SUBTOTAL(101,FastSAM_test4[Column6])</f>
        <v>0.96412274513864571</v>
      </c>
    </row>
    <row r="79" spans="1:6" x14ac:dyDescent="0.25">
      <c r="A79" s="1">
        <f>STDEVA(A4:A77)</f>
        <v>5.226531207096639</v>
      </c>
      <c r="B79" s="1"/>
      <c r="C79" s="1">
        <f>STDEVA(C3:C77)</f>
        <v>0.17822650974528825</v>
      </c>
      <c r="D79" s="1">
        <f>STDEVA(D3:D77)</f>
        <v>0.16343192902815754</v>
      </c>
      <c r="E79" s="1">
        <f>STDEVA(E3:E77)</f>
        <v>8.0027538671883766E-2</v>
      </c>
      <c r="F79" s="1">
        <f>STDEVA(F3:F77)</f>
        <v>0.12758303232819321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B437-7039-4211-B044-ABB70D976B8C}">
  <dimension ref="A1:F79"/>
  <sheetViews>
    <sheetView workbookViewId="0">
      <selection activeCell="F77" sqref="F3:F77"/>
    </sheetView>
  </sheetViews>
  <sheetFormatPr defaultRowHeight="15" x14ac:dyDescent="0.25"/>
  <cols>
    <col min="1" max="1" width="17.7109375" bestFit="1" customWidth="1"/>
    <col min="2" max="2" width="11.140625" bestFit="1" customWidth="1"/>
    <col min="3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1000.95772743225</v>
      </c>
      <c r="B3" t="s">
        <v>12</v>
      </c>
      <c r="C3">
        <v>0.92017664970779001</v>
      </c>
      <c r="D3">
        <v>0.95842916311665505</v>
      </c>
      <c r="E3">
        <v>0.98075876388412897</v>
      </c>
      <c r="F3">
        <v>0.99311958978766701</v>
      </c>
    </row>
    <row r="4" spans="1:6" x14ac:dyDescent="0.25">
      <c r="A4">
        <v>88.953256607055593</v>
      </c>
      <c r="B4" t="s">
        <v>13</v>
      </c>
      <c r="C4">
        <v>0.90478243432925598</v>
      </c>
      <c r="D4">
        <v>0.95001131680202899</v>
      </c>
      <c r="E4">
        <v>0.98075292890212296</v>
      </c>
      <c r="F4">
        <v>0.99192315814343401</v>
      </c>
    </row>
    <row r="5" spans="1:6" x14ac:dyDescent="0.25">
      <c r="A5">
        <v>84.291934967041001</v>
      </c>
      <c r="B5" t="s">
        <v>14</v>
      </c>
      <c r="C5">
        <v>0.91957614347369798</v>
      </c>
      <c r="D5">
        <v>0.95810332567440304</v>
      </c>
      <c r="E5">
        <v>0.99272584794126095</v>
      </c>
      <c r="F5">
        <v>0.98997072512763395</v>
      </c>
    </row>
    <row r="6" spans="1:6" x14ac:dyDescent="0.25">
      <c r="A6">
        <v>84.420919418334904</v>
      </c>
      <c r="B6" t="s">
        <v>15</v>
      </c>
      <c r="C6">
        <v>0.91502977659329399</v>
      </c>
      <c r="D6">
        <v>0.955629816076352</v>
      </c>
      <c r="E6">
        <v>0.97418337857956006</v>
      </c>
      <c r="F6">
        <v>0.99209962478033697</v>
      </c>
    </row>
    <row r="7" spans="1:6" x14ac:dyDescent="0.25">
      <c r="A7">
        <v>78.924179077148395</v>
      </c>
      <c r="B7" t="s">
        <v>16</v>
      </c>
      <c r="C7">
        <v>0.93048669432358599</v>
      </c>
      <c r="D7">
        <v>0.96399182347083101</v>
      </c>
      <c r="E7">
        <v>0.99287410926365705</v>
      </c>
      <c r="F7">
        <v>0.99278436326838404</v>
      </c>
    </row>
    <row r="8" spans="1:6" x14ac:dyDescent="0.25">
      <c r="A8">
        <v>84.011316299438406</v>
      </c>
      <c r="B8" t="s">
        <v>17</v>
      </c>
      <c r="C8">
        <v>0.91758113874401903</v>
      </c>
      <c r="D8">
        <v>0.95701936174134195</v>
      </c>
      <c r="E8">
        <v>0.97663109798056702</v>
      </c>
      <c r="F8">
        <v>0.99253500215520596</v>
      </c>
    </row>
    <row r="9" spans="1:6" x14ac:dyDescent="0.25">
      <c r="A9">
        <v>77.073335647582994</v>
      </c>
      <c r="B9" t="s">
        <v>18</v>
      </c>
      <c r="C9">
        <v>0.92258580011005298</v>
      </c>
      <c r="D9">
        <v>0.95973433285239296</v>
      </c>
      <c r="E9">
        <v>0.97725204005046196</v>
      </c>
      <c r="F9">
        <v>0.99196282168749295</v>
      </c>
    </row>
    <row r="10" spans="1:6" x14ac:dyDescent="0.25">
      <c r="A10">
        <v>84.421157836914006</v>
      </c>
      <c r="B10" t="s">
        <v>19</v>
      </c>
      <c r="C10">
        <v>0.92045904234269804</v>
      </c>
      <c r="D10">
        <v>0.95858232021430001</v>
      </c>
      <c r="E10">
        <v>0.97327062446650003</v>
      </c>
      <c r="F10">
        <v>0.99262067287925004</v>
      </c>
    </row>
    <row r="11" spans="1:6" x14ac:dyDescent="0.25">
      <c r="A11">
        <v>84.462404251098604</v>
      </c>
      <c r="B11" t="s">
        <v>20</v>
      </c>
      <c r="C11">
        <v>0.93193351905716304</v>
      </c>
      <c r="D11">
        <v>0.96476768984470196</v>
      </c>
      <c r="E11">
        <v>0.98026284882082104</v>
      </c>
      <c r="F11">
        <v>0.98994521159346305</v>
      </c>
    </row>
    <row r="12" spans="1:6" x14ac:dyDescent="0.25">
      <c r="A12">
        <v>83.983659744262695</v>
      </c>
      <c r="B12" t="s">
        <v>21</v>
      </c>
      <c r="C12">
        <v>0.91177656488174197</v>
      </c>
      <c r="D12">
        <v>0.95385264327491304</v>
      </c>
      <c r="E12">
        <v>0.97786168563382603</v>
      </c>
      <c r="F12">
        <v>0.99279485574508497</v>
      </c>
    </row>
    <row r="13" spans="1:6" x14ac:dyDescent="0.25">
      <c r="A13">
        <v>83.748817443847599</v>
      </c>
      <c r="B13" t="s">
        <v>22</v>
      </c>
      <c r="C13">
        <v>0.91676327225148602</v>
      </c>
      <c r="D13">
        <v>0.95657433082451404</v>
      </c>
      <c r="E13">
        <v>0.97187765017032901</v>
      </c>
      <c r="F13">
        <v>0.990801971336017</v>
      </c>
    </row>
    <row r="14" spans="1:6" x14ac:dyDescent="0.25">
      <c r="A14">
        <v>84.036827087402301</v>
      </c>
      <c r="B14" t="s">
        <v>23</v>
      </c>
      <c r="C14">
        <v>0.90432764947118405</v>
      </c>
      <c r="D14">
        <v>0.94976056218299199</v>
      </c>
      <c r="E14">
        <v>0.94841014395359502</v>
      </c>
      <c r="F14">
        <v>0.99240419262993895</v>
      </c>
    </row>
    <row r="15" spans="1:6" x14ac:dyDescent="0.25">
      <c r="A15">
        <v>83.750963211059499</v>
      </c>
      <c r="B15" t="s">
        <v>24</v>
      </c>
      <c r="C15">
        <v>0.90940027618859698</v>
      </c>
      <c r="D15">
        <v>0.95255069094666101</v>
      </c>
      <c r="E15">
        <v>0.976393713462679</v>
      </c>
      <c r="F15">
        <v>0.99270975693600105</v>
      </c>
    </row>
    <row r="16" spans="1:6" x14ac:dyDescent="0.25">
      <c r="A16">
        <v>84.836721420288001</v>
      </c>
      <c r="B16" t="s">
        <v>25</v>
      </c>
      <c r="C16">
        <v>0.93006241893644603</v>
      </c>
      <c r="D16">
        <v>0.96376408328695695</v>
      </c>
      <c r="E16">
        <v>0.97938496340084003</v>
      </c>
      <c r="F16">
        <v>0.99178963853484403</v>
      </c>
    </row>
    <row r="17" spans="1:6" x14ac:dyDescent="0.25">
      <c r="A17">
        <v>78.9816379547119</v>
      </c>
      <c r="B17" t="s">
        <v>26</v>
      </c>
      <c r="C17">
        <v>0.91698777161959999</v>
      </c>
      <c r="D17">
        <v>0.95669652691093299</v>
      </c>
      <c r="E17">
        <v>0.97834636431045297</v>
      </c>
      <c r="F17">
        <v>0.99243234062428598</v>
      </c>
    </row>
    <row r="18" spans="1:6" x14ac:dyDescent="0.25">
      <c r="A18">
        <v>83.647727966308594</v>
      </c>
      <c r="B18" t="s">
        <v>27</v>
      </c>
      <c r="C18">
        <v>0.93339555877517999</v>
      </c>
      <c r="D18">
        <v>0.96555053572843896</v>
      </c>
      <c r="E18">
        <v>0.98472233449195701</v>
      </c>
      <c r="F18">
        <v>0.991799407120039</v>
      </c>
    </row>
    <row r="19" spans="1:6" x14ac:dyDescent="0.25">
      <c r="A19">
        <v>83.293199539184499</v>
      </c>
      <c r="B19" t="s">
        <v>28</v>
      </c>
      <c r="C19">
        <v>0.93260875820002298</v>
      </c>
      <c r="D19">
        <v>0.96512939232318096</v>
      </c>
      <c r="E19">
        <v>0.97908989307074201</v>
      </c>
      <c r="F19">
        <v>0.99279595525633302</v>
      </c>
    </row>
    <row r="20" spans="1:6" x14ac:dyDescent="0.25">
      <c r="A20">
        <v>83.397150039672795</v>
      </c>
      <c r="B20" t="s">
        <v>29</v>
      </c>
      <c r="C20">
        <v>0.90586814484120204</v>
      </c>
      <c r="D20">
        <v>0.95060946088343301</v>
      </c>
      <c r="E20">
        <v>0.970185586187853</v>
      </c>
      <c r="F20">
        <v>0.98927392920419999</v>
      </c>
    </row>
    <row r="21" spans="1:6" x14ac:dyDescent="0.25">
      <c r="A21">
        <v>83.396673202514606</v>
      </c>
      <c r="B21" t="s">
        <v>30</v>
      </c>
      <c r="C21">
        <v>0.92502838973427204</v>
      </c>
      <c r="D21">
        <v>0.961054283320945</v>
      </c>
      <c r="E21">
        <v>0.98017776636878495</v>
      </c>
      <c r="F21">
        <v>0.99195599609489105</v>
      </c>
    </row>
    <row r="22" spans="1:6" x14ac:dyDescent="0.25">
      <c r="A22">
        <v>83.440065383911104</v>
      </c>
      <c r="B22" t="s">
        <v>31</v>
      </c>
      <c r="C22">
        <v>0.91319208765635596</v>
      </c>
      <c r="D22">
        <v>0.95462666142949404</v>
      </c>
      <c r="E22">
        <v>0.97779027513410599</v>
      </c>
      <c r="F22">
        <v>0.99123683274097596</v>
      </c>
    </row>
    <row r="23" spans="1:6" x14ac:dyDescent="0.25">
      <c r="A23">
        <v>83.524465560913001</v>
      </c>
      <c r="B23" t="s">
        <v>32</v>
      </c>
      <c r="C23">
        <v>0.92812373776062995</v>
      </c>
      <c r="D23">
        <v>0.96272217346234801</v>
      </c>
      <c r="E23">
        <v>0.97750476749303195</v>
      </c>
      <c r="F23">
        <v>0.99204811035740703</v>
      </c>
    </row>
    <row r="24" spans="1:6" x14ac:dyDescent="0.25">
      <c r="A24">
        <v>79.301595687866197</v>
      </c>
      <c r="B24" t="s">
        <v>33</v>
      </c>
      <c r="C24">
        <v>0.93442831215970901</v>
      </c>
      <c r="D24">
        <v>0.96610280803475002</v>
      </c>
      <c r="E24">
        <v>0.98892698339527696</v>
      </c>
      <c r="F24">
        <v>0.99356979572216098</v>
      </c>
    </row>
    <row r="25" spans="1:6" x14ac:dyDescent="0.25">
      <c r="A25">
        <v>78.354835510253906</v>
      </c>
      <c r="B25" t="s">
        <v>34</v>
      </c>
      <c r="C25">
        <v>0.89801918910554002</v>
      </c>
      <c r="D25">
        <v>0.94626987362413295</v>
      </c>
      <c r="E25">
        <v>0.97228738020239902</v>
      </c>
      <c r="F25">
        <v>0.99227986027839998</v>
      </c>
    </row>
    <row r="26" spans="1:6" x14ac:dyDescent="0.25">
      <c r="A26">
        <v>84.603309631347599</v>
      </c>
      <c r="B26" t="s">
        <v>35</v>
      </c>
      <c r="C26">
        <v>0.93626647390636497</v>
      </c>
      <c r="D26">
        <v>0.96708432080370899</v>
      </c>
      <c r="E26">
        <v>0.98626663131343995</v>
      </c>
      <c r="F26">
        <v>0.99128663799558203</v>
      </c>
    </row>
    <row r="27" spans="1:6" x14ac:dyDescent="0.25">
      <c r="A27">
        <v>79.443454742431598</v>
      </c>
      <c r="B27" t="s">
        <v>36</v>
      </c>
      <c r="C27">
        <v>0.902318702031908</v>
      </c>
      <c r="D27">
        <v>0.948651454741123</v>
      </c>
      <c r="E27">
        <v>0.96226905061890999</v>
      </c>
      <c r="F27">
        <v>0.99268687480348805</v>
      </c>
    </row>
    <row r="28" spans="1:6" x14ac:dyDescent="0.25">
      <c r="A28">
        <v>79.058647155761705</v>
      </c>
      <c r="B28" t="s">
        <v>37</v>
      </c>
      <c r="C28">
        <v>0.91539535208318701</v>
      </c>
      <c r="D28">
        <v>0.95582914627792304</v>
      </c>
      <c r="E28">
        <v>0.983253498849334</v>
      </c>
      <c r="F28">
        <v>0.98919441636845395</v>
      </c>
    </row>
    <row r="29" spans="1:6" x14ac:dyDescent="0.25">
      <c r="A29">
        <v>83.956480026245103</v>
      </c>
      <c r="B29" t="s">
        <v>38</v>
      </c>
      <c r="C29">
        <v>0.914600138496378</v>
      </c>
      <c r="D29">
        <v>0.95539545841112805</v>
      </c>
      <c r="E29">
        <v>0.97942659010512101</v>
      </c>
      <c r="F29">
        <v>0.99254521826289699</v>
      </c>
    </row>
    <row r="30" spans="1:6" x14ac:dyDescent="0.25">
      <c r="A30">
        <v>84.293365478515597</v>
      </c>
      <c r="B30" t="s">
        <v>39</v>
      </c>
      <c r="C30">
        <v>0.91914659346294802</v>
      </c>
      <c r="D30">
        <v>0.95787012476667599</v>
      </c>
      <c r="E30">
        <v>0.97682899461400297</v>
      </c>
      <c r="F30">
        <v>0.99152421282344305</v>
      </c>
    </row>
    <row r="31" spans="1:6" x14ac:dyDescent="0.25">
      <c r="A31">
        <v>83.767175674438406</v>
      </c>
      <c r="B31" t="s">
        <v>40</v>
      </c>
      <c r="C31">
        <v>0.85118554823326797</v>
      </c>
      <c r="D31">
        <v>0.91961127186372105</v>
      </c>
      <c r="E31">
        <v>0.972162599166012</v>
      </c>
      <c r="F31">
        <v>0.98405738535180098</v>
      </c>
    </row>
    <row r="32" spans="1:6" x14ac:dyDescent="0.25">
      <c r="A32">
        <v>83.920955657958899</v>
      </c>
      <c r="B32" t="s">
        <v>41</v>
      </c>
      <c r="C32">
        <v>0.90062251676934701</v>
      </c>
      <c r="D32">
        <v>0.94771319272825705</v>
      </c>
      <c r="E32">
        <v>0.96660250157535299</v>
      </c>
      <c r="F32">
        <v>0.99090089404317805</v>
      </c>
    </row>
    <row r="33" spans="1:6" x14ac:dyDescent="0.25">
      <c r="A33">
        <v>74.144124984741197</v>
      </c>
      <c r="B33" t="s">
        <v>42</v>
      </c>
      <c r="C33">
        <v>0.93343197684874801</v>
      </c>
      <c r="D33">
        <v>0.96557002059118202</v>
      </c>
      <c r="E33">
        <v>0.99170560544737596</v>
      </c>
      <c r="F33">
        <v>0.99229943499193296</v>
      </c>
    </row>
    <row r="34" spans="1:6" x14ac:dyDescent="0.25">
      <c r="A34">
        <v>84.068536758422795</v>
      </c>
      <c r="B34" t="s">
        <v>43</v>
      </c>
      <c r="C34">
        <v>0.92168331996207398</v>
      </c>
      <c r="D34">
        <v>0.95924579288148704</v>
      </c>
      <c r="E34">
        <v>0.97485188842261095</v>
      </c>
      <c r="F34">
        <v>0.99186239857923797</v>
      </c>
    </row>
    <row r="35" spans="1:6" x14ac:dyDescent="0.25">
      <c r="A35">
        <v>84.166049957275305</v>
      </c>
      <c r="B35" t="s">
        <v>44</v>
      </c>
      <c r="C35">
        <v>0.91750540641615497</v>
      </c>
      <c r="D35">
        <v>0.956978168975268</v>
      </c>
      <c r="E35">
        <v>0.97527567492827205</v>
      </c>
      <c r="F35">
        <v>0.99218961044529697</v>
      </c>
    </row>
    <row r="36" spans="1:6" x14ac:dyDescent="0.25">
      <c r="A36">
        <v>86.758375167846594</v>
      </c>
      <c r="B36" t="s">
        <v>45</v>
      </c>
      <c r="C36">
        <v>0.90455750638600496</v>
      </c>
      <c r="D36">
        <v>0.94988731330297205</v>
      </c>
      <c r="E36">
        <v>0.979276969256753</v>
      </c>
      <c r="F36">
        <v>0.98989732496920102</v>
      </c>
    </row>
    <row r="37" spans="1:6" x14ac:dyDescent="0.25">
      <c r="A37">
        <v>83.753108978271399</v>
      </c>
      <c r="B37" t="s">
        <v>46</v>
      </c>
      <c r="C37">
        <v>0.89494545008785098</v>
      </c>
      <c r="D37">
        <v>0.94456064690026897</v>
      </c>
      <c r="E37">
        <v>0.97539468703377896</v>
      </c>
      <c r="F37">
        <v>0.99157868826127105</v>
      </c>
    </row>
    <row r="38" spans="1:6" x14ac:dyDescent="0.25">
      <c r="A38">
        <v>84.444046020507798</v>
      </c>
      <c r="B38" t="s">
        <v>47</v>
      </c>
      <c r="C38">
        <v>0.91703211517164995</v>
      </c>
      <c r="D38">
        <v>0.95672065993483801</v>
      </c>
      <c r="E38">
        <v>0.96477587827289102</v>
      </c>
      <c r="F38">
        <v>0.992712775961619</v>
      </c>
    </row>
    <row r="39" spans="1:6" x14ac:dyDescent="0.25">
      <c r="A39">
        <v>83.676576614379798</v>
      </c>
      <c r="B39" t="s">
        <v>48</v>
      </c>
      <c r="C39">
        <v>0.91908442858802697</v>
      </c>
      <c r="D39">
        <v>0.95783636706827502</v>
      </c>
      <c r="E39">
        <v>0.983809725870053</v>
      </c>
      <c r="F39">
        <v>0.98944389064897098</v>
      </c>
    </row>
    <row r="40" spans="1:6" x14ac:dyDescent="0.25">
      <c r="A40">
        <v>79.182863235473604</v>
      </c>
      <c r="B40" t="s">
        <v>49</v>
      </c>
      <c r="C40">
        <v>0.90761159955311599</v>
      </c>
      <c r="D40">
        <v>0.95156854756569498</v>
      </c>
      <c r="E40">
        <v>0.97369266712408398</v>
      </c>
      <c r="F40">
        <v>0.99101921179468999</v>
      </c>
    </row>
    <row r="41" spans="1:6" x14ac:dyDescent="0.25">
      <c r="A41">
        <v>74.107408523559499</v>
      </c>
      <c r="B41" t="s">
        <v>50</v>
      </c>
      <c r="C41">
        <v>0.92078745147746099</v>
      </c>
      <c r="D41">
        <v>0.95876037795769198</v>
      </c>
      <c r="E41">
        <v>0.98350820781858095</v>
      </c>
      <c r="F41">
        <v>0.991347770196776</v>
      </c>
    </row>
    <row r="42" spans="1:6" x14ac:dyDescent="0.25">
      <c r="A42">
        <v>79.078435897827106</v>
      </c>
      <c r="B42" t="s">
        <v>51</v>
      </c>
      <c r="C42">
        <v>0.91411094587390196</v>
      </c>
      <c r="D42">
        <v>0.95512848703402298</v>
      </c>
      <c r="E42">
        <v>0.98349421505067902</v>
      </c>
      <c r="F42">
        <v>0.98902166520936496</v>
      </c>
    </row>
    <row r="43" spans="1:6" x14ac:dyDescent="0.25">
      <c r="A43">
        <v>83.644151687621999</v>
      </c>
      <c r="B43" t="s">
        <v>52</v>
      </c>
      <c r="C43">
        <v>0.91828479495682402</v>
      </c>
      <c r="D43">
        <v>0.95740194299719905</v>
      </c>
      <c r="E43">
        <v>0.97992375933737896</v>
      </c>
      <c r="F43">
        <v>0.989425635024893</v>
      </c>
    </row>
    <row r="44" spans="1:6" x14ac:dyDescent="0.25">
      <c r="A44">
        <v>79.073905944824205</v>
      </c>
      <c r="B44" t="s">
        <v>53</v>
      </c>
      <c r="C44">
        <v>0.91939086625470701</v>
      </c>
      <c r="D44">
        <v>0.95800275224681797</v>
      </c>
      <c r="E44">
        <v>0.98207023868613696</v>
      </c>
      <c r="F44">
        <v>0.99161543000774299</v>
      </c>
    </row>
    <row r="45" spans="1:6" x14ac:dyDescent="0.25">
      <c r="A45">
        <v>83.627462387084904</v>
      </c>
      <c r="B45" t="s">
        <v>54</v>
      </c>
      <c r="C45">
        <v>0.93861205341567799</v>
      </c>
      <c r="D45">
        <v>0.96833407360891999</v>
      </c>
      <c r="E45">
        <v>0.98862410282872804</v>
      </c>
      <c r="F45">
        <v>0.99259781421002402</v>
      </c>
    </row>
    <row r="46" spans="1:6" x14ac:dyDescent="0.25">
      <c r="A46">
        <v>83.7576389312744</v>
      </c>
      <c r="B46" t="s">
        <v>55</v>
      </c>
      <c r="C46">
        <v>0.92438069208404705</v>
      </c>
      <c r="D46">
        <v>0.96070460058812002</v>
      </c>
      <c r="E46">
        <v>0.97439020853272995</v>
      </c>
      <c r="F46">
        <v>0.99407917777173505</v>
      </c>
    </row>
    <row r="47" spans="1:6" x14ac:dyDescent="0.25">
      <c r="A47">
        <v>83.909749984741197</v>
      </c>
      <c r="B47" t="s">
        <v>56</v>
      </c>
      <c r="C47">
        <v>0.92550194333815405</v>
      </c>
      <c r="D47">
        <v>0.96130979928657301</v>
      </c>
      <c r="E47">
        <v>0.96792578626271597</v>
      </c>
      <c r="F47">
        <v>0.99296656975624997</v>
      </c>
    </row>
    <row r="48" spans="1:6" x14ac:dyDescent="0.25">
      <c r="A48">
        <v>73.966979980468693</v>
      </c>
      <c r="B48" t="s">
        <v>57</v>
      </c>
      <c r="C48">
        <v>0.929117164686587</v>
      </c>
      <c r="D48">
        <v>0.96325633475718497</v>
      </c>
      <c r="E48">
        <v>0.99021171013701903</v>
      </c>
      <c r="F48">
        <v>0.99171904008727596</v>
      </c>
    </row>
    <row r="49" spans="1:6" x14ac:dyDescent="0.25">
      <c r="A49">
        <v>83.727598190307603</v>
      </c>
      <c r="B49" t="s">
        <v>58</v>
      </c>
      <c r="C49">
        <v>0.84585179304634295</v>
      </c>
      <c r="D49">
        <v>0.91648939122070305</v>
      </c>
      <c r="E49">
        <v>0.89083978387319995</v>
      </c>
      <c r="F49">
        <v>0.99368855650800902</v>
      </c>
    </row>
    <row r="50" spans="1:6" x14ac:dyDescent="0.25">
      <c r="A50">
        <v>83.659410476684499</v>
      </c>
      <c r="B50" t="s">
        <v>59</v>
      </c>
      <c r="C50">
        <v>0.93645724029380895</v>
      </c>
      <c r="D50">
        <v>0.96718607651953603</v>
      </c>
      <c r="E50">
        <v>0.99137009317244495</v>
      </c>
      <c r="F50">
        <v>0.99066267790771401</v>
      </c>
    </row>
    <row r="51" spans="1:6" x14ac:dyDescent="0.25">
      <c r="A51">
        <v>81.788778305053697</v>
      </c>
      <c r="B51" t="s">
        <v>60</v>
      </c>
      <c r="C51">
        <v>0.911855753569489</v>
      </c>
      <c r="D51">
        <v>0.95389597449182895</v>
      </c>
      <c r="E51">
        <v>0.97245162273350605</v>
      </c>
      <c r="F51">
        <v>0.99311463366630404</v>
      </c>
    </row>
    <row r="52" spans="1:6" x14ac:dyDescent="0.25">
      <c r="A52">
        <v>77.507972717285099</v>
      </c>
      <c r="B52" t="s">
        <v>61</v>
      </c>
      <c r="C52">
        <v>0.93493848773351795</v>
      </c>
      <c r="D52">
        <v>0.96637541054718901</v>
      </c>
      <c r="E52">
        <v>0.99258266005838802</v>
      </c>
      <c r="F52">
        <v>0.992194416509802</v>
      </c>
    </row>
    <row r="53" spans="1:6" x14ac:dyDescent="0.25">
      <c r="A53">
        <v>73.674201965332003</v>
      </c>
      <c r="B53" t="s">
        <v>62</v>
      </c>
      <c r="C53">
        <v>0.558976101604022</v>
      </c>
      <c r="D53">
        <v>0.71710669718271403</v>
      </c>
      <c r="E53">
        <v>0.83371213621065099</v>
      </c>
      <c r="F53">
        <v>0.93270743499139597</v>
      </c>
    </row>
    <row r="54" spans="1:6" x14ac:dyDescent="0.25">
      <c r="A54">
        <v>78.855752944946204</v>
      </c>
      <c r="B54" t="s">
        <v>63</v>
      </c>
      <c r="C54">
        <v>0.93057456649648695</v>
      </c>
      <c r="D54">
        <v>0.96403897849462294</v>
      </c>
      <c r="E54">
        <v>0.97708649778970502</v>
      </c>
      <c r="F54">
        <v>0.99186260691556405</v>
      </c>
    </row>
    <row r="55" spans="1:6" x14ac:dyDescent="0.25">
      <c r="A55">
        <v>84.214925765991197</v>
      </c>
      <c r="B55" t="s">
        <v>64</v>
      </c>
      <c r="C55">
        <v>0.913332399582924</v>
      </c>
      <c r="D55">
        <v>0.95470332262393698</v>
      </c>
      <c r="E55">
        <v>0.97441431868369</v>
      </c>
      <c r="F55">
        <v>0.991320069215336</v>
      </c>
    </row>
    <row r="56" spans="1:6" x14ac:dyDescent="0.25">
      <c r="A56">
        <v>77.253103256225501</v>
      </c>
      <c r="B56" t="s">
        <v>65</v>
      </c>
      <c r="C56">
        <v>0.92999766736645595</v>
      </c>
      <c r="D56">
        <v>0.96372931749235502</v>
      </c>
      <c r="E56">
        <v>0.98683200910868496</v>
      </c>
      <c r="F56">
        <v>0.99201292252416196</v>
      </c>
    </row>
    <row r="57" spans="1:6" x14ac:dyDescent="0.25">
      <c r="A57">
        <v>83.422660827636705</v>
      </c>
      <c r="B57" t="s">
        <v>66</v>
      </c>
      <c r="C57">
        <v>0.93698635851654</v>
      </c>
      <c r="D57">
        <v>0.96746820585162996</v>
      </c>
      <c r="E57">
        <v>0.98334135983538296</v>
      </c>
      <c r="F57">
        <v>0.99256195627132404</v>
      </c>
    </row>
    <row r="58" spans="1:6" x14ac:dyDescent="0.25">
      <c r="A58">
        <v>83.301544189453097</v>
      </c>
      <c r="B58" t="s">
        <v>67</v>
      </c>
      <c r="C58">
        <v>0.92900179241140501</v>
      </c>
      <c r="D58">
        <v>0.96319432782908798</v>
      </c>
      <c r="E58">
        <v>0.97133911368015402</v>
      </c>
      <c r="F58">
        <v>0.99338765900195602</v>
      </c>
    </row>
    <row r="59" spans="1:6" x14ac:dyDescent="0.25">
      <c r="A59">
        <v>83.549022674560504</v>
      </c>
      <c r="B59" t="s">
        <v>68</v>
      </c>
      <c r="C59">
        <v>0.91440941810031595</v>
      </c>
      <c r="D59">
        <v>0.95529139112540695</v>
      </c>
      <c r="E59">
        <v>0.98006870598266704</v>
      </c>
      <c r="F59">
        <v>0.990548312283416</v>
      </c>
    </row>
    <row r="60" spans="1:6" x14ac:dyDescent="0.25">
      <c r="A60">
        <v>83.579063415527301</v>
      </c>
      <c r="B60" t="s">
        <v>69</v>
      </c>
      <c r="C60">
        <v>0.92784927060212197</v>
      </c>
      <c r="D60">
        <v>0.96257449661749495</v>
      </c>
      <c r="E60">
        <v>0.98069594933618998</v>
      </c>
      <c r="F60">
        <v>0.99067799807789203</v>
      </c>
    </row>
    <row r="61" spans="1:6" x14ac:dyDescent="0.25">
      <c r="A61">
        <v>78.655481338500906</v>
      </c>
      <c r="B61" t="s">
        <v>70</v>
      </c>
      <c r="C61">
        <v>0.92480653171433302</v>
      </c>
      <c r="D61">
        <v>0.96093453183645605</v>
      </c>
      <c r="E61">
        <v>0.97548612406123303</v>
      </c>
      <c r="F61">
        <v>0.99305288404710002</v>
      </c>
    </row>
    <row r="62" spans="1:6" x14ac:dyDescent="0.25">
      <c r="A62">
        <v>83.735227584838796</v>
      </c>
      <c r="B62" t="s">
        <v>71</v>
      </c>
      <c r="C62">
        <v>0.93000666033062096</v>
      </c>
      <c r="D62">
        <v>0.963734146048289</v>
      </c>
      <c r="E62">
        <v>0.98372516425235401</v>
      </c>
      <c r="F62">
        <v>0.99208779436289196</v>
      </c>
    </row>
    <row r="63" spans="1:6" x14ac:dyDescent="0.25">
      <c r="A63">
        <v>78.622102737426701</v>
      </c>
      <c r="B63" t="s">
        <v>72</v>
      </c>
      <c r="C63">
        <v>0.81031028320788401</v>
      </c>
      <c r="D63">
        <v>0.89521701414854404</v>
      </c>
      <c r="E63">
        <v>0.96642586288023402</v>
      </c>
      <c r="F63">
        <v>0.97778957209667405</v>
      </c>
    </row>
    <row r="64" spans="1:6" x14ac:dyDescent="0.25">
      <c r="A64">
        <v>79.0753364562988</v>
      </c>
      <c r="B64" t="s">
        <v>73</v>
      </c>
      <c r="C64">
        <v>0.92659809684795102</v>
      </c>
      <c r="D64">
        <v>0.961900770444993</v>
      </c>
      <c r="E64">
        <v>0.97940528985738395</v>
      </c>
      <c r="F64">
        <v>0.99226064878401699</v>
      </c>
    </row>
    <row r="65" spans="1:6" x14ac:dyDescent="0.25">
      <c r="A65">
        <v>83.887100219726506</v>
      </c>
      <c r="B65" t="s">
        <v>74</v>
      </c>
      <c r="C65">
        <v>0.92343731342235202</v>
      </c>
      <c r="D65">
        <v>0.96019486258097897</v>
      </c>
      <c r="E65">
        <v>0.98202040724860695</v>
      </c>
      <c r="F65">
        <v>0.99071500882254504</v>
      </c>
    </row>
    <row r="66" spans="1:6" x14ac:dyDescent="0.25">
      <c r="A66">
        <v>84.182262420654297</v>
      </c>
      <c r="B66" t="s">
        <v>75</v>
      </c>
      <c r="C66">
        <v>0.922760114669676</v>
      </c>
      <c r="D66">
        <v>0.95982864178374405</v>
      </c>
      <c r="E66">
        <v>0.97546811471981598</v>
      </c>
      <c r="F66">
        <v>0.99077127585920399</v>
      </c>
    </row>
    <row r="67" spans="1:6" x14ac:dyDescent="0.25">
      <c r="A67">
        <v>81.979274749755803</v>
      </c>
      <c r="B67" t="s">
        <v>76</v>
      </c>
      <c r="C67">
        <v>0.89817122986362696</v>
      </c>
      <c r="D67">
        <v>0.94635427587652898</v>
      </c>
      <c r="E67">
        <v>0.97540778488067803</v>
      </c>
      <c r="F67">
        <v>0.98762960821638301</v>
      </c>
    </row>
    <row r="68" spans="1:6" x14ac:dyDescent="0.25">
      <c r="A68">
        <v>83.775997161865206</v>
      </c>
      <c r="B68" t="s">
        <v>77</v>
      </c>
      <c r="C68">
        <v>0.91853615741320904</v>
      </c>
      <c r="D68">
        <v>0.95753854193885501</v>
      </c>
      <c r="E68">
        <v>0.985911072049934</v>
      </c>
      <c r="F68">
        <v>0.99127172996681101</v>
      </c>
    </row>
    <row r="69" spans="1:6" x14ac:dyDescent="0.25">
      <c r="A69">
        <v>83.409786224365206</v>
      </c>
      <c r="B69" t="s">
        <v>78</v>
      </c>
      <c r="C69">
        <v>0.93012387911230698</v>
      </c>
      <c r="D69">
        <v>0.96379707973986095</v>
      </c>
      <c r="E69">
        <v>0.98226958394739805</v>
      </c>
      <c r="F69">
        <v>0.99190405353932998</v>
      </c>
    </row>
    <row r="70" spans="1:6" x14ac:dyDescent="0.25">
      <c r="A70">
        <v>83.590030670166001</v>
      </c>
      <c r="B70" t="s">
        <v>79</v>
      </c>
      <c r="C70">
        <v>0.91119956721810702</v>
      </c>
      <c r="D70">
        <v>0.95353680782214201</v>
      </c>
      <c r="E70">
        <v>0.97701980779421604</v>
      </c>
      <c r="F70">
        <v>0.98890238455157298</v>
      </c>
    </row>
    <row r="71" spans="1:6" x14ac:dyDescent="0.25">
      <c r="A71">
        <v>83.779096603393498</v>
      </c>
      <c r="B71" t="s">
        <v>80</v>
      </c>
      <c r="C71">
        <v>0.91961681398895401</v>
      </c>
      <c r="D71">
        <v>0.958125400118782</v>
      </c>
      <c r="E71">
        <v>0.97867278041709005</v>
      </c>
      <c r="F71">
        <v>0.99115606917600896</v>
      </c>
    </row>
    <row r="72" spans="1:6" x14ac:dyDescent="0.25">
      <c r="A72">
        <v>83.860635757446204</v>
      </c>
      <c r="B72" t="s">
        <v>81</v>
      </c>
      <c r="C72">
        <v>0.91741079726685304</v>
      </c>
      <c r="D72">
        <v>0.956926704047524</v>
      </c>
      <c r="E72">
        <v>0.97778781539241699</v>
      </c>
      <c r="F72">
        <v>0.99099615778244199</v>
      </c>
    </row>
    <row r="73" spans="1:6" x14ac:dyDescent="0.25">
      <c r="A73">
        <v>82.011699676513601</v>
      </c>
      <c r="B73" t="s">
        <v>82</v>
      </c>
      <c r="C73">
        <v>0.92359111342758404</v>
      </c>
      <c r="D73">
        <v>0.96027799981033102</v>
      </c>
      <c r="E73">
        <v>0.97962145241204801</v>
      </c>
      <c r="F73">
        <v>0.99028726635061604</v>
      </c>
    </row>
    <row r="74" spans="1:6" x14ac:dyDescent="0.25">
      <c r="A74">
        <v>83.730220794677706</v>
      </c>
      <c r="B74" t="s">
        <v>83</v>
      </c>
      <c r="C74">
        <v>0.92433257978421701</v>
      </c>
      <c r="D74">
        <v>0.96067861605073102</v>
      </c>
      <c r="E74">
        <v>0.97652443407831002</v>
      </c>
      <c r="F74">
        <v>0.99234444682698997</v>
      </c>
    </row>
    <row r="75" spans="1:6" x14ac:dyDescent="0.25">
      <c r="A75">
        <v>84.004878997802706</v>
      </c>
      <c r="B75" t="s">
        <v>84</v>
      </c>
      <c r="C75">
        <v>0.92513342144446398</v>
      </c>
      <c r="D75">
        <v>0.96111096627299597</v>
      </c>
      <c r="E75">
        <v>0.98032194015033303</v>
      </c>
      <c r="F75">
        <v>0.99280798495340605</v>
      </c>
    </row>
    <row r="76" spans="1:6" x14ac:dyDescent="0.25">
      <c r="A76">
        <v>83.901166915893498</v>
      </c>
      <c r="B76" t="s">
        <v>85</v>
      </c>
      <c r="C76">
        <v>0.90900620822756495</v>
      </c>
      <c r="D76">
        <v>0.95233447047984199</v>
      </c>
      <c r="E76">
        <v>0.97351674421919698</v>
      </c>
      <c r="F76">
        <v>0.99266596026991705</v>
      </c>
    </row>
    <row r="77" spans="1:6" x14ac:dyDescent="0.25">
      <c r="A77">
        <v>73.778629302978501</v>
      </c>
      <c r="B77" t="s">
        <v>86</v>
      </c>
      <c r="C77">
        <v>0.88549009082818897</v>
      </c>
      <c r="D77">
        <v>0.93926782764394501</v>
      </c>
      <c r="E77">
        <v>0.979767430956065</v>
      </c>
      <c r="F77">
        <v>0.98520118095097398</v>
      </c>
    </row>
    <row r="78" spans="1:6" x14ac:dyDescent="0.25">
      <c r="A78" s="1">
        <f>AVERAGE(A4:A77)</f>
        <v>82.096873102961354</v>
      </c>
      <c r="B78" s="1"/>
      <c r="C78" s="1">
        <f>SUBTOTAL(101,Edgesam_test4[Column3])</f>
        <v>0.91145237437919013</v>
      </c>
      <c r="D78" s="1">
        <f>SUBTOTAL(101,Edgesam_test4[Column4])</f>
        <v>0.95297021703942408</v>
      </c>
      <c r="E78" s="1">
        <f>SUBTOTAL(101,Edgesam_test4[Column5])</f>
        <v>0.97535331197598507</v>
      </c>
      <c r="F78" s="1">
        <f>SUBTOTAL(101,Edgesam_test4[Column6])</f>
        <v>0.9904987887999781</v>
      </c>
    </row>
    <row r="79" spans="1:6" x14ac:dyDescent="0.25">
      <c r="A79" s="1">
        <f>STDEVA(A4:A77)</f>
        <v>3.2187456881513752</v>
      </c>
      <c r="B79" s="1"/>
      <c r="C79" s="1">
        <f>STDEVA(C3:C77)</f>
        <v>4.5884636658570101E-2</v>
      </c>
      <c r="D79" s="1">
        <f>STDEVA(D3:D77)</f>
        <v>2.9828826043487126E-2</v>
      </c>
      <c r="E79" s="1">
        <f>STDEVA(E3:E77)</f>
        <v>2.0761745855657914E-2</v>
      </c>
      <c r="F79" s="1">
        <f>STDEVA(F3:F77)</f>
        <v>7.1470746241901863E-3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0E0F-79D9-4AC2-AF87-6503F8B7F1D4}">
  <dimension ref="A1:F79"/>
  <sheetViews>
    <sheetView tabSelected="1" topLeftCell="A44" workbookViewId="0">
      <selection activeCell="F3" sqref="F3:F77"/>
    </sheetView>
  </sheetViews>
  <sheetFormatPr defaultRowHeight="15" x14ac:dyDescent="0.25"/>
  <cols>
    <col min="1" max="1" width="18.7109375" bestFit="1" customWidth="1"/>
    <col min="2" max="2" width="11.140625" bestFit="1" customWidth="1"/>
    <col min="3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474.88307952880803</v>
      </c>
      <c r="B3" t="s">
        <v>12</v>
      </c>
      <c r="C3">
        <v>0.93720450787129095</v>
      </c>
      <c r="D3">
        <v>0.96758447965944905</v>
      </c>
      <c r="E3">
        <v>0.97558219775386501</v>
      </c>
      <c r="F3">
        <v>0.99410933724589701</v>
      </c>
    </row>
    <row r="4" spans="1:6" x14ac:dyDescent="0.25">
      <c r="A4">
        <v>39.991617202758697</v>
      </c>
      <c r="B4" t="s">
        <v>13</v>
      </c>
      <c r="C4">
        <v>0.90345364794846605</v>
      </c>
      <c r="D4">
        <v>0.94927832776196497</v>
      </c>
      <c r="E4">
        <v>0.97605832238055101</v>
      </c>
      <c r="F4">
        <v>0.99098554441520503</v>
      </c>
    </row>
    <row r="5" spans="1:6" x14ac:dyDescent="0.25">
      <c r="A5">
        <v>25.6581306457519</v>
      </c>
      <c r="B5" t="s">
        <v>14</v>
      </c>
      <c r="C5">
        <v>0.93422776624192505</v>
      </c>
      <c r="D5">
        <v>0.96599561080344398</v>
      </c>
      <c r="E5">
        <v>0.97390450021566499</v>
      </c>
      <c r="F5">
        <v>0.99424181974523995</v>
      </c>
    </row>
    <row r="6" spans="1:6" x14ac:dyDescent="0.25">
      <c r="A6">
        <v>20.734548568725501</v>
      </c>
      <c r="B6" t="s">
        <v>15</v>
      </c>
      <c r="C6">
        <v>0.932675774533404</v>
      </c>
      <c r="D6">
        <v>0.96516527689035103</v>
      </c>
      <c r="E6">
        <v>0.97839614984135304</v>
      </c>
      <c r="F6">
        <v>0.99354742625514303</v>
      </c>
    </row>
    <row r="7" spans="1:6" x14ac:dyDescent="0.25">
      <c r="A7">
        <v>23.552656173706001</v>
      </c>
      <c r="B7" t="s">
        <v>16</v>
      </c>
      <c r="C7">
        <v>0.93308486040652905</v>
      </c>
      <c r="D7">
        <v>0.96538427206998101</v>
      </c>
      <c r="E7">
        <v>0.98235695911871901</v>
      </c>
      <c r="F7">
        <v>0.99202268381198699</v>
      </c>
    </row>
    <row r="8" spans="1:6" x14ac:dyDescent="0.25">
      <c r="A8">
        <v>20.9825038909912</v>
      </c>
      <c r="B8" t="s">
        <v>17</v>
      </c>
      <c r="C8">
        <v>0.92891372685993701</v>
      </c>
      <c r="D8">
        <v>0.96314699193116105</v>
      </c>
      <c r="E8">
        <v>0.97716801022920097</v>
      </c>
      <c r="F8">
        <v>0.99225310823620905</v>
      </c>
    </row>
    <row r="9" spans="1:6" x14ac:dyDescent="0.25">
      <c r="A9">
        <v>21.249055862426701</v>
      </c>
      <c r="B9" t="s">
        <v>18</v>
      </c>
      <c r="C9">
        <v>0.93899680222080695</v>
      </c>
      <c r="D9">
        <v>0.96853878371056401</v>
      </c>
      <c r="E9">
        <v>0.97769118985643699</v>
      </c>
      <c r="F9">
        <v>0.99441047334983801</v>
      </c>
    </row>
    <row r="10" spans="1:6" x14ac:dyDescent="0.25">
      <c r="A10">
        <v>21.794080734252901</v>
      </c>
      <c r="B10" t="s">
        <v>19</v>
      </c>
      <c r="C10">
        <v>0.94285153467002003</v>
      </c>
      <c r="D10">
        <v>0.97058526381961197</v>
      </c>
      <c r="E10">
        <v>0.97937685011780296</v>
      </c>
      <c r="F10">
        <v>0.99440049249469498</v>
      </c>
    </row>
    <row r="11" spans="1:6" x14ac:dyDescent="0.25">
      <c r="A11">
        <v>21.1563110351562</v>
      </c>
      <c r="B11" t="s">
        <v>20</v>
      </c>
      <c r="C11">
        <v>0.93848592738896497</v>
      </c>
      <c r="D11">
        <v>0.96826694909573496</v>
      </c>
      <c r="E11">
        <v>0.97942799799297497</v>
      </c>
      <c r="F11">
        <v>0.99285979043251804</v>
      </c>
    </row>
    <row r="12" spans="1:6" x14ac:dyDescent="0.25">
      <c r="A12">
        <v>21.455049514770501</v>
      </c>
      <c r="B12" t="s">
        <v>21</v>
      </c>
      <c r="C12">
        <v>0.93008898873273704</v>
      </c>
      <c r="D12">
        <v>0.96377834821327801</v>
      </c>
      <c r="E12">
        <v>0.98005339890449605</v>
      </c>
      <c r="F12">
        <v>0.99376852546603001</v>
      </c>
    </row>
    <row r="13" spans="1:6" x14ac:dyDescent="0.25">
      <c r="A13">
        <v>21.7187404632568</v>
      </c>
      <c r="B13" t="s">
        <v>22</v>
      </c>
      <c r="C13">
        <v>0.91344969413533195</v>
      </c>
      <c r="D13">
        <v>0.95476739935732702</v>
      </c>
      <c r="E13">
        <v>0.97740321247458795</v>
      </c>
      <c r="F13">
        <v>0.99346436577863495</v>
      </c>
    </row>
    <row r="14" spans="1:6" x14ac:dyDescent="0.25">
      <c r="A14">
        <v>21.821022033691399</v>
      </c>
      <c r="B14" t="s">
        <v>23</v>
      </c>
      <c r="C14">
        <v>0.93404024662917495</v>
      </c>
      <c r="D14">
        <v>0.96589535637338098</v>
      </c>
      <c r="E14">
        <v>0.97755637498227199</v>
      </c>
      <c r="F14">
        <v>0.99438317517312103</v>
      </c>
    </row>
    <row r="15" spans="1:6" x14ac:dyDescent="0.25">
      <c r="A15">
        <v>21.680355072021399</v>
      </c>
      <c r="B15" t="s">
        <v>24</v>
      </c>
      <c r="C15">
        <v>0.92570305690211396</v>
      </c>
      <c r="D15">
        <v>0.96141827638919197</v>
      </c>
      <c r="E15">
        <v>0.97035297512182594</v>
      </c>
      <c r="F15">
        <v>0.99348565935778799</v>
      </c>
    </row>
    <row r="16" spans="1:6" x14ac:dyDescent="0.25">
      <c r="A16">
        <v>20.8117961883544</v>
      </c>
      <c r="B16" t="s">
        <v>25</v>
      </c>
      <c r="C16">
        <v>0.91646356424306796</v>
      </c>
      <c r="D16">
        <v>0.95641115369186502</v>
      </c>
      <c r="E16">
        <v>0.98063341763732903</v>
      </c>
      <c r="F16">
        <v>0.99143643363476797</v>
      </c>
    </row>
    <row r="17" spans="1:6" x14ac:dyDescent="0.25">
      <c r="A17">
        <v>22.419214248657202</v>
      </c>
      <c r="B17" t="s">
        <v>26</v>
      </c>
      <c r="C17">
        <v>0.94295614485572499</v>
      </c>
      <c r="D17">
        <v>0.97064068826498895</v>
      </c>
      <c r="E17">
        <v>0.98121417833317603</v>
      </c>
      <c r="F17">
        <v>0.99213355983458695</v>
      </c>
    </row>
    <row r="18" spans="1:6" x14ac:dyDescent="0.25">
      <c r="A18">
        <v>23.105144500732401</v>
      </c>
      <c r="B18" t="s">
        <v>27</v>
      </c>
      <c r="C18">
        <v>0.93022848520773804</v>
      </c>
      <c r="D18">
        <v>0.96385323534133105</v>
      </c>
      <c r="E18">
        <v>0.97688961199731195</v>
      </c>
      <c r="F18">
        <v>0.992183736749223</v>
      </c>
    </row>
    <row r="19" spans="1:6" x14ac:dyDescent="0.25">
      <c r="A19">
        <v>21.468162536621001</v>
      </c>
      <c r="B19" t="s">
        <v>28</v>
      </c>
      <c r="C19">
        <v>0.92309186741899496</v>
      </c>
      <c r="D19">
        <v>0.96000808183738795</v>
      </c>
      <c r="E19">
        <v>0.98248689663852695</v>
      </c>
      <c r="F19">
        <v>0.99236460428124096</v>
      </c>
    </row>
    <row r="20" spans="1:6" x14ac:dyDescent="0.25">
      <c r="A20">
        <v>21.3420391082763</v>
      </c>
      <c r="B20" t="s">
        <v>29</v>
      </c>
      <c r="C20">
        <v>0.91782137087468196</v>
      </c>
      <c r="D20">
        <v>0.95715000866434297</v>
      </c>
      <c r="E20">
        <v>0.97586423509550202</v>
      </c>
      <c r="F20">
        <v>0.99319421058969404</v>
      </c>
    </row>
    <row r="21" spans="1:6" x14ac:dyDescent="0.25">
      <c r="A21">
        <v>22.557258605956999</v>
      </c>
      <c r="B21" t="s">
        <v>30</v>
      </c>
      <c r="C21">
        <v>0.91500913977521503</v>
      </c>
      <c r="D21">
        <v>0.95561856157263003</v>
      </c>
      <c r="E21">
        <v>0.97250247660450295</v>
      </c>
      <c r="F21">
        <v>0.99308386697903706</v>
      </c>
    </row>
    <row r="22" spans="1:6" x14ac:dyDescent="0.25">
      <c r="A22">
        <v>21.6472148895263</v>
      </c>
      <c r="B22" t="s">
        <v>31</v>
      </c>
      <c r="C22">
        <v>0.93766262757326502</v>
      </c>
      <c r="D22">
        <v>0.96782857266292699</v>
      </c>
      <c r="E22">
        <v>0.98078747281934497</v>
      </c>
      <c r="F22">
        <v>0.99308525226816402</v>
      </c>
    </row>
    <row r="23" spans="1:6" x14ac:dyDescent="0.25">
      <c r="A23">
        <v>21.5840339660644</v>
      </c>
      <c r="B23" t="s">
        <v>32</v>
      </c>
      <c r="C23">
        <v>0.93165856074568998</v>
      </c>
      <c r="D23">
        <v>0.96462033164498395</v>
      </c>
      <c r="E23">
        <v>0.97262108600200003</v>
      </c>
      <c r="F23">
        <v>0.99442618863918197</v>
      </c>
    </row>
    <row r="24" spans="1:6" x14ac:dyDescent="0.25">
      <c r="A24">
        <v>20.777940750121999</v>
      </c>
      <c r="B24" t="s">
        <v>33</v>
      </c>
      <c r="C24">
        <v>0.94060186535686896</v>
      </c>
      <c r="D24">
        <v>0.96939190067602699</v>
      </c>
      <c r="E24">
        <v>0.98434032160920104</v>
      </c>
      <c r="F24">
        <v>0.99392261797572201</v>
      </c>
    </row>
    <row r="25" spans="1:6" x14ac:dyDescent="0.25">
      <c r="A25">
        <v>22.594213485717699</v>
      </c>
      <c r="B25" t="s">
        <v>34</v>
      </c>
      <c r="C25">
        <v>0.93934865266986201</v>
      </c>
      <c r="D25">
        <v>0.96872591875285496</v>
      </c>
      <c r="E25">
        <v>0.98163235690445005</v>
      </c>
      <c r="F25">
        <v>0.99279317154663504</v>
      </c>
    </row>
    <row r="26" spans="1:6" x14ac:dyDescent="0.25">
      <c r="A26">
        <v>20.798683166503899</v>
      </c>
      <c r="B26" t="s">
        <v>35</v>
      </c>
      <c r="C26">
        <v>0.94018876131428597</v>
      </c>
      <c r="D26">
        <v>0.96917246410333902</v>
      </c>
      <c r="E26">
        <v>0.97624902322046903</v>
      </c>
      <c r="F26">
        <v>0.99411497469439103</v>
      </c>
    </row>
    <row r="27" spans="1:6" x14ac:dyDescent="0.25">
      <c r="A27">
        <v>22.124290466308501</v>
      </c>
      <c r="B27" t="s">
        <v>36</v>
      </c>
      <c r="C27">
        <v>0.93293508496968003</v>
      </c>
      <c r="D27">
        <v>0.96530410382024101</v>
      </c>
      <c r="E27">
        <v>0.98368229797542805</v>
      </c>
      <c r="F27">
        <v>0.993261493082499</v>
      </c>
    </row>
    <row r="28" spans="1:6" x14ac:dyDescent="0.25">
      <c r="A28">
        <v>20.847558975219702</v>
      </c>
      <c r="B28" t="s">
        <v>37</v>
      </c>
      <c r="C28">
        <v>0.93880552220888303</v>
      </c>
      <c r="D28">
        <v>0.96843702109874397</v>
      </c>
      <c r="E28">
        <v>0.97828024581319994</v>
      </c>
      <c r="F28">
        <v>0.99415862726654602</v>
      </c>
    </row>
    <row r="29" spans="1:6" x14ac:dyDescent="0.25">
      <c r="A29">
        <v>21.334648132324201</v>
      </c>
      <c r="B29" t="s">
        <v>38</v>
      </c>
      <c r="C29">
        <v>0.93583347426574204</v>
      </c>
      <c r="D29">
        <v>0.96685328227491396</v>
      </c>
      <c r="E29">
        <v>0.97407950711456603</v>
      </c>
      <c r="F29">
        <v>0.993891931473873</v>
      </c>
    </row>
    <row r="30" spans="1:6" x14ac:dyDescent="0.25">
      <c r="A30">
        <v>21.708488464355401</v>
      </c>
      <c r="B30" t="s">
        <v>39</v>
      </c>
      <c r="C30">
        <v>0.93689640106683303</v>
      </c>
      <c r="D30">
        <v>0.96742025082063798</v>
      </c>
      <c r="E30">
        <v>0.97861905962006002</v>
      </c>
      <c r="F30">
        <v>0.99274975797410103</v>
      </c>
    </row>
    <row r="31" spans="1:6" x14ac:dyDescent="0.25">
      <c r="A31">
        <v>21.432161331176701</v>
      </c>
      <c r="B31" t="s">
        <v>40</v>
      </c>
      <c r="C31">
        <v>0.93728660543982101</v>
      </c>
      <c r="D31">
        <v>0.96762823095762796</v>
      </c>
      <c r="E31">
        <v>0.98225171969810099</v>
      </c>
      <c r="F31">
        <v>0.99257267904479995</v>
      </c>
    </row>
    <row r="32" spans="1:6" x14ac:dyDescent="0.25">
      <c r="A32">
        <v>21.306037902831999</v>
      </c>
      <c r="B32" t="s">
        <v>41</v>
      </c>
      <c r="C32">
        <v>0.938645653701219</v>
      </c>
      <c r="D32">
        <v>0.96835195427197096</v>
      </c>
      <c r="E32">
        <v>0.983907141781177</v>
      </c>
      <c r="F32">
        <v>0.99379817927804004</v>
      </c>
    </row>
    <row r="33" spans="1:6" x14ac:dyDescent="0.25">
      <c r="A33">
        <v>21.319150924682599</v>
      </c>
      <c r="B33" t="s">
        <v>42</v>
      </c>
      <c r="C33">
        <v>0.93431047305484205</v>
      </c>
      <c r="D33">
        <v>0.96603982253096399</v>
      </c>
      <c r="E33">
        <v>0.97914002977493597</v>
      </c>
      <c r="F33">
        <v>0.99413625632233305</v>
      </c>
    </row>
    <row r="34" spans="1:6" x14ac:dyDescent="0.25">
      <c r="A34">
        <v>20.905256271362301</v>
      </c>
      <c r="B34" t="s">
        <v>43</v>
      </c>
      <c r="C34">
        <v>0.91952614379084896</v>
      </c>
      <c r="D34">
        <v>0.95807618642264303</v>
      </c>
      <c r="E34">
        <v>0.97740987329933804</v>
      </c>
      <c r="F34">
        <v>0.99410278714753797</v>
      </c>
    </row>
    <row r="35" spans="1:6" x14ac:dyDescent="0.25">
      <c r="A35">
        <v>21.319627761840799</v>
      </c>
      <c r="B35" t="s">
        <v>44</v>
      </c>
      <c r="C35">
        <v>0.92704331478082502</v>
      </c>
      <c r="D35">
        <v>0.96214060957551795</v>
      </c>
      <c r="E35">
        <v>0.98288780164976697</v>
      </c>
      <c r="F35">
        <v>0.99170400011284099</v>
      </c>
    </row>
    <row r="36" spans="1:6" x14ac:dyDescent="0.25">
      <c r="A36">
        <v>22.228717803955</v>
      </c>
      <c r="B36" t="s">
        <v>45</v>
      </c>
      <c r="C36">
        <v>0.93126054604298603</v>
      </c>
      <c r="D36">
        <v>0.96440694959680295</v>
      </c>
      <c r="E36">
        <v>0.98519976296209499</v>
      </c>
      <c r="F36">
        <v>0.991318022259288</v>
      </c>
    </row>
    <row r="37" spans="1:6" x14ac:dyDescent="0.25">
      <c r="A37">
        <v>21.3017463684082</v>
      </c>
      <c r="B37" t="s">
        <v>46</v>
      </c>
      <c r="C37">
        <v>0.91254033907549603</v>
      </c>
      <c r="D37">
        <v>0.95427042288332498</v>
      </c>
      <c r="E37">
        <v>0.97048444947165902</v>
      </c>
      <c r="F37">
        <v>0.99305075761342998</v>
      </c>
    </row>
    <row r="38" spans="1:6" x14ac:dyDescent="0.25">
      <c r="A38">
        <v>20.867347717285099</v>
      </c>
      <c r="B38" t="s">
        <v>47</v>
      </c>
      <c r="C38">
        <v>0.93464805071052703</v>
      </c>
      <c r="D38">
        <v>0.966220238732584</v>
      </c>
      <c r="E38">
        <v>0.97966805339632901</v>
      </c>
      <c r="F38">
        <v>0.994058517071853</v>
      </c>
    </row>
    <row r="39" spans="1:6" x14ac:dyDescent="0.25">
      <c r="A39">
        <v>21.8586921691894</v>
      </c>
      <c r="B39" t="s">
        <v>48</v>
      </c>
      <c r="C39">
        <v>0.93612412397406497</v>
      </c>
      <c r="D39">
        <v>0.96700837759573799</v>
      </c>
      <c r="E39">
        <v>0.97601631734421102</v>
      </c>
      <c r="F39">
        <v>0.99407677919301596</v>
      </c>
    </row>
    <row r="40" spans="1:6" x14ac:dyDescent="0.25">
      <c r="A40">
        <v>20.9033489227294</v>
      </c>
      <c r="B40" t="s">
        <v>49</v>
      </c>
      <c r="C40">
        <v>0.93382975789452904</v>
      </c>
      <c r="D40">
        <v>0.96578279870017403</v>
      </c>
      <c r="E40">
        <v>0.97504987967171897</v>
      </c>
      <c r="F40">
        <v>0.99286825999058403</v>
      </c>
    </row>
    <row r="41" spans="1:6" x14ac:dyDescent="0.25">
      <c r="A41">
        <v>22.8292942047119</v>
      </c>
      <c r="B41" t="s">
        <v>50</v>
      </c>
      <c r="C41">
        <v>0.933152082310437</v>
      </c>
      <c r="D41">
        <v>0.96542024898027201</v>
      </c>
      <c r="E41">
        <v>0.98229603801530396</v>
      </c>
      <c r="F41">
        <v>0.99257082041996003</v>
      </c>
    </row>
    <row r="42" spans="1:6" x14ac:dyDescent="0.25">
      <c r="A42">
        <v>20.8117961883544</v>
      </c>
      <c r="B42" t="s">
        <v>51</v>
      </c>
      <c r="C42">
        <v>0.93471016333667001</v>
      </c>
      <c r="D42">
        <v>0.96625342756729604</v>
      </c>
      <c r="E42">
        <v>0.97164205767901302</v>
      </c>
      <c r="F42">
        <v>0.99446962424537599</v>
      </c>
    </row>
    <row r="43" spans="1:6" x14ac:dyDescent="0.25">
      <c r="A43">
        <v>22.286891937255799</v>
      </c>
      <c r="B43" t="s">
        <v>52</v>
      </c>
      <c r="C43">
        <v>0.919179530134418</v>
      </c>
      <c r="D43">
        <v>0.95788800964341203</v>
      </c>
      <c r="E43">
        <v>0.97622426501736803</v>
      </c>
      <c r="F43">
        <v>0.99385842088053</v>
      </c>
    </row>
    <row r="44" spans="1:6" x14ac:dyDescent="0.25">
      <c r="A44">
        <v>21.9290256500244</v>
      </c>
      <c r="B44" t="s">
        <v>53</v>
      </c>
      <c r="C44">
        <v>0.91142533249660895</v>
      </c>
      <c r="D44">
        <v>0.95366040933040297</v>
      </c>
      <c r="E44">
        <v>0.97862281826678499</v>
      </c>
      <c r="F44">
        <v>0.99290793487510398</v>
      </c>
    </row>
    <row r="45" spans="1:6" x14ac:dyDescent="0.25">
      <c r="A45">
        <v>25.0194072723388</v>
      </c>
      <c r="B45" t="s">
        <v>54</v>
      </c>
      <c r="C45">
        <v>0.93069781272715202</v>
      </c>
      <c r="D45">
        <v>0.96410510913929204</v>
      </c>
      <c r="E45">
        <v>0.97859959353124004</v>
      </c>
      <c r="F45">
        <v>0.99365142623291502</v>
      </c>
    </row>
    <row r="46" spans="1:6" x14ac:dyDescent="0.25">
      <c r="A46">
        <v>20.9426879882812</v>
      </c>
      <c r="B46" t="s">
        <v>55</v>
      </c>
      <c r="C46">
        <v>0.92674592097030295</v>
      </c>
      <c r="D46">
        <v>0.96198041566746595</v>
      </c>
      <c r="E46">
        <v>0.97795723500431697</v>
      </c>
      <c r="F46">
        <v>0.99427447373046396</v>
      </c>
    </row>
    <row r="47" spans="1:6" x14ac:dyDescent="0.25">
      <c r="A47">
        <v>21.7916965484619</v>
      </c>
      <c r="B47" t="s">
        <v>56</v>
      </c>
      <c r="C47">
        <v>0.92734219868824797</v>
      </c>
      <c r="D47">
        <v>0.96230155632912295</v>
      </c>
      <c r="E47">
        <v>0.97527765179880399</v>
      </c>
      <c r="F47">
        <v>0.99486140686942104</v>
      </c>
    </row>
    <row r="48" spans="1:6" x14ac:dyDescent="0.25">
      <c r="A48">
        <v>21.282911300659102</v>
      </c>
      <c r="B48" t="s">
        <v>57</v>
      </c>
      <c r="C48">
        <v>0.92578050028788905</v>
      </c>
      <c r="D48">
        <v>0.96146004194090895</v>
      </c>
      <c r="E48">
        <v>0.98607349108192299</v>
      </c>
      <c r="F48">
        <v>0.99178886008415101</v>
      </c>
    </row>
    <row r="49" spans="1:6" x14ac:dyDescent="0.25">
      <c r="A49">
        <v>21.5017795562744</v>
      </c>
      <c r="B49" t="s">
        <v>58</v>
      </c>
      <c r="C49">
        <v>0.93637655850221302</v>
      </c>
      <c r="D49">
        <v>0.96714304290741904</v>
      </c>
      <c r="E49">
        <v>0.97835901962115501</v>
      </c>
      <c r="F49">
        <v>0.99432389572213198</v>
      </c>
    </row>
    <row r="50" spans="1:6" x14ac:dyDescent="0.25">
      <c r="A50">
        <v>23.211956024169901</v>
      </c>
      <c r="B50" t="s">
        <v>59</v>
      </c>
      <c r="C50">
        <v>0.94168972884612601</v>
      </c>
      <c r="D50">
        <v>0.96996931575235401</v>
      </c>
      <c r="E50">
        <v>0.98458782168049697</v>
      </c>
      <c r="F50">
        <v>0.99335973994044802</v>
      </c>
    </row>
    <row r="51" spans="1:6" x14ac:dyDescent="0.25">
      <c r="A51">
        <v>21.516084671020501</v>
      </c>
      <c r="B51" t="s">
        <v>60</v>
      </c>
      <c r="C51">
        <v>0.92966281560018005</v>
      </c>
      <c r="D51">
        <v>0.96354949484895203</v>
      </c>
      <c r="E51">
        <v>0.97569899409357497</v>
      </c>
      <c r="F51">
        <v>0.99482494559504098</v>
      </c>
    </row>
    <row r="52" spans="1:6" x14ac:dyDescent="0.25">
      <c r="A52">
        <v>21.027803421020501</v>
      </c>
      <c r="B52" t="s">
        <v>61</v>
      </c>
      <c r="C52">
        <v>0.93098394711992405</v>
      </c>
      <c r="D52">
        <v>0.96425860868340496</v>
      </c>
      <c r="E52">
        <v>0.97659915050082402</v>
      </c>
      <c r="F52">
        <v>0.99329671806969699</v>
      </c>
    </row>
    <row r="53" spans="1:6" x14ac:dyDescent="0.25">
      <c r="A53">
        <v>22.047042846679599</v>
      </c>
      <c r="B53" t="s">
        <v>62</v>
      </c>
      <c r="C53">
        <v>0.93396302071730897</v>
      </c>
      <c r="D53">
        <v>0.96585406309465105</v>
      </c>
      <c r="E53">
        <v>0.98379027792117502</v>
      </c>
      <c r="F53">
        <v>0.99396625390776305</v>
      </c>
    </row>
    <row r="54" spans="1:6" x14ac:dyDescent="0.25">
      <c r="A54">
        <v>21.003484725952099</v>
      </c>
      <c r="B54" t="s">
        <v>63</v>
      </c>
      <c r="C54">
        <v>0.92210656385150103</v>
      </c>
      <c r="D54">
        <v>0.959474964805064</v>
      </c>
      <c r="E54">
        <v>0.97882249414733702</v>
      </c>
      <c r="F54">
        <v>0.99201717885010299</v>
      </c>
    </row>
    <row r="55" spans="1:6" x14ac:dyDescent="0.25">
      <c r="A55">
        <v>22.2973823547363</v>
      </c>
      <c r="B55" t="s">
        <v>64</v>
      </c>
      <c r="C55">
        <v>0.93204209503532898</v>
      </c>
      <c r="D55">
        <v>0.96482586733524101</v>
      </c>
      <c r="E55">
        <v>0.98458856293255004</v>
      </c>
      <c r="F55">
        <v>0.99184566362871196</v>
      </c>
    </row>
    <row r="56" spans="1:6" x14ac:dyDescent="0.25">
      <c r="A56">
        <v>20.889520645141602</v>
      </c>
      <c r="B56" t="s">
        <v>65</v>
      </c>
      <c r="C56">
        <v>0.93106756767934096</v>
      </c>
      <c r="D56">
        <v>0.964303459146435</v>
      </c>
      <c r="E56">
        <v>0.98023285178121999</v>
      </c>
      <c r="F56">
        <v>0.99350567985272098</v>
      </c>
    </row>
    <row r="57" spans="1:6" x14ac:dyDescent="0.25">
      <c r="A57">
        <v>21.3115215301513</v>
      </c>
      <c r="B57" t="s">
        <v>66</v>
      </c>
      <c r="C57">
        <v>0.93760989166808395</v>
      </c>
      <c r="D57">
        <v>0.96780048006556996</v>
      </c>
      <c r="E57">
        <v>0.97915891013707901</v>
      </c>
      <c r="F57">
        <v>0.994371213977704</v>
      </c>
    </row>
    <row r="58" spans="1:6" x14ac:dyDescent="0.25">
      <c r="A58">
        <v>21.647691726684499</v>
      </c>
      <c r="B58" t="s">
        <v>67</v>
      </c>
      <c r="C58">
        <v>0.92823728177210396</v>
      </c>
      <c r="D58">
        <v>0.96278325343759297</v>
      </c>
      <c r="E58">
        <v>0.97895862205503803</v>
      </c>
      <c r="F58">
        <v>0.99251871135345104</v>
      </c>
    </row>
    <row r="59" spans="1:6" x14ac:dyDescent="0.25">
      <c r="A59">
        <v>21.329402923583899</v>
      </c>
      <c r="B59" t="s">
        <v>68</v>
      </c>
      <c r="C59">
        <v>0.94393213630105499</v>
      </c>
      <c r="D59">
        <v>0.97115749945590601</v>
      </c>
      <c r="E59">
        <v>0.98329025800379399</v>
      </c>
      <c r="F59">
        <v>0.99389746605998397</v>
      </c>
    </row>
    <row r="60" spans="1:6" x14ac:dyDescent="0.25">
      <c r="A60">
        <v>21.251916885375898</v>
      </c>
      <c r="B60" t="s">
        <v>69</v>
      </c>
      <c r="C60">
        <v>0.93663361844045601</v>
      </c>
      <c r="D60">
        <v>0.96728013964222503</v>
      </c>
      <c r="E60">
        <v>0.98038470672049305</v>
      </c>
      <c r="F60">
        <v>0.99360149027482902</v>
      </c>
    </row>
    <row r="61" spans="1:6" x14ac:dyDescent="0.25">
      <c r="A61">
        <v>21.110296249389599</v>
      </c>
      <c r="B61" t="s">
        <v>70</v>
      </c>
      <c r="C61">
        <v>0.93661662209985297</v>
      </c>
      <c r="D61">
        <v>0.96727107617643904</v>
      </c>
      <c r="E61">
        <v>0.982118429505347</v>
      </c>
      <c r="F61">
        <v>0.99298453170002798</v>
      </c>
    </row>
    <row r="62" spans="1:6" x14ac:dyDescent="0.25">
      <c r="A62">
        <v>20.818710327148398</v>
      </c>
      <c r="B62" t="s">
        <v>71</v>
      </c>
      <c r="C62">
        <v>0.93870513250586995</v>
      </c>
      <c r="D62">
        <v>0.96838360487811603</v>
      </c>
      <c r="E62">
        <v>0.98043530054797901</v>
      </c>
      <c r="F62">
        <v>0.99299678761853205</v>
      </c>
    </row>
    <row r="63" spans="1:6" x14ac:dyDescent="0.25">
      <c r="A63">
        <v>20.778894424438398</v>
      </c>
      <c r="B63" t="s">
        <v>72</v>
      </c>
      <c r="C63">
        <v>0.929075039591574</v>
      </c>
      <c r="D63">
        <v>0.96323369544844495</v>
      </c>
      <c r="E63">
        <v>0.96699632707129002</v>
      </c>
      <c r="F63">
        <v>0.99407783233156199</v>
      </c>
    </row>
    <row r="64" spans="1:6" x14ac:dyDescent="0.25">
      <c r="A64">
        <v>21.130800247192301</v>
      </c>
      <c r="B64" t="s">
        <v>73</v>
      </c>
      <c r="C64">
        <v>0.93563883818441496</v>
      </c>
      <c r="D64">
        <v>0.96674939531800497</v>
      </c>
      <c r="E64">
        <v>0.98273676779669095</v>
      </c>
      <c r="F64">
        <v>0.99320827172974202</v>
      </c>
    </row>
    <row r="65" spans="1:6" x14ac:dyDescent="0.25">
      <c r="A65">
        <v>21.3758945465087</v>
      </c>
      <c r="B65" t="s">
        <v>74</v>
      </c>
      <c r="C65">
        <v>0.93857582302506704</v>
      </c>
      <c r="D65">
        <v>0.96831479261972597</v>
      </c>
      <c r="E65">
        <v>0.97496719628519102</v>
      </c>
      <c r="F65">
        <v>0.993673799680306</v>
      </c>
    </row>
    <row r="66" spans="1:6" x14ac:dyDescent="0.25">
      <c r="A66">
        <v>22.063493728637599</v>
      </c>
      <c r="B66" t="s">
        <v>75</v>
      </c>
      <c r="C66">
        <v>0.93315501439952697</v>
      </c>
      <c r="D66">
        <v>0.96542181816638395</v>
      </c>
      <c r="E66">
        <v>0.98285457499395001</v>
      </c>
      <c r="F66">
        <v>0.99339343524215795</v>
      </c>
    </row>
    <row r="67" spans="1:6" x14ac:dyDescent="0.25">
      <c r="A67">
        <v>21.552562713623001</v>
      </c>
      <c r="B67" t="s">
        <v>76</v>
      </c>
      <c r="C67">
        <v>0.94161403893310602</v>
      </c>
      <c r="D67">
        <v>0.96992916208054603</v>
      </c>
      <c r="E67">
        <v>0.98444594033313704</v>
      </c>
      <c r="F67">
        <v>0.99301159380109005</v>
      </c>
    </row>
    <row r="68" spans="1:6" x14ac:dyDescent="0.25">
      <c r="A68">
        <v>20.9770202636718</v>
      </c>
      <c r="B68" t="s">
        <v>77</v>
      </c>
      <c r="C68">
        <v>0.92288241505924296</v>
      </c>
      <c r="D68">
        <v>0.959894799423613</v>
      </c>
      <c r="E68">
        <v>0.96992251534929097</v>
      </c>
      <c r="F68">
        <v>0.99473253904034498</v>
      </c>
    </row>
    <row r="69" spans="1:6" x14ac:dyDescent="0.25">
      <c r="A69">
        <v>20.933151245117099</v>
      </c>
      <c r="B69" t="s">
        <v>78</v>
      </c>
      <c r="C69">
        <v>0.92254841775079199</v>
      </c>
      <c r="D69">
        <v>0.95971410574937799</v>
      </c>
      <c r="E69">
        <v>0.98383046652198003</v>
      </c>
      <c r="F69">
        <v>0.99209557450350505</v>
      </c>
    </row>
    <row r="70" spans="1:6" x14ac:dyDescent="0.25">
      <c r="A70">
        <v>21.5840339660644</v>
      </c>
      <c r="B70" t="s">
        <v>79</v>
      </c>
      <c r="C70">
        <v>0.94212184455049297</v>
      </c>
      <c r="D70">
        <v>0.97019849418206705</v>
      </c>
      <c r="E70">
        <v>0.98411486176874896</v>
      </c>
      <c r="F70">
        <v>0.99290248545672799</v>
      </c>
    </row>
    <row r="71" spans="1:6" x14ac:dyDescent="0.25">
      <c r="A71">
        <v>21.5840339660644</v>
      </c>
      <c r="B71" t="s">
        <v>80</v>
      </c>
      <c r="C71">
        <v>0.92773546180159605</v>
      </c>
      <c r="D71">
        <v>0.96251324954572903</v>
      </c>
      <c r="E71">
        <v>0.97672073525598502</v>
      </c>
      <c r="F71">
        <v>0.994178616314909</v>
      </c>
    </row>
    <row r="72" spans="1:6" x14ac:dyDescent="0.25">
      <c r="A72">
        <v>20.824193954467699</v>
      </c>
      <c r="B72" t="s">
        <v>81</v>
      </c>
      <c r="C72">
        <v>0.93976953616732795</v>
      </c>
      <c r="D72">
        <v>0.96894968051118202</v>
      </c>
      <c r="E72">
        <v>0.97648445472970002</v>
      </c>
      <c r="F72">
        <v>0.99402265584968197</v>
      </c>
    </row>
    <row r="73" spans="1:6" x14ac:dyDescent="0.25">
      <c r="A73">
        <v>22.8259563446044</v>
      </c>
      <c r="B73" t="s">
        <v>82</v>
      </c>
      <c r="C73">
        <v>0.93573499100815405</v>
      </c>
      <c r="D73">
        <v>0.96680071947329105</v>
      </c>
      <c r="E73">
        <v>0.98363358567766102</v>
      </c>
      <c r="F73">
        <v>0.993642311968428</v>
      </c>
    </row>
    <row r="74" spans="1:6" x14ac:dyDescent="0.25">
      <c r="A74">
        <v>20.930528640746999</v>
      </c>
      <c r="B74" t="s">
        <v>83</v>
      </c>
      <c r="C74">
        <v>0.92776892526955201</v>
      </c>
      <c r="D74">
        <v>0.962531258916133</v>
      </c>
      <c r="E74">
        <v>0.97798487419319002</v>
      </c>
      <c r="F74">
        <v>0.99318367044528399</v>
      </c>
    </row>
    <row r="75" spans="1:6" x14ac:dyDescent="0.25">
      <c r="A75">
        <v>21.531581878662099</v>
      </c>
      <c r="B75" t="s">
        <v>84</v>
      </c>
      <c r="C75">
        <v>0.93902942931913103</v>
      </c>
      <c r="D75">
        <v>0.968556139603163</v>
      </c>
      <c r="E75">
        <v>0.97883099894713299</v>
      </c>
      <c r="F75">
        <v>0.99424395908163299</v>
      </c>
    </row>
    <row r="76" spans="1:6" x14ac:dyDescent="0.25">
      <c r="A76">
        <v>22.068738937377901</v>
      </c>
      <c r="B76" t="s">
        <v>85</v>
      </c>
      <c r="C76">
        <v>0.92195200241687203</v>
      </c>
      <c r="D76">
        <v>0.959391286834956</v>
      </c>
      <c r="E76">
        <v>0.97861487739129505</v>
      </c>
      <c r="F76">
        <v>0.99353595696399699</v>
      </c>
    </row>
    <row r="77" spans="1:6" x14ac:dyDescent="0.25">
      <c r="A77">
        <v>21.531343460083001</v>
      </c>
      <c r="B77" t="s">
        <v>86</v>
      </c>
      <c r="C77">
        <v>0.89856209596261105</v>
      </c>
      <c r="D77">
        <v>0.94657119498324405</v>
      </c>
      <c r="E77">
        <v>0.97207229649312099</v>
      </c>
      <c r="F77">
        <v>0.99056891752615694</v>
      </c>
    </row>
    <row r="78" spans="1:6" x14ac:dyDescent="0.25">
      <c r="A78" s="1">
        <f>AVERAGE(A4:A77)</f>
        <v>21.890640258789031</v>
      </c>
      <c r="B78" s="1"/>
      <c r="C78" s="1">
        <f>SUBTOTAL(101,CMTUnet_test4[Column3])</f>
        <v>0.93096956613443926</v>
      </c>
      <c r="D78" s="1">
        <f>SUBTOTAL(101,CMTUnet_test4[Column4])</f>
        <v>0.96422747179004564</v>
      </c>
      <c r="E78" s="1">
        <f>SUBTOTAL(101,CMTUnet_test4[Column5])</f>
        <v>0.97873539171033808</v>
      </c>
      <c r="F78" s="1">
        <f>SUBTOTAL(101,CMTUnet_test4[Column6])</f>
        <v>0.99331711907480369</v>
      </c>
    </row>
    <row r="79" spans="1:6" x14ac:dyDescent="0.25">
      <c r="A79" s="1">
        <f>STDEVA(A4:A77)</f>
        <v>2.3094483415312195</v>
      </c>
      <c r="B79" s="1"/>
      <c r="C79" s="1">
        <f>STDEVA(C3:C77)</f>
        <v>9.2168150062774366E-3</v>
      </c>
      <c r="D79" s="1">
        <f>STDEVA(D3:D77)</f>
        <v>4.9737001057780011E-3</v>
      </c>
      <c r="E79" s="1">
        <f>STDEVA(E3:E77)</f>
        <v>4.0997927601515551E-3</v>
      </c>
      <c r="F79" s="1">
        <f>STDEVA(F3:F77)</f>
        <v>9.5384481181478534E-4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7F91-66DB-4AE6-922E-55496B2CDF08}">
  <dimension ref="A1:F79"/>
  <sheetViews>
    <sheetView workbookViewId="0">
      <selection activeCell="F77" sqref="F3:F77"/>
    </sheetView>
  </sheetViews>
  <sheetFormatPr defaultRowHeight="15" x14ac:dyDescent="0.25"/>
  <cols>
    <col min="1" max="1" width="18.7109375" bestFit="1" customWidth="1"/>
    <col min="2" max="2" width="11.140625" bestFit="1" customWidth="1"/>
    <col min="3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556.44226074218705</v>
      </c>
      <c r="B3" t="s">
        <v>12</v>
      </c>
      <c r="C3">
        <v>0.91761314076372802</v>
      </c>
      <c r="D3">
        <v>0.95703676748718003</v>
      </c>
      <c r="E3">
        <v>0.96121108364671504</v>
      </c>
      <c r="F3">
        <v>0.99477028974076898</v>
      </c>
    </row>
    <row r="4" spans="1:6" x14ac:dyDescent="0.25">
      <c r="A4">
        <v>42.2308444976806</v>
      </c>
      <c r="B4" t="s">
        <v>13</v>
      </c>
      <c r="C4">
        <v>0.92059366437930901</v>
      </c>
      <c r="D4">
        <v>0.95865531731494402</v>
      </c>
      <c r="E4">
        <v>0.97328234254259605</v>
      </c>
      <c r="F4">
        <v>0.99300015947648901</v>
      </c>
    </row>
    <row r="5" spans="1:6" x14ac:dyDescent="0.25">
      <c r="A5">
        <v>25.0146389007568</v>
      </c>
      <c r="B5" t="s">
        <v>14</v>
      </c>
      <c r="C5">
        <v>0.93302171147081403</v>
      </c>
      <c r="D5">
        <v>0.96535047271754504</v>
      </c>
      <c r="E5">
        <v>0.97003501573939799</v>
      </c>
      <c r="F5">
        <v>0.99381841710472996</v>
      </c>
    </row>
    <row r="6" spans="1:6" x14ac:dyDescent="0.25">
      <c r="A6">
        <v>24.3458747863769</v>
      </c>
      <c r="B6" t="s">
        <v>15</v>
      </c>
      <c r="C6">
        <v>0.94111004715532298</v>
      </c>
      <c r="D6">
        <v>0.969661713445366</v>
      </c>
      <c r="E6">
        <v>0.97783013112322903</v>
      </c>
      <c r="F6">
        <v>0.99558721278933304</v>
      </c>
    </row>
    <row r="7" spans="1:6" x14ac:dyDescent="0.25">
      <c r="A7">
        <v>24.733543395996001</v>
      </c>
      <c r="B7" t="s">
        <v>16</v>
      </c>
      <c r="C7">
        <v>0.92985716046990796</v>
      </c>
      <c r="D7">
        <v>0.96365386984754198</v>
      </c>
      <c r="E7">
        <v>0.96878641355708195</v>
      </c>
      <c r="F7">
        <v>0.99514360063219398</v>
      </c>
    </row>
    <row r="8" spans="1:6" x14ac:dyDescent="0.25">
      <c r="A8">
        <v>23.9300727844238</v>
      </c>
      <c r="B8" t="s">
        <v>17</v>
      </c>
      <c r="C8">
        <v>0.93327225413054504</v>
      </c>
      <c r="D8">
        <v>0.965484558252523</v>
      </c>
      <c r="E8">
        <v>0.97241252065651596</v>
      </c>
      <c r="F8">
        <v>0.99434148917977505</v>
      </c>
    </row>
    <row r="9" spans="1:6" x14ac:dyDescent="0.25">
      <c r="A9">
        <v>25.948524475097599</v>
      </c>
      <c r="B9" t="s">
        <v>18</v>
      </c>
      <c r="C9">
        <v>0.93873980966789805</v>
      </c>
      <c r="D9">
        <v>0.968402056827524</v>
      </c>
      <c r="E9">
        <v>0.97393942791473298</v>
      </c>
      <c r="F9">
        <v>0.99409297139766195</v>
      </c>
    </row>
    <row r="10" spans="1:6" x14ac:dyDescent="0.25">
      <c r="A10">
        <v>23.850679397583001</v>
      </c>
      <c r="B10" t="s">
        <v>19</v>
      </c>
      <c r="C10">
        <v>0.93602500987019599</v>
      </c>
      <c r="D10">
        <v>0.96695549396126201</v>
      </c>
      <c r="E10">
        <v>0.97219107235509705</v>
      </c>
      <c r="F10">
        <v>0.995030578571105</v>
      </c>
    </row>
    <row r="11" spans="1:6" x14ac:dyDescent="0.25">
      <c r="A11">
        <v>24.518728256225501</v>
      </c>
      <c r="B11" t="s">
        <v>20</v>
      </c>
      <c r="C11">
        <v>0.92683217545293495</v>
      </c>
      <c r="D11">
        <v>0.96202688252812396</v>
      </c>
      <c r="E11">
        <v>0.96495177988937697</v>
      </c>
      <c r="F11">
        <v>0.99504146362315105</v>
      </c>
    </row>
    <row r="12" spans="1:6" x14ac:dyDescent="0.25">
      <c r="A12">
        <v>24.492979049682599</v>
      </c>
      <c r="B12" t="s">
        <v>21</v>
      </c>
      <c r="C12">
        <v>0.91793991597081004</v>
      </c>
      <c r="D12">
        <v>0.95721446571612101</v>
      </c>
      <c r="E12">
        <v>0.97056269344674695</v>
      </c>
      <c r="F12">
        <v>0.99462951026223501</v>
      </c>
    </row>
    <row r="13" spans="1:6" x14ac:dyDescent="0.25">
      <c r="A13">
        <v>24.080276489257798</v>
      </c>
      <c r="B13" t="s">
        <v>22</v>
      </c>
      <c r="C13">
        <v>0.93806239277336201</v>
      </c>
      <c r="D13">
        <v>0.96804147923328399</v>
      </c>
      <c r="E13">
        <v>0.98004930973684401</v>
      </c>
      <c r="F13">
        <v>0.99329085009249996</v>
      </c>
    </row>
    <row r="14" spans="1:6" x14ac:dyDescent="0.25">
      <c r="A14">
        <v>25.758028030395501</v>
      </c>
      <c r="B14" t="s">
        <v>23</v>
      </c>
      <c r="C14">
        <v>0.93828786304173595</v>
      </c>
      <c r="D14">
        <v>0.96816152123997701</v>
      </c>
      <c r="E14">
        <v>0.97583393150334496</v>
      </c>
      <c r="F14">
        <v>0.99477017338223095</v>
      </c>
    </row>
    <row r="15" spans="1:6" x14ac:dyDescent="0.25">
      <c r="A15">
        <v>24.4336128234863</v>
      </c>
      <c r="B15" t="s">
        <v>24</v>
      </c>
      <c r="C15">
        <v>0.92629023272830002</v>
      </c>
      <c r="D15">
        <v>0.96173485904701805</v>
      </c>
      <c r="E15">
        <v>0.97010545381714897</v>
      </c>
      <c r="F15">
        <v>0.99418252852242395</v>
      </c>
    </row>
    <row r="16" spans="1:6" x14ac:dyDescent="0.25">
      <c r="A16">
        <v>25.845289230346602</v>
      </c>
      <c r="B16" t="s">
        <v>25</v>
      </c>
      <c r="C16">
        <v>0.93278980259073796</v>
      </c>
      <c r="D16">
        <v>0.96522632863688895</v>
      </c>
      <c r="E16">
        <v>0.97389297936326802</v>
      </c>
      <c r="F16">
        <v>0.99453401367836503</v>
      </c>
    </row>
    <row r="17" spans="1:6" x14ac:dyDescent="0.25">
      <c r="A17">
        <v>24.2996215820312</v>
      </c>
      <c r="B17" t="s">
        <v>26</v>
      </c>
      <c r="C17">
        <v>0.935115898395253</v>
      </c>
      <c r="D17">
        <v>0.96647017284155701</v>
      </c>
      <c r="E17">
        <v>0.97038014423186203</v>
      </c>
      <c r="F17">
        <v>0.99457513594886005</v>
      </c>
    </row>
    <row r="18" spans="1:6" x14ac:dyDescent="0.25">
      <c r="A18">
        <v>24.377346038818299</v>
      </c>
      <c r="B18" t="s">
        <v>27</v>
      </c>
      <c r="C18">
        <v>0.919334490495745</v>
      </c>
      <c r="D18">
        <v>0.957972146124764</v>
      </c>
      <c r="E18">
        <v>0.97374132333686003</v>
      </c>
      <c r="F18">
        <v>0.99295783666108095</v>
      </c>
    </row>
    <row r="19" spans="1:6" x14ac:dyDescent="0.25">
      <c r="A19">
        <v>24.844408035278299</v>
      </c>
      <c r="B19" t="s">
        <v>28</v>
      </c>
      <c r="C19">
        <v>0.92948155941317401</v>
      </c>
      <c r="D19">
        <v>0.96345213031822197</v>
      </c>
      <c r="E19">
        <v>0.96922139265579699</v>
      </c>
      <c r="F19">
        <v>0.99557008454623597</v>
      </c>
    </row>
    <row r="20" spans="1:6" x14ac:dyDescent="0.25">
      <c r="A20">
        <v>23.74267578125</v>
      </c>
      <c r="B20" t="s">
        <v>29</v>
      </c>
      <c r="C20">
        <v>0.93134346385246503</v>
      </c>
      <c r="D20">
        <v>0.964451410413254</v>
      </c>
      <c r="E20">
        <v>0.97202328897712797</v>
      </c>
      <c r="F20">
        <v>0.99398469482416796</v>
      </c>
    </row>
    <row r="21" spans="1:6" x14ac:dyDescent="0.25">
      <c r="A21">
        <v>25.104761123657202</v>
      </c>
      <c r="B21" t="s">
        <v>30</v>
      </c>
      <c r="C21">
        <v>0.93122383556477395</v>
      </c>
      <c r="D21">
        <v>0.96438726409198805</v>
      </c>
      <c r="E21">
        <v>0.96479423578874901</v>
      </c>
      <c r="F21">
        <v>0.99498921372040805</v>
      </c>
    </row>
    <row r="22" spans="1:6" x14ac:dyDescent="0.25">
      <c r="A22">
        <v>23.917913436889599</v>
      </c>
      <c r="B22" t="s">
        <v>31</v>
      </c>
      <c r="C22">
        <v>0.92355373662446105</v>
      </c>
      <c r="D22">
        <v>0.96025779684757295</v>
      </c>
      <c r="E22">
        <v>0.97382024795245903</v>
      </c>
      <c r="F22">
        <v>0.99354133216691798</v>
      </c>
    </row>
    <row r="23" spans="1:6" x14ac:dyDescent="0.25">
      <c r="A23">
        <v>25.5813598632812</v>
      </c>
      <c r="B23" t="s">
        <v>32</v>
      </c>
      <c r="C23">
        <v>0.91630625118673303</v>
      </c>
      <c r="D23">
        <v>0.95632548359040404</v>
      </c>
      <c r="E23">
        <v>0.97026562116033299</v>
      </c>
      <c r="F23">
        <v>0.99450289348834697</v>
      </c>
    </row>
    <row r="24" spans="1:6" x14ac:dyDescent="0.25">
      <c r="A24">
        <v>24.0707397460937</v>
      </c>
      <c r="B24" t="s">
        <v>33</v>
      </c>
      <c r="C24">
        <v>0.92158641884969905</v>
      </c>
      <c r="D24">
        <v>0.95919331007905395</v>
      </c>
      <c r="E24">
        <v>0.96176677221956297</v>
      </c>
      <c r="F24">
        <v>0.995494353210299</v>
      </c>
    </row>
    <row r="25" spans="1:6" x14ac:dyDescent="0.25">
      <c r="A25">
        <v>24.439811706542901</v>
      </c>
      <c r="B25" t="s">
        <v>34</v>
      </c>
      <c r="C25">
        <v>0.92798002807501201</v>
      </c>
      <c r="D25">
        <v>0.96264485581995496</v>
      </c>
      <c r="E25">
        <v>0.96680094579209996</v>
      </c>
      <c r="F25">
        <v>0.99488755182547595</v>
      </c>
    </row>
    <row r="26" spans="1:6" x14ac:dyDescent="0.25">
      <c r="A26">
        <v>25.319099426269499</v>
      </c>
      <c r="B26" t="s">
        <v>35</v>
      </c>
      <c r="C26">
        <v>0.92899427963283199</v>
      </c>
      <c r="D26">
        <v>0.96319028982258903</v>
      </c>
      <c r="E26">
        <v>0.97041810696729103</v>
      </c>
      <c r="F26">
        <v>0.99449990251093201</v>
      </c>
    </row>
    <row r="27" spans="1:6" x14ac:dyDescent="0.25">
      <c r="A27">
        <v>24.056673049926701</v>
      </c>
      <c r="B27" t="s">
        <v>36</v>
      </c>
      <c r="C27">
        <v>0.93086504399497205</v>
      </c>
      <c r="D27">
        <v>0.96419482748416796</v>
      </c>
      <c r="E27">
        <v>0.96722868677273799</v>
      </c>
      <c r="F27">
        <v>0.99464893314798797</v>
      </c>
    </row>
    <row r="28" spans="1:6" x14ac:dyDescent="0.25">
      <c r="A28">
        <v>24.289608001708899</v>
      </c>
      <c r="B28" t="s">
        <v>37</v>
      </c>
      <c r="C28">
        <v>0.93090547485101105</v>
      </c>
      <c r="D28">
        <v>0.96421651600821101</v>
      </c>
      <c r="E28">
        <v>0.95969574661801205</v>
      </c>
      <c r="F28">
        <v>0.99525457959469199</v>
      </c>
    </row>
    <row r="29" spans="1:6" x14ac:dyDescent="0.25">
      <c r="A29">
        <v>24.313926696777301</v>
      </c>
      <c r="B29" t="s">
        <v>38</v>
      </c>
      <c r="C29">
        <v>0.92205684459487003</v>
      </c>
      <c r="D29">
        <v>0.959448048779452</v>
      </c>
      <c r="E29">
        <v>0.95832980148168201</v>
      </c>
      <c r="F29">
        <v>0.99501290562453104</v>
      </c>
    </row>
    <row r="30" spans="1:6" x14ac:dyDescent="0.25">
      <c r="A30">
        <v>23.764848709106399</v>
      </c>
      <c r="B30" t="s">
        <v>39</v>
      </c>
      <c r="C30">
        <v>0.92799813477652604</v>
      </c>
      <c r="D30">
        <v>0.96265459809077003</v>
      </c>
      <c r="E30">
        <v>0.96521189585614398</v>
      </c>
      <c r="F30">
        <v>0.99401969325859296</v>
      </c>
    </row>
    <row r="31" spans="1:6" x14ac:dyDescent="0.25">
      <c r="A31">
        <v>25.317907333373999</v>
      </c>
      <c r="B31" t="s">
        <v>40</v>
      </c>
      <c r="C31">
        <v>0.93437426891758202</v>
      </c>
      <c r="D31">
        <v>0.96607392264417402</v>
      </c>
      <c r="E31">
        <v>0.96803021063001304</v>
      </c>
      <c r="F31">
        <v>0.994996057236329</v>
      </c>
    </row>
    <row r="32" spans="1:6" x14ac:dyDescent="0.25">
      <c r="A32">
        <v>23.984193801879801</v>
      </c>
      <c r="B32" t="s">
        <v>41</v>
      </c>
      <c r="C32">
        <v>0.92878742538547499</v>
      </c>
      <c r="D32">
        <v>0.96307909639119904</v>
      </c>
      <c r="E32">
        <v>0.96699161262287903</v>
      </c>
      <c r="F32">
        <v>0.99458562259943994</v>
      </c>
    </row>
    <row r="33" spans="1:6" x14ac:dyDescent="0.25">
      <c r="A33">
        <v>25.0346660614013</v>
      </c>
      <c r="B33" t="s">
        <v>42</v>
      </c>
      <c r="C33">
        <v>0.93652035897923502</v>
      </c>
      <c r="D33">
        <v>0.96721973991834198</v>
      </c>
      <c r="E33">
        <v>0.96690932157312803</v>
      </c>
      <c r="F33">
        <v>0.99530973026309999</v>
      </c>
    </row>
    <row r="34" spans="1:6" x14ac:dyDescent="0.25">
      <c r="A34">
        <v>24.047374725341701</v>
      </c>
      <c r="B34" t="s">
        <v>43</v>
      </c>
      <c r="C34">
        <v>0.93271033806881698</v>
      </c>
      <c r="D34">
        <v>0.96518378330897703</v>
      </c>
      <c r="E34">
        <v>0.96508359815397304</v>
      </c>
      <c r="F34">
        <v>0.99529206116096602</v>
      </c>
    </row>
    <row r="35" spans="1:6" x14ac:dyDescent="0.25">
      <c r="A35">
        <v>25.567531585693299</v>
      </c>
      <c r="B35" t="s">
        <v>44</v>
      </c>
      <c r="C35">
        <v>0.93349950964367401</v>
      </c>
      <c r="D35">
        <v>0.96560615090686897</v>
      </c>
      <c r="E35">
        <v>0.96937164776970597</v>
      </c>
      <c r="F35">
        <v>0.99513507473591001</v>
      </c>
    </row>
    <row r="36" spans="1:6" x14ac:dyDescent="0.25">
      <c r="A36">
        <v>23.965120315551701</v>
      </c>
      <c r="B36" t="s">
        <v>45</v>
      </c>
      <c r="C36">
        <v>0.93652017080051098</v>
      </c>
      <c r="D36">
        <v>0.967219639559319</v>
      </c>
      <c r="E36">
        <v>0.96916376862457299</v>
      </c>
      <c r="F36">
        <v>0.99526648498056702</v>
      </c>
    </row>
    <row r="37" spans="1:6" x14ac:dyDescent="0.25">
      <c r="A37">
        <v>25.582790374755799</v>
      </c>
      <c r="B37" t="s">
        <v>46</v>
      </c>
      <c r="C37">
        <v>0.93172464620200202</v>
      </c>
      <c r="D37">
        <v>0.96465575260312797</v>
      </c>
      <c r="E37">
        <v>0.97349022322200995</v>
      </c>
      <c r="F37">
        <v>0.99444692153020997</v>
      </c>
    </row>
    <row r="38" spans="1:6" x14ac:dyDescent="0.25">
      <c r="A38">
        <v>23.823738098144499</v>
      </c>
      <c r="B38" t="s">
        <v>47</v>
      </c>
      <c r="C38">
        <v>0.92686681501477397</v>
      </c>
      <c r="D38">
        <v>0.96204554232012895</v>
      </c>
      <c r="E38">
        <v>0.95617322976878605</v>
      </c>
      <c r="F38">
        <v>0.99541231304165501</v>
      </c>
    </row>
    <row r="39" spans="1:6" x14ac:dyDescent="0.25">
      <c r="A39">
        <v>24.497270584106399</v>
      </c>
      <c r="B39" t="s">
        <v>48</v>
      </c>
      <c r="C39">
        <v>0.93903714142837602</v>
      </c>
      <c r="D39">
        <v>0.96856024195250001</v>
      </c>
      <c r="E39">
        <v>0.97040308183782698</v>
      </c>
      <c r="F39">
        <v>0.99352376441440604</v>
      </c>
    </row>
    <row r="40" spans="1:6" x14ac:dyDescent="0.25">
      <c r="A40">
        <v>24.441003799438398</v>
      </c>
      <c r="B40" t="s">
        <v>49</v>
      </c>
      <c r="C40">
        <v>0.93387181556366605</v>
      </c>
      <c r="D40">
        <v>0.96580529076222199</v>
      </c>
      <c r="E40">
        <v>0.97305449271784705</v>
      </c>
      <c r="F40">
        <v>0.99408124978235801</v>
      </c>
    </row>
    <row r="41" spans="1:6" x14ac:dyDescent="0.25">
      <c r="A41">
        <v>24.8379707336425</v>
      </c>
      <c r="B41" t="s">
        <v>50</v>
      </c>
      <c r="C41">
        <v>0.93297094875572395</v>
      </c>
      <c r="D41">
        <v>0.96532330126977695</v>
      </c>
      <c r="E41">
        <v>0.97158296489438001</v>
      </c>
      <c r="F41">
        <v>0.99402353696162904</v>
      </c>
    </row>
    <row r="42" spans="1:6" x14ac:dyDescent="0.25">
      <c r="A42">
        <v>24.348974227905199</v>
      </c>
      <c r="B42" t="s">
        <v>51</v>
      </c>
      <c r="C42">
        <v>0.92890238837813399</v>
      </c>
      <c r="D42">
        <v>0.96314089709762496</v>
      </c>
      <c r="E42">
        <v>0.97262177809230599</v>
      </c>
      <c r="F42">
        <v>0.99407275690894203</v>
      </c>
    </row>
    <row r="43" spans="1:6" x14ac:dyDescent="0.25">
      <c r="A43">
        <v>24.455785751342699</v>
      </c>
      <c r="B43" t="s">
        <v>52</v>
      </c>
      <c r="C43">
        <v>0.93868772512436904</v>
      </c>
      <c r="D43">
        <v>0.96837434204536599</v>
      </c>
      <c r="E43">
        <v>0.97362389986574605</v>
      </c>
      <c r="F43">
        <v>0.99390851564875504</v>
      </c>
    </row>
    <row r="44" spans="1:6" x14ac:dyDescent="0.25">
      <c r="A44">
        <v>24.339675903320298</v>
      </c>
      <c r="B44" t="s">
        <v>53</v>
      </c>
      <c r="C44">
        <v>0.92079772079772004</v>
      </c>
      <c r="D44">
        <v>0.95876594482349398</v>
      </c>
      <c r="E44">
        <v>0.96099340818835999</v>
      </c>
      <c r="F44">
        <v>0.99543798888095303</v>
      </c>
    </row>
    <row r="45" spans="1:6" x14ac:dyDescent="0.25">
      <c r="A45">
        <v>24.3606567382812</v>
      </c>
      <c r="B45" t="s">
        <v>54</v>
      </c>
      <c r="C45">
        <v>0.92874928174679106</v>
      </c>
      <c r="D45">
        <v>0.96305858987090298</v>
      </c>
      <c r="E45">
        <v>0.968629222070714</v>
      </c>
      <c r="F45">
        <v>0.99470344543873801</v>
      </c>
    </row>
    <row r="46" spans="1:6" x14ac:dyDescent="0.25">
      <c r="A46">
        <v>24.574518203735298</v>
      </c>
      <c r="B46" t="s">
        <v>55</v>
      </c>
      <c r="C46">
        <v>0.92440968718466199</v>
      </c>
      <c r="D46">
        <v>0.96072025966262697</v>
      </c>
      <c r="E46">
        <v>0.97018766415318103</v>
      </c>
      <c r="F46">
        <v>0.995099313316955</v>
      </c>
    </row>
    <row r="47" spans="1:6" x14ac:dyDescent="0.25">
      <c r="A47">
        <v>24.4052410125732</v>
      </c>
      <c r="B47" t="s">
        <v>56</v>
      </c>
      <c r="C47">
        <v>0.93644933176335898</v>
      </c>
      <c r="D47">
        <v>0.96718185846940197</v>
      </c>
      <c r="E47">
        <v>0.97275258964418698</v>
      </c>
      <c r="F47">
        <v>0.99379332090522299</v>
      </c>
    </row>
    <row r="48" spans="1:6" x14ac:dyDescent="0.25">
      <c r="A48">
        <v>24.195671081542901</v>
      </c>
      <c r="B48" t="s">
        <v>57</v>
      </c>
      <c r="C48">
        <v>0.93254433762537703</v>
      </c>
      <c r="D48">
        <v>0.96509489533497095</v>
      </c>
      <c r="E48">
        <v>0.97623130695112503</v>
      </c>
      <c r="F48">
        <v>0.99292283508130996</v>
      </c>
    </row>
    <row r="49" spans="1:6" x14ac:dyDescent="0.25">
      <c r="A49">
        <v>24.346828460693299</v>
      </c>
      <c r="B49" t="s">
        <v>58</v>
      </c>
      <c r="C49">
        <v>0.94209559455907699</v>
      </c>
      <c r="D49">
        <v>0.97018457505225497</v>
      </c>
      <c r="E49">
        <v>0.98055742541642199</v>
      </c>
      <c r="F49">
        <v>0.99372781742128602</v>
      </c>
    </row>
    <row r="50" spans="1:6" x14ac:dyDescent="0.25">
      <c r="A50">
        <v>23.879289627075099</v>
      </c>
      <c r="B50" t="s">
        <v>59</v>
      </c>
      <c r="C50">
        <v>0.93016770418231798</v>
      </c>
      <c r="D50">
        <v>0.96382060705586903</v>
      </c>
      <c r="E50">
        <v>0.96676301722431202</v>
      </c>
      <c r="F50">
        <v>0.99461347217448504</v>
      </c>
    </row>
    <row r="51" spans="1:6" x14ac:dyDescent="0.25">
      <c r="A51">
        <v>25.720357894897401</v>
      </c>
      <c r="B51" t="s">
        <v>60</v>
      </c>
      <c r="C51">
        <v>0.93014509039230497</v>
      </c>
      <c r="D51">
        <v>0.96380846706529399</v>
      </c>
      <c r="E51">
        <v>0.96479969283721001</v>
      </c>
      <c r="F51">
        <v>0.993980448087734</v>
      </c>
    </row>
    <row r="52" spans="1:6" x14ac:dyDescent="0.25">
      <c r="A52">
        <v>23.875713348388601</v>
      </c>
      <c r="B52" t="s">
        <v>61</v>
      </c>
      <c r="C52">
        <v>0.93060095549409105</v>
      </c>
      <c r="D52">
        <v>0.96405313883823895</v>
      </c>
      <c r="E52">
        <v>0.97724910989591296</v>
      </c>
      <c r="F52">
        <v>0.99368002113460996</v>
      </c>
    </row>
    <row r="53" spans="1:6" x14ac:dyDescent="0.25">
      <c r="A53">
        <v>24.550914764404201</v>
      </c>
      <c r="B53" t="s">
        <v>62</v>
      </c>
      <c r="C53">
        <v>0.91065518345848595</v>
      </c>
      <c r="D53">
        <v>0.953238649592549</v>
      </c>
      <c r="E53">
        <v>0.96782246092457203</v>
      </c>
      <c r="F53">
        <v>0.992958351496946</v>
      </c>
    </row>
    <row r="54" spans="1:6" x14ac:dyDescent="0.25">
      <c r="A54">
        <v>24.5497226715087</v>
      </c>
      <c r="B54" t="s">
        <v>63</v>
      </c>
      <c r="C54">
        <v>0.92352879270591104</v>
      </c>
      <c r="D54">
        <v>0.96024431368843</v>
      </c>
      <c r="E54">
        <v>0.96734108969926502</v>
      </c>
      <c r="F54">
        <v>0.99501047126488795</v>
      </c>
    </row>
    <row r="55" spans="1:6" x14ac:dyDescent="0.25">
      <c r="A55">
        <v>24.4891643524169</v>
      </c>
      <c r="B55" t="s">
        <v>64</v>
      </c>
      <c r="C55">
        <v>0.90342936004374497</v>
      </c>
      <c r="D55">
        <v>0.94926492047278499</v>
      </c>
      <c r="E55">
        <v>0.96030889313293999</v>
      </c>
      <c r="F55">
        <v>0.99274188487633797</v>
      </c>
    </row>
    <row r="56" spans="1:6" x14ac:dyDescent="0.25">
      <c r="A56">
        <v>24.266481399536101</v>
      </c>
      <c r="B56" t="s">
        <v>65</v>
      </c>
      <c r="C56">
        <v>0.91033293905133905</v>
      </c>
      <c r="D56">
        <v>0.953062076711513</v>
      </c>
      <c r="E56">
        <v>0.95981128609685096</v>
      </c>
      <c r="F56">
        <v>0.99405166859054594</v>
      </c>
    </row>
    <row r="57" spans="1:6" x14ac:dyDescent="0.25">
      <c r="A57">
        <v>24.294853210449201</v>
      </c>
      <c r="B57" t="s">
        <v>66</v>
      </c>
      <c r="C57">
        <v>0.93331955524325205</v>
      </c>
      <c r="D57">
        <v>0.96550986898368196</v>
      </c>
      <c r="E57">
        <v>0.97455264270978104</v>
      </c>
      <c r="F57">
        <v>0.99451287565841695</v>
      </c>
    </row>
    <row r="58" spans="1:6" x14ac:dyDescent="0.25">
      <c r="A58">
        <v>24.750947952270501</v>
      </c>
      <c r="B58" t="s">
        <v>67</v>
      </c>
      <c r="C58">
        <v>0.92363939073503198</v>
      </c>
      <c r="D58">
        <v>0.96030409356725099</v>
      </c>
      <c r="E58">
        <v>0.95659704692148095</v>
      </c>
      <c r="F58">
        <v>0.99500559343095296</v>
      </c>
    </row>
    <row r="59" spans="1:6" x14ac:dyDescent="0.25">
      <c r="A59">
        <v>24.9240398406982</v>
      </c>
      <c r="B59" t="s">
        <v>68</v>
      </c>
      <c r="C59">
        <v>0.93504483091655</v>
      </c>
      <c r="D59">
        <v>0.966432214879134</v>
      </c>
      <c r="E59">
        <v>0.971069236077025</v>
      </c>
      <c r="F59">
        <v>0.994035235721625</v>
      </c>
    </row>
    <row r="60" spans="1:6" x14ac:dyDescent="0.25">
      <c r="A60">
        <v>24.0745544433593</v>
      </c>
      <c r="B60" t="s">
        <v>69</v>
      </c>
      <c r="C60">
        <v>0.92078849049238798</v>
      </c>
      <c r="D60">
        <v>0.95876094119696298</v>
      </c>
      <c r="E60">
        <v>0.97244851887477601</v>
      </c>
      <c r="F60">
        <v>0.99396214616338496</v>
      </c>
    </row>
    <row r="61" spans="1:6" x14ac:dyDescent="0.25">
      <c r="A61">
        <v>25.365829467773398</v>
      </c>
      <c r="B61" t="s">
        <v>70</v>
      </c>
      <c r="C61">
        <v>0.93122849338394398</v>
      </c>
      <c r="D61">
        <v>0.96438976182691205</v>
      </c>
      <c r="E61">
        <v>0.96268153146545399</v>
      </c>
      <c r="F61">
        <v>0.99495196418470599</v>
      </c>
    </row>
    <row r="62" spans="1:6" x14ac:dyDescent="0.25">
      <c r="A62">
        <v>24.2516994476318</v>
      </c>
      <c r="B62" t="s">
        <v>71</v>
      </c>
      <c r="C62">
        <v>0.92994381194890396</v>
      </c>
      <c r="D62">
        <v>0.96370040017882597</v>
      </c>
      <c r="E62">
        <v>0.96733943347489104</v>
      </c>
      <c r="F62">
        <v>0.99395412109310699</v>
      </c>
    </row>
    <row r="63" spans="1:6" x14ac:dyDescent="0.25">
      <c r="A63">
        <v>24.298906326293899</v>
      </c>
      <c r="B63" t="s">
        <v>72</v>
      </c>
      <c r="C63">
        <v>0.92197720267787797</v>
      </c>
      <c r="D63">
        <v>0.95940493091519796</v>
      </c>
      <c r="E63">
        <v>0.96140035906642696</v>
      </c>
      <c r="F63">
        <v>0.99422499047421098</v>
      </c>
    </row>
    <row r="64" spans="1:6" x14ac:dyDescent="0.25">
      <c r="A64">
        <v>25.120019912719702</v>
      </c>
      <c r="B64" t="s">
        <v>73</v>
      </c>
      <c r="C64">
        <v>0.91517559941415605</v>
      </c>
      <c r="D64">
        <v>0.95570933515872303</v>
      </c>
      <c r="E64">
        <v>0.97110222357467302</v>
      </c>
      <c r="F64">
        <v>0.99412165651573003</v>
      </c>
    </row>
    <row r="65" spans="1:6" x14ac:dyDescent="0.25">
      <c r="A65">
        <v>24.274349212646399</v>
      </c>
      <c r="B65" t="s">
        <v>74</v>
      </c>
      <c r="C65">
        <v>0.92634042355994195</v>
      </c>
      <c r="D65">
        <v>0.961761911062463</v>
      </c>
      <c r="E65">
        <v>0.95800916976851902</v>
      </c>
      <c r="F65">
        <v>0.99536486524536905</v>
      </c>
    </row>
    <row r="66" spans="1:6" x14ac:dyDescent="0.25">
      <c r="A66">
        <v>23.9605903625488</v>
      </c>
      <c r="B66" t="s">
        <v>75</v>
      </c>
      <c r="C66">
        <v>0.94211635609380695</v>
      </c>
      <c r="D66">
        <v>0.97019558394399397</v>
      </c>
      <c r="E66">
        <v>0.97757473929766503</v>
      </c>
      <c r="F66">
        <v>0.99400691178518996</v>
      </c>
    </row>
    <row r="67" spans="1:6" x14ac:dyDescent="0.25">
      <c r="A67">
        <v>25.738477706909102</v>
      </c>
      <c r="B67" t="s">
        <v>76</v>
      </c>
      <c r="C67">
        <v>0.93133638738301106</v>
      </c>
      <c r="D67">
        <v>0.96444761613484198</v>
      </c>
      <c r="E67">
        <v>0.96656290655459598</v>
      </c>
      <c r="F67">
        <v>0.99384206271492603</v>
      </c>
    </row>
    <row r="68" spans="1:6" x14ac:dyDescent="0.25">
      <c r="A68">
        <v>23.863792419433501</v>
      </c>
      <c r="B68" t="s">
        <v>77</v>
      </c>
      <c r="C68">
        <v>0.924825493171471</v>
      </c>
      <c r="D68">
        <v>0.96094476767103398</v>
      </c>
      <c r="E68">
        <v>0.96420322107727796</v>
      </c>
      <c r="F68">
        <v>0.99576729229378702</v>
      </c>
    </row>
    <row r="69" spans="1:6" x14ac:dyDescent="0.25">
      <c r="A69">
        <v>24.451732635498001</v>
      </c>
      <c r="B69" t="s">
        <v>78</v>
      </c>
      <c r="C69">
        <v>0.937438566059554</v>
      </c>
      <c r="D69">
        <v>0.96770920377223302</v>
      </c>
      <c r="E69">
        <v>0.96885130794627705</v>
      </c>
      <c r="F69">
        <v>0.99509567050252401</v>
      </c>
    </row>
    <row r="70" spans="1:6" x14ac:dyDescent="0.25">
      <c r="A70">
        <v>23.955583572387599</v>
      </c>
      <c r="B70" t="s">
        <v>79</v>
      </c>
      <c r="C70">
        <v>0.93065940453723806</v>
      </c>
      <c r="D70">
        <v>0.964084501233203</v>
      </c>
      <c r="E70">
        <v>0.97025519268126603</v>
      </c>
      <c r="F70">
        <v>0.994478072831256</v>
      </c>
    </row>
    <row r="71" spans="1:6" x14ac:dyDescent="0.25">
      <c r="A71">
        <v>24.571895599365199</v>
      </c>
      <c r="B71" t="s">
        <v>80</v>
      </c>
      <c r="C71">
        <v>0.93474915107937095</v>
      </c>
      <c r="D71">
        <v>0.96627425892176899</v>
      </c>
      <c r="E71">
        <v>0.97131494330682</v>
      </c>
      <c r="F71">
        <v>0.99503114802729098</v>
      </c>
    </row>
    <row r="72" spans="1:6" x14ac:dyDescent="0.25">
      <c r="A72">
        <v>23.700952529907202</v>
      </c>
      <c r="B72" t="s">
        <v>81</v>
      </c>
      <c r="C72">
        <v>0.91867246509498701</v>
      </c>
      <c r="D72">
        <v>0.95761260122061198</v>
      </c>
      <c r="E72">
        <v>0.96365015798015796</v>
      </c>
      <c r="F72">
        <v>0.99460214368377697</v>
      </c>
    </row>
    <row r="73" spans="1:6" x14ac:dyDescent="0.25">
      <c r="A73">
        <v>24.9426364898681</v>
      </c>
      <c r="B73" t="s">
        <v>82</v>
      </c>
      <c r="C73">
        <v>0.936161592776941</v>
      </c>
      <c r="D73">
        <v>0.96702836815831095</v>
      </c>
      <c r="E73">
        <v>0.97661114423505002</v>
      </c>
      <c r="F73">
        <v>0.99375052533793495</v>
      </c>
    </row>
    <row r="74" spans="1:6" x14ac:dyDescent="0.25">
      <c r="A74">
        <v>23.782730102538999</v>
      </c>
      <c r="B74" t="s">
        <v>83</v>
      </c>
      <c r="C74">
        <v>0.93960698173017398</v>
      </c>
      <c r="D74">
        <v>0.96886327032296304</v>
      </c>
      <c r="E74">
        <v>0.97133669188983396</v>
      </c>
      <c r="F74">
        <v>0.99449022672489595</v>
      </c>
    </row>
    <row r="75" spans="1:6" x14ac:dyDescent="0.25">
      <c r="A75">
        <v>24.3666172027587</v>
      </c>
      <c r="B75" t="s">
        <v>84</v>
      </c>
      <c r="C75">
        <v>0.94251438223171802</v>
      </c>
      <c r="D75">
        <v>0.97040659348826097</v>
      </c>
      <c r="E75">
        <v>0.97881575100636398</v>
      </c>
      <c r="F75">
        <v>0.99438577321277299</v>
      </c>
    </row>
    <row r="76" spans="1:6" x14ac:dyDescent="0.25">
      <c r="A76">
        <v>24.106264114379801</v>
      </c>
      <c r="B76" t="s">
        <v>85</v>
      </c>
      <c r="C76">
        <v>0.93181438317657606</v>
      </c>
      <c r="D76">
        <v>0.96470384659249497</v>
      </c>
      <c r="E76">
        <v>0.97193958412577597</v>
      </c>
      <c r="F76">
        <v>0.99410874429738505</v>
      </c>
    </row>
    <row r="77" spans="1:6" x14ac:dyDescent="0.25">
      <c r="A77">
        <v>24.909257888793899</v>
      </c>
      <c r="B77" t="s">
        <v>86</v>
      </c>
      <c r="C77">
        <v>0.935455859060216</v>
      </c>
      <c r="D77">
        <v>0.96665171120403404</v>
      </c>
      <c r="E77">
        <v>0.96776674188958001</v>
      </c>
      <c r="F77">
        <v>0.994715394410149</v>
      </c>
    </row>
    <row r="78" spans="1:6" x14ac:dyDescent="0.25">
      <c r="A78" s="1">
        <f>AVERAGE(A4:A77)</f>
        <v>24.763110521677348</v>
      </c>
      <c r="B78" s="1"/>
      <c r="C78" s="1">
        <f>SUBTOTAL(101,CMTSam_test4[Column3])</f>
        <v>0.92944491990410349</v>
      </c>
      <c r="D78" s="1">
        <f>SUBTOTAL(101,CMTSam_test4[Column4])</f>
        <v>0.96341528552557543</v>
      </c>
      <c r="E78" s="1">
        <f>SUBTOTAL(101,CMTSam_test4[Column5])</f>
        <v>0.96910415873379652</v>
      </c>
      <c r="F78" s="1">
        <f>SUBTOTAL(101,CMTSam_test4[Column6])</f>
        <v>0.99444473214966878</v>
      </c>
    </row>
    <row r="79" spans="1:6" x14ac:dyDescent="0.25">
      <c r="A79" s="1">
        <f>STDEVA(A4:A77)</f>
        <v>2.1371349802254569</v>
      </c>
      <c r="B79" s="1"/>
      <c r="C79" s="1">
        <f>STDEVA(C3:C77)</f>
        <v>7.8900505202508468E-3</v>
      </c>
      <c r="D79" s="1">
        <f>STDEVA(D3:D77)</f>
        <v>4.2533831047015551E-3</v>
      </c>
      <c r="E79" s="1">
        <f>STDEVA(E3:E77)</f>
        <v>5.5670664601547605E-3</v>
      </c>
      <c r="F79" s="1">
        <f>STDEVA(F3:F77)</f>
        <v>7.0407265882858124E-4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8DDF-1CB1-4B82-BFBE-6020CC293FC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1FA8D6-D299-4BB7-A90C-54F40651BA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Sam_test4</vt:lpstr>
      <vt:lpstr>MobSam_test4</vt:lpstr>
      <vt:lpstr>FastSAM_test4</vt:lpstr>
      <vt:lpstr>Edgesam_test4</vt:lpstr>
      <vt:lpstr>CMTUnet_test4</vt:lpstr>
      <vt:lpstr>CMTSam_test4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2025-09-02T13:18:53Z</dcterms:created>
  <dcterms:modified xsi:type="dcterms:W3CDTF">2025-10-21T09:32:43Z</dcterms:modified>
</cp:coreProperties>
</file>