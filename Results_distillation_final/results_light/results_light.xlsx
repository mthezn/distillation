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Results_distillation_final/results_light/"/>
    </mc:Choice>
  </mc:AlternateContent>
  <xr:revisionPtr revIDLastSave="44" documentId="13_ncr:1_{D21E056D-CC87-448D-A5E6-83CD6133F14A}" xr6:coauthVersionLast="47" xr6:coauthVersionMax="47" xr10:uidLastSave="{1A714DE0-B01A-4384-A2D0-F65107CB881D}"/>
  <bookViews>
    <workbookView xWindow="-180" yWindow="12852" windowWidth="23256" windowHeight="12456" xr2:uid="{6957A70A-C380-4C1D-952E-51C22D77FC27}"/>
  </bookViews>
  <sheets>
    <sheet name="dataset4" sheetId="7" r:id="rId1"/>
    <sheet name="dataset3" sheetId="8" r:id="rId2"/>
    <sheet name="dataset1" sheetId="5" r:id="rId3"/>
    <sheet name="dataset2" sheetId="2" r:id="rId4"/>
    <sheet name="Foglio1" sheetId="1" r:id="rId5"/>
  </sheets>
  <definedNames>
    <definedName name="DatiEsterni_1" localSheetId="3" hidden="1">dataset2!$A$1:$F$77</definedName>
    <definedName name="DatiEsterni_2" localSheetId="2" hidden="1">dataset1!$A$1:$F$80</definedName>
    <definedName name="DatiEsterni_4" localSheetId="1" hidden="1">dataset3!$A$1:$F$77</definedName>
    <definedName name="DatiEsterni_4" localSheetId="0" hidden="1">dataset4!$A$1:$F$77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7" l="1"/>
  <c r="E79" i="7"/>
  <c r="D79" i="7"/>
  <c r="C79" i="7"/>
  <c r="A79" i="7"/>
  <c r="F79" i="8"/>
  <c r="E79" i="8"/>
  <c r="D79" i="8"/>
  <c r="C79" i="8"/>
  <c r="A79" i="8"/>
  <c r="A79" i="2"/>
  <c r="F79" i="2"/>
  <c r="E79" i="2"/>
  <c r="D79" i="2"/>
  <c r="C79" i="2"/>
  <c r="F82" i="5"/>
  <c r="E82" i="5"/>
  <c r="D82" i="5"/>
  <c r="C82" i="5"/>
  <c r="A82" i="5"/>
  <c r="F78" i="8"/>
  <c r="E78" i="8"/>
  <c r="D78" i="8"/>
  <c r="C78" i="8"/>
  <c r="A78" i="8"/>
  <c r="F78" i="7"/>
  <c r="E78" i="7"/>
  <c r="D78" i="7"/>
  <c r="C78" i="7"/>
  <c r="A78" i="7"/>
  <c r="F81" i="5"/>
  <c r="E81" i="5"/>
  <c r="D81" i="5"/>
  <c r="A81" i="5"/>
  <c r="C81" i="5"/>
  <c r="F78" i="2"/>
  <c r="E78" i="2"/>
  <c r="D78" i="2"/>
  <c r="A78" i="2"/>
  <c r="C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86BF2-8266-4EE7-A832-B4CB4A568033}" keepAlive="1" name="Query - TimeDfBBoxAutoSam" description="Connessione alla query 'TimeDfBBoxAutoSam' nella cartella di lavoro." type="5" refreshedVersion="8" background="1" saveData="1">
    <dbPr connection="Provider=Microsoft.Mashup.OleDb.1;Data Source=$Workbook$;Location=TimeDfBBoxAutoSam;Extended Properties=&quot;&quot;" command="SELECT * FROM [TimeDfBBoxAutoSam]"/>
  </connection>
  <connection id="2" xr16:uid="{03D50A4C-1DB5-43F1-BBC3-3C6D33F700EF}" keepAlive="1" name="Query - TimeDfBBoxAutoSam (2)" description="Connessione alla query 'TimeDfBBoxAutoSam (2)' nella cartella di lavoro." type="5" refreshedVersion="0" background="1">
    <dbPr connection="Provider=Microsoft.Mashup.OleDb.1;Data Source=$Workbook$;Location=&quot;TimeDfBBoxAutoSam (2)&quot;;Extended Properties=&quot;&quot;" command="SELECT * FROM [TimeDfBBoxAutoSam (2)]"/>
  </connection>
  <connection id="3" xr16:uid="{D524365F-52E5-43EC-88D5-EC44E3BCAFE2}" keepAlive="1" name="Query - TimeDfBBoxAutoSam (3)" description="Connessione alla query 'TimeDfBBoxAutoSam (3)' nella cartella di lavoro." type="5" refreshedVersion="0" background="1">
    <dbPr connection="Provider=Microsoft.Mashup.OleDb.1;Data Source=$Workbook$;Location=&quot;TimeDfBBoxAutoSam (3)&quot;;Extended Properties=&quot;&quot;" command="SELECT * FROM [TimeDfBBoxAutoSam (3)]"/>
  </connection>
  <connection id="4" xr16:uid="{94BEE787-2F11-4D0E-A062-D336BAA73E40}" keepAlive="1" name="Query - TimeDfBBoxAutoSam (4)" description="Connessione alla query 'TimeDfBBoxAutoSam (4)' nella cartella di lavoro." type="5" refreshedVersion="8" background="1" saveData="1">
    <dbPr connection="Provider=Microsoft.Mashup.OleDb.1;Data Source=$Workbook$;Location=&quot;TimeDfBBoxAutoSam (4)&quot;;Extended Properties=&quot;&quot;" command="SELECT * FROM [TimeDfBBoxAutoSam (4)]"/>
  </connection>
  <connection id="5" xr16:uid="{86F9D227-E487-46BA-BFE5-3D83D3AEB6F0}" keepAlive="1" name="Query - TimeDfBBoxAutoSam (5)" description="Connessione alla query 'TimeDfBBoxAutoSam (5)' nella cartella di lavoro." type="5" refreshedVersion="8" background="1" saveData="1">
    <dbPr connection="Provider=Microsoft.Mashup.OleDb.1;Data Source=$Workbook$;Location=&quot;TimeDfBBoxAutoSam (5)&quot;;Extended Properties=&quot;&quot;" command="SELECT * FROM [TimeDfBBoxAutoSam (5)]"/>
  </connection>
  <connection id="6" xr16:uid="{1E57C65B-07EC-4A1B-8367-B50006C20987}" keepAlive="1" name="Query - TimeDfBBoxAutoSam (6)" description="Connessione alla query 'TimeDfBBoxAutoSam (6)' nella cartella di lavoro." type="5" refreshedVersion="8" background="1" saveData="1">
    <dbPr connection="Provider=Microsoft.Mashup.OleDb.1;Data Source=$Workbook$;Location=&quot;TimeDfBBoxAutoSam (6)&quot;;Extended Properties=&quot;&quot;" command="SELECT * FROM [TimeDfBBoxAutoSam (6)]"/>
  </connection>
  <connection id="7" xr16:uid="{0F6746F4-BBF8-4846-8888-A280EE080252}" keepAlive="1" name="Query - TimeDfBBoxAutoSam (7)" description="Connessione alla query 'TimeDfBBoxAutoSam (7)' nella cartella di lavoro." type="5" refreshedVersion="8" background="1" saveData="1">
    <dbPr connection="Provider=Microsoft.Mashup.OleDb.1;Data Source=$Workbook$;Location=&quot;TimeDfBBoxAutoSam (7)&quot;;Extended Properties=&quot;&quot;" command="SELECT * FROM [TimeDfBBoxAutoSam (7)]"/>
  </connection>
</connections>
</file>

<file path=xl/sharedStrings.xml><?xml version="1.0" encoding="utf-8"?>
<sst xmlns="http://schemas.openxmlformats.org/spreadsheetml/2006/main" count="348" uniqueCount="87">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</sst>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51"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6" xr16:uid="{D0F3DE0B-D8F1-4E66-AFDD-5CF82753721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7" xr16:uid="{50EDBE5E-227F-41E4-8730-4858A33D6FA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CD740A54-42AB-402E-BBDE-2D6E23E9208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2A67CBB7-9FF1-43CC-91E1-FBAB17F7892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97E08D-0F84-44CD-BBBF-AFE00D09E0EC}" name="TimeDfBBoxAutoSam__6" displayName="TimeDfBBoxAutoSam__6" ref="A1:F78" tableType="queryTable" totalsRowCount="1" totalsRowDxfId="0">
  <autoFilter ref="A1:F77" xr:uid="{FE97E08D-0F84-44CD-BBBF-AFE00D09E0EC}"/>
  <tableColumns count="6">
    <tableColumn id="1" xr3:uid="{D5877005-35F8-4624-AE16-BD4316A112EA}" uniqueName="1" name="Column1" totalsRowFunction="custom" queryTableFieldId="1" dataDxfId="50" totalsRowDxfId="6">
      <totalsRowFormula>AVERAGE(A4:A77)</totalsRowFormula>
    </tableColumn>
    <tableColumn id="2" xr3:uid="{36785074-CF97-4FDD-BA7B-763F046D0D50}" uniqueName="2" name="Column2" queryTableFieldId="2" dataDxfId="49" totalsRowDxfId="5"/>
    <tableColumn id="3" xr3:uid="{09F33597-A09E-4B2B-86E7-1EF83130532E}" uniqueName="3" name="Column3" totalsRowFunction="average" queryTableFieldId="3" dataDxfId="48" totalsRowDxfId="4"/>
    <tableColumn id="4" xr3:uid="{37751DFB-7C8B-4404-8BC5-D0FEE63915EE}" uniqueName="4" name="Column4" totalsRowFunction="average" queryTableFieldId="4" dataDxfId="47" totalsRowDxfId="3"/>
    <tableColumn id="5" xr3:uid="{ED0E86B6-34DE-4E1D-B39A-2784F2202FC7}" uniqueName="5" name="Column5" totalsRowFunction="average" queryTableFieldId="5" dataDxfId="46" totalsRowDxfId="2"/>
    <tableColumn id="6" xr3:uid="{ED87DF35-0991-4AAD-A0E5-810A62F9FF82}" uniqueName="6" name="Column6" totalsRowFunction="average" queryTableFieldId="6" dataDxfId="45" totalsRow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1C975-451F-4157-8CC7-4AA41B7F4696}" name="TimeDfBBoxAutoSam__7" displayName="TimeDfBBoxAutoSam__7" ref="A1:F78" tableType="queryTable" totalsRowCount="1">
  <autoFilter ref="A1:F77" xr:uid="{C741C975-451F-4157-8CC7-4AA41B7F4696}"/>
  <tableColumns count="6">
    <tableColumn id="1" xr3:uid="{ED6424BF-E42C-4485-83C4-8B90AA1CB2EF}" uniqueName="1" name="Column1" totalsRowFunction="custom" queryTableFieldId="1" dataDxfId="32" totalsRowDxfId="26">
      <totalsRowFormula>AVERAGE(A4:A77)</totalsRowFormula>
    </tableColumn>
    <tableColumn id="2" xr3:uid="{5E699DDC-0AE6-465C-BBCF-73A53ED0C77D}" uniqueName="2" name="Column2" queryTableFieldId="2" dataDxfId="31" totalsRowDxfId="25"/>
    <tableColumn id="3" xr3:uid="{579DF43E-13A5-493B-AD9E-927AB51BEBE7}" uniqueName="3" name="Column3" totalsRowFunction="average" queryTableFieldId="3" dataDxfId="30" totalsRowDxfId="24"/>
    <tableColumn id="4" xr3:uid="{9609DE41-0D8C-496C-AC07-4BF98DE43A76}" uniqueName="4" name="Column4" totalsRowFunction="average" queryTableFieldId="4" dataDxfId="29" totalsRowDxfId="23"/>
    <tableColumn id="5" xr3:uid="{2F39BD02-6FB0-494E-8E89-52F647349DD7}" uniqueName="5" name="Column5" totalsRowFunction="average" queryTableFieldId="5" dataDxfId="28" totalsRowDxfId="22"/>
    <tableColumn id="6" xr3:uid="{3D493098-19A4-4F50-80A7-45FC44275B1D}" uniqueName="6" name="Column6" totalsRowFunction="average" queryTableFieldId="6" dataDxfId="27" totalsRow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C05169-7D43-45E5-8D2E-135F3B37D510}" name="TimeDfBBoxAutoSam__4" displayName="TimeDfBBoxAutoSam__4" ref="A1:F81" tableType="queryTable" totalsRowCount="1" totalsRowDxfId="14">
  <autoFilter ref="A1:F80" xr:uid="{F4C05169-7D43-45E5-8D2E-135F3B37D510}"/>
  <tableColumns count="6">
    <tableColumn id="1" xr3:uid="{C31C3CBD-1F4E-4BFF-845C-84AB8762A755}" uniqueName="1" name="Column1" totalsRowFunction="custom" queryTableFieldId="1" dataDxfId="44" totalsRowDxfId="20">
      <totalsRowFormula>AVERAGE(A4:A77)</totalsRowFormula>
    </tableColumn>
    <tableColumn id="2" xr3:uid="{343F5899-C950-4873-99F0-A7C3A2160355}" uniqueName="2" name="Column2" queryTableFieldId="2" dataDxfId="43" totalsRowDxfId="19"/>
    <tableColumn id="3" xr3:uid="{54D57D64-DAD8-4F61-ABDA-06D15B270A8E}" uniqueName="3" name="Column3" totalsRowFunction="custom" queryTableFieldId="3" dataDxfId="42" totalsRowDxfId="18">
      <totalsRowFormula>AVERAGE(C3:C77)</totalsRowFormula>
    </tableColumn>
    <tableColumn id="4" xr3:uid="{818B9B78-92A5-460C-AFFA-2E3A10D5D129}" uniqueName="4" name="Column4" totalsRowFunction="average" queryTableFieldId="4" dataDxfId="41" totalsRowDxfId="17"/>
    <tableColumn id="5" xr3:uid="{33F586AD-425F-418B-B41E-A9808C79FD1A}" uniqueName="5" name="Column5" totalsRowFunction="average" queryTableFieldId="5" dataDxfId="40" totalsRowDxfId="16"/>
    <tableColumn id="6" xr3:uid="{B5106757-C6ED-4AC0-8734-F778D6975F3A}" uniqueName="6" name="Column6" totalsRowFunction="average" queryTableFieldId="6" dataDxfId="39" totalsRow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B0067-9F3D-41BB-B0C1-F053A812A4E7}" name="TimeDfBBoxAutoSam" displayName="TimeDfBBoxAutoSam" ref="A1:F78" tableType="queryTable" totalsRowCount="1" totalsRowDxfId="7">
  <autoFilter ref="A1:F77" xr:uid="{ACAB0067-9F3D-41BB-B0C1-F053A812A4E7}"/>
  <tableColumns count="6">
    <tableColumn id="1" xr3:uid="{58BEC205-60F9-4219-A445-B4D3F2C95C15}" uniqueName="1" name="Column1" totalsRowFunction="custom" queryTableFieldId="1" dataDxfId="38" totalsRowDxfId="13">
      <totalsRowFormula>AVERAGE(A4:A77)</totalsRowFormula>
    </tableColumn>
    <tableColumn id="2" xr3:uid="{2E1706BF-778F-44D0-86C6-BCC1CD9C400E}" uniqueName="2" name="Column2" queryTableFieldId="2" dataDxfId="37" totalsRowDxfId="12"/>
    <tableColumn id="3" xr3:uid="{BD022F76-2D4C-477D-848A-FC8ED1CF6CF1}" uniqueName="3" name="Column3" totalsRowFunction="custom" queryTableFieldId="3" dataDxfId="36" totalsRowDxfId="11">
      <totalsRowFormula>AVERAGE(C3:C77)</totalsRowFormula>
    </tableColumn>
    <tableColumn id="4" xr3:uid="{C8F2A2B1-F7C3-403A-B64A-F0A690F7A56F}" uniqueName="4" name="Column4" totalsRowFunction="average" queryTableFieldId="4" dataDxfId="35" totalsRowDxfId="10"/>
    <tableColumn id="5" xr3:uid="{30C03034-48F9-4DC9-A167-02260EEE7694}" uniqueName="5" name="Column5" totalsRowFunction="average" queryTableFieldId="5" dataDxfId="34" totalsRowDxfId="9"/>
    <tableColumn id="6" xr3:uid="{D0AF09F3-D148-4173-B58F-6AA0A44338F8}" uniqueName="6" name="Column6" totalsRowFunction="average" queryTableFieldId="6" dataDxfId="33" totalsRow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9F13-5588-43AF-8031-F88F3D29FEDA}">
  <dimension ref="A1:H79"/>
  <sheetViews>
    <sheetView tabSelected="1" topLeftCell="A55" workbookViewId="0">
      <selection activeCell="H79" sqref="A78:H79"/>
    </sheetView>
  </sheetViews>
  <sheetFormatPr defaultRowHeight="15" x14ac:dyDescent="0.25"/>
  <cols>
    <col min="1" max="1" width="18.85546875" bestFit="1" customWidth="1"/>
    <col min="2" max="2" width="11.42578125" bestFit="1" customWidth="1"/>
    <col min="3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440.67931175231899</v>
      </c>
      <c r="B3" t="s">
        <v>12</v>
      </c>
      <c r="C3">
        <v>0.92543163005720597</v>
      </c>
      <c r="D3">
        <v>0.96127186819893495</v>
      </c>
      <c r="E3">
        <v>0.99044993124226899</v>
      </c>
      <c r="F3">
        <v>0.98875163879561601</v>
      </c>
    </row>
    <row r="4" spans="1:6" x14ac:dyDescent="0.25">
      <c r="A4">
        <v>31.676530838012599</v>
      </c>
      <c r="B4" t="s">
        <v>13</v>
      </c>
      <c r="C4">
        <v>0.90218812738290299</v>
      </c>
      <c r="D4">
        <v>0.94857928550333803</v>
      </c>
      <c r="E4">
        <v>0.98172143222198804</v>
      </c>
      <c r="F4">
        <v>0.99072816132598696</v>
      </c>
    </row>
    <row r="5" spans="1:6" x14ac:dyDescent="0.25">
      <c r="A5">
        <v>15.7623291015625</v>
      </c>
      <c r="B5" t="s">
        <v>14</v>
      </c>
      <c r="C5">
        <v>0.92362924797020596</v>
      </c>
      <c r="D5">
        <v>0.96029861153838203</v>
      </c>
      <c r="E5">
        <v>0.99050600778473497</v>
      </c>
      <c r="F5">
        <v>0.99080284094084603</v>
      </c>
    </row>
    <row r="6" spans="1:6" x14ac:dyDescent="0.25">
      <c r="A6">
        <v>14.6608352661132</v>
      </c>
      <c r="B6" t="s">
        <v>15</v>
      </c>
      <c r="C6">
        <v>0.93393851893494095</v>
      </c>
      <c r="D6">
        <v>0.965840961117295</v>
      </c>
      <c r="E6">
        <v>0.99127351134375696</v>
      </c>
      <c r="F6">
        <v>0.98995221364252695</v>
      </c>
    </row>
    <row r="7" spans="1:6" x14ac:dyDescent="0.25">
      <c r="A7">
        <v>15.174388885498001</v>
      </c>
      <c r="B7" t="s">
        <v>16</v>
      </c>
      <c r="C7">
        <v>0.92528203301270595</v>
      </c>
      <c r="D7">
        <v>0.96119115760386797</v>
      </c>
      <c r="E7">
        <v>0.99189524068164803</v>
      </c>
      <c r="F7">
        <v>0.99088578599485999</v>
      </c>
    </row>
    <row r="8" spans="1:6" x14ac:dyDescent="0.25">
      <c r="A8">
        <v>15.3424739837646</v>
      </c>
      <c r="B8" t="s">
        <v>17</v>
      </c>
      <c r="C8">
        <v>0.91881749954237601</v>
      </c>
      <c r="D8">
        <v>0.95769139041259199</v>
      </c>
      <c r="E8">
        <v>0.99393579366847296</v>
      </c>
      <c r="F8">
        <v>0.98931497897825305</v>
      </c>
    </row>
    <row r="9" spans="1:6" x14ac:dyDescent="0.25">
      <c r="A9">
        <v>15.261411666870099</v>
      </c>
      <c r="B9" t="s">
        <v>18</v>
      </c>
      <c r="C9">
        <v>0.91484505517776804</v>
      </c>
      <c r="D9">
        <v>0.95552906769559698</v>
      </c>
      <c r="E9">
        <v>0.99350948024735497</v>
      </c>
      <c r="F9">
        <v>0.98915884678910704</v>
      </c>
    </row>
    <row r="10" spans="1:6" x14ac:dyDescent="0.25">
      <c r="A10">
        <v>14.9304866790771</v>
      </c>
      <c r="B10" t="s">
        <v>19</v>
      </c>
      <c r="C10">
        <v>0.92036390630676101</v>
      </c>
      <c r="D10">
        <v>0.95853072772733205</v>
      </c>
      <c r="E10">
        <v>0.98786173224608798</v>
      </c>
      <c r="F10">
        <v>0.99070279238600301</v>
      </c>
    </row>
    <row r="11" spans="1:6" x14ac:dyDescent="0.25">
      <c r="A11">
        <v>15.258550643920801</v>
      </c>
      <c r="B11" t="s">
        <v>20</v>
      </c>
      <c r="C11">
        <v>0.92379312048677498</v>
      </c>
      <c r="D11">
        <v>0.96038717536637097</v>
      </c>
      <c r="E11">
        <v>0.989086649283905</v>
      </c>
      <c r="F11">
        <v>0.98979330125368203</v>
      </c>
    </row>
    <row r="12" spans="1:6" x14ac:dyDescent="0.25">
      <c r="A12">
        <v>14.7514343261718</v>
      </c>
      <c r="B12" t="s">
        <v>21</v>
      </c>
      <c r="C12">
        <v>0.91843411552346499</v>
      </c>
      <c r="D12">
        <v>0.95748309320788005</v>
      </c>
      <c r="E12">
        <v>0.98775318303493498</v>
      </c>
      <c r="F12">
        <v>0.989142635853409</v>
      </c>
    </row>
    <row r="13" spans="1:6" x14ac:dyDescent="0.25">
      <c r="A13">
        <v>15.126466751098601</v>
      </c>
      <c r="B13" t="s">
        <v>22</v>
      </c>
      <c r="C13">
        <v>0.92718021520213301</v>
      </c>
      <c r="D13">
        <v>0.96221433562702396</v>
      </c>
      <c r="E13">
        <v>0.98868178120468198</v>
      </c>
      <c r="F13">
        <v>0.98966392603264197</v>
      </c>
    </row>
    <row r="14" spans="1:6" x14ac:dyDescent="0.25">
      <c r="A14">
        <v>14.6350860595703</v>
      </c>
      <c r="B14" t="s">
        <v>23</v>
      </c>
      <c r="C14">
        <v>0.92698464004094105</v>
      </c>
      <c r="D14">
        <v>0.96210900780324504</v>
      </c>
      <c r="E14">
        <v>0.98688785495630404</v>
      </c>
      <c r="F14">
        <v>0.99008455736359602</v>
      </c>
    </row>
    <row r="15" spans="1:6" x14ac:dyDescent="0.25">
      <c r="A15">
        <v>15.2249336242675</v>
      </c>
      <c r="B15" t="s">
        <v>24</v>
      </c>
      <c r="C15">
        <v>0.90709542006136401</v>
      </c>
      <c r="D15">
        <v>0.95128477633507902</v>
      </c>
      <c r="E15">
        <v>0.99090742021020495</v>
      </c>
      <c r="F15">
        <v>0.98869964583375702</v>
      </c>
    </row>
    <row r="16" spans="1:6" x14ac:dyDescent="0.25">
      <c r="A16">
        <v>14.7745609283447</v>
      </c>
      <c r="B16" t="s">
        <v>25</v>
      </c>
      <c r="C16">
        <v>0.90884985630409099</v>
      </c>
      <c r="D16">
        <v>0.95224865727659003</v>
      </c>
      <c r="E16">
        <v>0.99224137156008596</v>
      </c>
      <c r="F16">
        <v>0.98911179981756903</v>
      </c>
    </row>
    <row r="17" spans="1:6" x14ac:dyDescent="0.25">
      <c r="A17">
        <v>15.1898860931396</v>
      </c>
      <c r="B17" t="s">
        <v>26</v>
      </c>
      <c r="C17">
        <v>0.91626735970112805</v>
      </c>
      <c r="D17">
        <v>0.95630430175884695</v>
      </c>
      <c r="E17">
        <v>0.98164099886887601</v>
      </c>
      <c r="F17">
        <v>0.99219162472398204</v>
      </c>
    </row>
    <row r="18" spans="1:6" x14ac:dyDescent="0.25">
      <c r="A18">
        <v>14.8723125457763</v>
      </c>
      <c r="B18" t="s">
        <v>27</v>
      </c>
      <c r="C18">
        <v>0.91550658643681904</v>
      </c>
      <c r="D18">
        <v>0.95588978176245598</v>
      </c>
      <c r="E18">
        <v>0.98597950783781396</v>
      </c>
      <c r="F18">
        <v>0.99059275288799198</v>
      </c>
    </row>
    <row r="19" spans="1:6" x14ac:dyDescent="0.25">
      <c r="A19">
        <v>15.4149532318115</v>
      </c>
      <c r="B19" t="s">
        <v>28</v>
      </c>
      <c r="C19">
        <v>0.89522665563081005</v>
      </c>
      <c r="D19">
        <v>0.94471724843152505</v>
      </c>
      <c r="E19">
        <v>0.98745240374980503</v>
      </c>
      <c r="F19">
        <v>0.99034897231626695</v>
      </c>
    </row>
    <row r="20" spans="1:6" x14ac:dyDescent="0.25">
      <c r="A20">
        <v>14.7478580474853</v>
      </c>
      <c r="B20" t="s">
        <v>29</v>
      </c>
      <c r="C20">
        <v>0.92166716373396895</v>
      </c>
      <c r="D20">
        <v>0.95923704284262001</v>
      </c>
      <c r="E20">
        <v>0.99075083354706295</v>
      </c>
      <c r="F20">
        <v>0.98987668433267495</v>
      </c>
    </row>
    <row r="21" spans="1:6" x14ac:dyDescent="0.25">
      <c r="A21">
        <v>16.043663024902301</v>
      </c>
      <c r="B21" t="s">
        <v>30</v>
      </c>
      <c r="C21">
        <v>0.92992655551441505</v>
      </c>
      <c r="D21">
        <v>0.963691134107998</v>
      </c>
      <c r="E21">
        <v>0.98816710513952799</v>
      </c>
      <c r="F21">
        <v>0.98785705827701098</v>
      </c>
    </row>
    <row r="22" spans="1:6" x14ac:dyDescent="0.25">
      <c r="A22">
        <v>14.8048400878906</v>
      </c>
      <c r="B22" t="s">
        <v>31</v>
      </c>
      <c r="C22">
        <v>0.89611388237149703</v>
      </c>
      <c r="D22">
        <v>0.94521103474092405</v>
      </c>
      <c r="E22">
        <v>0.987893146695068</v>
      </c>
      <c r="F22">
        <v>0.99014805104112402</v>
      </c>
    </row>
    <row r="23" spans="1:6" x14ac:dyDescent="0.25">
      <c r="A23">
        <v>15.5560970306396</v>
      </c>
      <c r="B23" t="s">
        <v>32</v>
      </c>
      <c r="C23">
        <v>0.90591711629349603</v>
      </c>
      <c r="D23">
        <v>0.95063642437428197</v>
      </c>
      <c r="E23">
        <v>0.99530966943482801</v>
      </c>
      <c r="F23">
        <v>0.98825808103983603</v>
      </c>
    </row>
    <row r="24" spans="1:6" x14ac:dyDescent="0.25">
      <c r="A24">
        <v>14.7058963775634</v>
      </c>
      <c r="B24" t="s">
        <v>33</v>
      </c>
      <c r="C24">
        <v>0.92031491864107995</v>
      </c>
      <c r="D24">
        <v>0.95850415961184599</v>
      </c>
      <c r="E24">
        <v>0.98361434338636899</v>
      </c>
      <c r="F24">
        <v>0.99057843568852499</v>
      </c>
    </row>
    <row r="25" spans="1:6" x14ac:dyDescent="0.25">
      <c r="A25">
        <v>15.5181884765625</v>
      </c>
      <c r="B25" t="s">
        <v>34</v>
      </c>
      <c r="C25">
        <v>0.90404266065739303</v>
      </c>
      <c r="D25">
        <v>0.94960336691748504</v>
      </c>
      <c r="E25">
        <v>0.98164808623290001</v>
      </c>
      <c r="F25">
        <v>0.99146643348504804</v>
      </c>
    </row>
    <row r="26" spans="1:6" x14ac:dyDescent="0.25">
      <c r="A26">
        <v>14.674425125121999</v>
      </c>
      <c r="B26" t="s">
        <v>35</v>
      </c>
      <c r="C26">
        <v>0.91336992870212597</v>
      </c>
      <c r="D26">
        <v>0.95472382522670995</v>
      </c>
      <c r="E26">
        <v>0.98742358227535099</v>
      </c>
      <c r="F26">
        <v>0.98978946475491603</v>
      </c>
    </row>
    <row r="27" spans="1:6" x14ac:dyDescent="0.25">
      <c r="A27">
        <v>15.416145324706999</v>
      </c>
      <c r="B27" t="s">
        <v>36</v>
      </c>
      <c r="C27">
        <v>0.91405255191523704</v>
      </c>
      <c r="D27">
        <v>0.95509661007020796</v>
      </c>
      <c r="E27">
        <v>0.98749783699602001</v>
      </c>
      <c r="F27">
        <v>0.99004604521348405</v>
      </c>
    </row>
    <row r="28" spans="1:6" x14ac:dyDescent="0.25">
      <c r="A28">
        <v>14.719009399414</v>
      </c>
      <c r="B28" t="s">
        <v>37</v>
      </c>
      <c r="C28">
        <v>0.92910235594741397</v>
      </c>
      <c r="D28">
        <v>0.96324837620253301</v>
      </c>
      <c r="E28">
        <v>0.98960932825474601</v>
      </c>
      <c r="F28">
        <v>0.99020876987043704</v>
      </c>
    </row>
    <row r="29" spans="1:6" x14ac:dyDescent="0.25">
      <c r="A29">
        <v>14.873266220092701</v>
      </c>
      <c r="B29" t="s">
        <v>38</v>
      </c>
      <c r="C29">
        <v>0.91538771645275296</v>
      </c>
      <c r="D29">
        <v>0.95582498372499403</v>
      </c>
      <c r="E29">
        <v>0.98411514504001396</v>
      </c>
      <c r="F29">
        <v>0.99215367794371301</v>
      </c>
    </row>
    <row r="30" spans="1:6" x14ac:dyDescent="0.25">
      <c r="A30">
        <v>14.894962310791</v>
      </c>
      <c r="B30" t="s">
        <v>39</v>
      </c>
      <c r="C30">
        <v>0.92598102309697305</v>
      </c>
      <c r="D30">
        <v>0.96156816914841403</v>
      </c>
      <c r="E30">
        <v>0.99396670230639905</v>
      </c>
      <c r="F30">
        <v>0.98830900057708704</v>
      </c>
    </row>
    <row r="31" spans="1:6" x14ac:dyDescent="0.25">
      <c r="A31">
        <v>15.395164489746</v>
      </c>
      <c r="B31" t="s">
        <v>40</v>
      </c>
      <c r="C31">
        <v>0.91916887184749096</v>
      </c>
      <c r="D31">
        <v>0.95788222217532304</v>
      </c>
      <c r="E31">
        <v>0.99615910803514596</v>
      </c>
      <c r="F31">
        <v>0.98744474382298697</v>
      </c>
    </row>
    <row r="32" spans="1:6" x14ac:dyDescent="0.25">
      <c r="A32">
        <v>15.424013137817299</v>
      </c>
      <c r="B32" t="s">
        <v>41</v>
      </c>
      <c r="C32">
        <v>0.91531972271682105</v>
      </c>
      <c r="D32">
        <v>0.95578791557418796</v>
      </c>
      <c r="E32">
        <v>0.99395537868050798</v>
      </c>
      <c r="F32">
        <v>0.99028380049573494</v>
      </c>
    </row>
    <row r="33" spans="1:6" x14ac:dyDescent="0.25">
      <c r="A33">
        <v>15.307426452636699</v>
      </c>
      <c r="B33" t="s">
        <v>42</v>
      </c>
      <c r="C33">
        <v>0.91887418555269296</v>
      </c>
      <c r="D33">
        <v>0.95772218154889599</v>
      </c>
      <c r="E33">
        <v>0.98845732946551002</v>
      </c>
      <c r="F33">
        <v>0.99065926178278496</v>
      </c>
    </row>
    <row r="34" spans="1:6" x14ac:dyDescent="0.25">
      <c r="A34">
        <v>14.7252082824707</v>
      </c>
      <c r="B34" t="s">
        <v>43</v>
      </c>
      <c r="C34">
        <v>0.91255128738776203</v>
      </c>
      <c r="D34">
        <v>0.95427640911440403</v>
      </c>
      <c r="E34">
        <v>0.98486258402990501</v>
      </c>
      <c r="F34">
        <v>0.98930857500340896</v>
      </c>
    </row>
    <row r="35" spans="1:6" x14ac:dyDescent="0.25">
      <c r="A35">
        <v>15.7759189605712</v>
      </c>
      <c r="B35" t="s">
        <v>44</v>
      </c>
      <c r="C35">
        <v>0.91538612437062705</v>
      </c>
      <c r="D35">
        <v>0.95582411579953497</v>
      </c>
      <c r="E35">
        <v>0.97859367596914804</v>
      </c>
      <c r="F35">
        <v>0.99033516012215295</v>
      </c>
    </row>
    <row r="36" spans="1:6" x14ac:dyDescent="0.25">
      <c r="A36">
        <v>14.7345066070556</v>
      </c>
      <c r="B36" t="s">
        <v>45</v>
      </c>
      <c r="C36">
        <v>0.92876977574975195</v>
      </c>
      <c r="D36">
        <v>0.96306960781643303</v>
      </c>
      <c r="E36">
        <v>0.98811101707094995</v>
      </c>
      <c r="F36">
        <v>0.99133358026456297</v>
      </c>
    </row>
    <row r="37" spans="1:6" x14ac:dyDescent="0.25">
      <c r="A37">
        <v>15.103816986083901</v>
      </c>
      <c r="B37" t="s">
        <v>46</v>
      </c>
      <c r="C37">
        <v>0.91348409585228896</v>
      </c>
      <c r="D37">
        <v>0.95478619114982699</v>
      </c>
      <c r="E37">
        <v>0.979279728752812</v>
      </c>
      <c r="F37">
        <v>0.99255652840020003</v>
      </c>
    </row>
    <row r="38" spans="1:6" x14ac:dyDescent="0.25">
      <c r="A38">
        <v>15.400648117065399</v>
      </c>
      <c r="B38" t="s">
        <v>47</v>
      </c>
      <c r="C38">
        <v>0.92630655653826399</v>
      </c>
      <c r="D38">
        <v>0.96174365746116297</v>
      </c>
      <c r="E38">
        <v>0.99035651208952602</v>
      </c>
      <c r="F38">
        <v>0.99038902297814202</v>
      </c>
    </row>
    <row r="39" spans="1:6" x14ac:dyDescent="0.25">
      <c r="A39">
        <v>15.1424407958984</v>
      </c>
      <c r="B39" t="s">
        <v>48</v>
      </c>
      <c r="C39">
        <v>0.91080044860593101</v>
      </c>
      <c r="D39">
        <v>0.95331822773061003</v>
      </c>
      <c r="E39">
        <v>0.99060109496298099</v>
      </c>
      <c r="F39">
        <v>0.99017202665622905</v>
      </c>
    </row>
    <row r="40" spans="1:6" x14ac:dyDescent="0.25">
      <c r="A40">
        <v>14.752864837646401</v>
      </c>
      <c r="B40" t="s">
        <v>49</v>
      </c>
      <c r="C40">
        <v>0.90918816481232401</v>
      </c>
      <c r="D40">
        <v>0.95243431901506503</v>
      </c>
      <c r="E40">
        <v>0.98773016321041296</v>
      </c>
      <c r="F40">
        <v>0.98878806358674198</v>
      </c>
    </row>
    <row r="41" spans="1:6" x14ac:dyDescent="0.25">
      <c r="A41">
        <v>15.818834304809499</v>
      </c>
      <c r="B41" t="s">
        <v>50</v>
      </c>
      <c r="C41">
        <v>0.91770074864116502</v>
      </c>
      <c r="D41">
        <v>0.95708441402176503</v>
      </c>
      <c r="E41">
        <v>0.98523731317264696</v>
      </c>
      <c r="F41">
        <v>0.99146325239334299</v>
      </c>
    </row>
    <row r="42" spans="1:6" x14ac:dyDescent="0.25">
      <c r="A42">
        <v>14.934301376342701</v>
      </c>
      <c r="B42" t="s">
        <v>51</v>
      </c>
      <c r="C42">
        <v>0.93022213048831603</v>
      </c>
      <c r="D42">
        <v>0.96384982411634101</v>
      </c>
      <c r="E42">
        <v>0.98697366036367995</v>
      </c>
      <c r="F42">
        <v>0.99118159432059305</v>
      </c>
    </row>
    <row r="43" spans="1:6" x14ac:dyDescent="0.25">
      <c r="A43">
        <v>15.254497528076101</v>
      </c>
      <c r="B43" t="s">
        <v>52</v>
      </c>
      <c r="C43">
        <v>0.92885375494071099</v>
      </c>
      <c r="D43">
        <v>0.96311475409836</v>
      </c>
      <c r="E43">
        <v>0.98737481898468205</v>
      </c>
      <c r="F43">
        <v>0.98972034045895096</v>
      </c>
    </row>
    <row r="44" spans="1:6" x14ac:dyDescent="0.25">
      <c r="A44">
        <v>15.067338943481399</v>
      </c>
      <c r="B44" t="s">
        <v>53</v>
      </c>
      <c r="C44">
        <v>0.91699207116099901</v>
      </c>
      <c r="D44">
        <v>0.95669886689268901</v>
      </c>
      <c r="E44">
        <v>0.98559508312170496</v>
      </c>
      <c r="F44">
        <v>0.98841738812487601</v>
      </c>
    </row>
    <row r="45" spans="1:6" x14ac:dyDescent="0.25">
      <c r="A45">
        <v>15.208482742309499</v>
      </c>
      <c r="B45" t="s">
        <v>54</v>
      </c>
      <c r="C45">
        <v>0.92244138328440495</v>
      </c>
      <c r="D45">
        <v>0.959656186456468</v>
      </c>
      <c r="E45">
        <v>0.991338477245719</v>
      </c>
      <c r="F45">
        <v>0.99039374350164999</v>
      </c>
    </row>
    <row r="46" spans="1:6" x14ac:dyDescent="0.25">
      <c r="A46">
        <v>15.4635906219482</v>
      </c>
      <c r="B46" t="s">
        <v>55</v>
      </c>
      <c r="C46">
        <v>0.92416333823062502</v>
      </c>
      <c r="D46">
        <v>0.960587201583878</v>
      </c>
      <c r="E46">
        <v>0.99195670090021504</v>
      </c>
      <c r="F46">
        <v>0.98996404967995899</v>
      </c>
    </row>
    <row r="47" spans="1:6" x14ac:dyDescent="0.25">
      <c r="A47">
        <v>15.047550201416</v>
      </c>
      <c r="B47" t="s">
        <v>56</v>
      </c>
      <c r="C47">
        <v>0.91533138220294996</v>
      </c>
      <c r="D47">
        <v>0.955794272164189</v>
      </c>
      <c r="E47">
        <v>0.99035202914513198</v>
      </c>
      <c r="F47">
        <v>0.99188913296833203</v>
      </c>
    </row>
    <row r="48" spans="1:6" x14ac:dyDescent="0.25">
      <c r="A48">
        <v>14.7361755371093</v>
      </c>
      <c r="B48" t="s">
        <v>57</v>
      </c>
      <c r="C48">
        <v>0.91975718745165103</v>
      </c>
      <c r="D48">
        <v>0.95820158243300202</v>
      </c>
      <c r="E48">
        <v>0.99195147327300204</v>
      </c>
      <c r="F48">
        <v>0.99155270868939704</v>
      </c>
    </row>
    <row r="49" spans="1:6" x14ac:dyDescent="0.25">
      <c r="A49">
        <v>15.351057052612299</v>
      </c>
      <c r="B49" t="s">
        <v>58</v>
      </c>
      <c r="C49">
        <v>0.91533668823388403</v>
      </c>
      <c r="D49">
        <v>0.95579716491298305</v>
      </c>
      <c r="E49">
        <v>0.990277921808565</v>
      </c>
      <c r="F49">
        <v>0.98984413524001402</v>
      </c>
    </row>
    <row r="50" spans="1:6" x14ac:dyDescent="0.25">
      <c r="A50">
        <v>14.580726623535099</v>
      </c>
      <c r="B50" t="s">
        <v>59</v>
      </c>
      <c r="C50">
        <v>0.92179869966794004</v>
      </c>
      <c r="D50">
        <v>0.95930827700863197</v>
      </c>
      <c r="E50">
        <v>0.98703258287643603</v>
      </c>
      <c r="F50">
        <v>0.98964252838629396</v>
      </c>
    </row>
    <row r="51" spans="1:6" x14ac:dyDescent="0.25">
      <c r="A51">
        <v>15.2726173400878</v>
      </c>
      <c r="B51" t="s">
        <v>60</v>
      </c>
      <c r="C51">
        <v>0.91166057722264704</v>
      </c>
      <c r="D51">
        <v>0.95378916956811599</v>
      </c>
      <c r="E51">
        <v>0.99321155270303596</v>
      </c>
      <c r="F51">
        <v>0.98738116794929798</v>
      </c>
    </row>
    <row r="52" spans="1:6" x14ac:dyDescent="0.25">
      <c r="A52">
        <v>14.7192478179931</v>
      </c>
      <c r="B52" t="s">
        <v>61</v>
      </c>
      <c r="C52">
        <v>0.93025361652004201</v>
      </c>
      <c r="D52">
        <v>0.96386672565561604</v>
      </c>
      <c r="E52">
        <v>0.98795171303028795</v>
      </c>
      <c r="F52">
        <v>0.99138348644579899</v>
      </c>
    </row>
    <row r="53" spans="1:6" x14ac:dyDescent="0.25">
      <c r="A53">
        <v>15.3977870941162</v>
      </c>
      <c r="B53" t="s">
        <v>62</v>
      </c>
      <c r="C53">
        <v>0.92683658395758795</v>
      </c>
      <c r="D53">
        <v>0.96202925735811995</v>
      </c>
      <c r="E53">
        <v>0.985882015122994</v>
      </c>
      <c r="F53">
        <v>0.99134860767500999</v>
      </c>
    </row>
    <row r="54" spans="1:6" x14ac:dyDescent="0.25">
      <c r="A54">
        <v>14.7345066070556</v>
      </c>
      <c r="B54" t="s">
        <v>63</v>
      </c>
      <c r="C54">
        <v>0.92986655572978305</v>
      </c>
      <c r="D54">
        <v>0.963658915140018</v>
      </c>
      <c r="E54">
        <v>0.98960582509723205</v>
      </c>
      <c r="F54">
        <v>0.98954048901984204</v>
      </c>
    </row>
    <row r="55" spans="1:6" x14ac:dyDescent="0.25">
      <c r="A55">
        <v>15.769243240356399</v>
      </c>
      <c r="B55" t="s">
        <v>64</v>
      </c>
      <c r="C55">
        <v>0.91877412903695699</v>
      </c>
      <c r="D55">
        <v>0.95766783086458895</v>
      </c>
      <c r="E55">
        <v>0.99357643115967897</v>
      </c>
      <c r="F55">
        <v>0.98749194110903504</v>
      </c>
    </row>
    <row r="56" spans="1:6" x14ac:dyDescent="0.25">
      <c r="A56">
        <v>14.813661575317299</v>
      </c>
      <c r="B56" t="s">
        <v>65</v>
      </c>
      <c r="C56">
        <v>0.91160704437663098</v>
      </c>
      <c r="D56">
        <v>0.95375987136927798</v>
      </c>
      <c r="E56">
        <v>0.98177786576915405</v>
      </c>
      <c r="F56">
        <v>0.98946114121094897</v>
      </c>
    </row>
    <row r="57" spans="1:6" x14ac:dyDescent="0.25">
      <c r="A57">
        <v>15.200376510620099</v>
      </c>
      <c r="B57" t="s">
        <v>66</v>
      </c>
      <c r="C57">
        <v>0.91560184159342095</v>
      </c>
      <c r="D57">
        <v>0.955941701154152</v>
      </c>
      <c r="E57">
        <v>0.98892887533683105</v>
      </c>
      <c r="F57">
        <v>0.99034474651619997</v>
      </c>
    </row>
    <row r="58" spans="1:6" x14ac:dyDescent="0.25">
      <c r="A58">
        <v>14.779567718505801</v>
      </c>
      <c r="B58" t="s">
        <v>67</v>
      </c>
      <c r="C58">
        <v>0.91097653292959802</v>
      </c>
      <c r="D58">
        <v>0.95341467279353498</v>
      </c>
      <c r="E58">
        <v>0.98684471760166403</v>
      </c>
      <c r="F58">
        <v>0.98965615950613695</v>
      </c>
    </row>
    <row r="59" spans="1:6" x14ac:dyDescent="0.25">
      <c r="A59">
        <v>15.680074691772401</v>
      </c>
      <c r="B59" t="s">
        <v>68</v>
      </c>
      <c r="C59">
        <v>0.92729864575908705</v>
      </c>
      <c r="D59">
        <v>0.96227810650887502</v>
      </c>
      <c r="E59">
        <v>0.990126910340004</v>
      </c>
      <c r="F59">
        <v>0.98905314464537897</v>
      </c>
    </row>
    <row r="60" spans="1:6" x14ac:dyDescent="0.25">
      <c r="A60">
        <v>14.6505832672119</v>
      </c>
      <c r="B60" t="s">
        <v>69</v>
      </c>
      <c r="C60">
        <v>0.90446482184475396</v>
      </c>
      <c r="D60">
        <v>0.94983620749544395</v>
      </c>
      <c r="E60">
        <v>0.99267251971494297</v>
      </c>
      <c r="F60">
        <v>0.99089619936395301</v>
      </c>
    </row>
    <row r="61" spans="1:6" x14ac:dyDescent="0.25">
      <c r="A61">
        <v>15.2649879455566</v>
      </c>
      <c r="B61" t="s">
        <v>70</v>
      </c>
      <c r="C61">
        <v>0.91308420594827799</v>
      </c>
      <c r="D61">
        <v>0.95456771124790096</v>
      </c>
      <c r="E61">
        <v>0.99162173552878197</v>
      </c>
      <c r="F61">
        <v>0.98700598710368603</v>
      </c>
    </row>
    <row r="62" spans="1:6" x14ac:dyDescent="0.25">
      <c r="A62">
        <v>15.3391361236572</v>
      </c>
      <c r="B62" t="s">
        <v>71</v>
      </c>
      <c r="C62">
        <v>0.92992814031002902</v>
      </c>
      <c r="D62">
        <v>0.96369198509188303</v>
      </c>
      <c r="E62">
        <v>0.986155304561254</v>
      </c>
      <c r="F62">
        <v>0.99098296429021504</v>
      </c>
    </row>
    <row r="63" spans="1:6" x14ac:dyDescent="0.25">
      <c r="A63">
        <v>15.261888504028301</v>
      </c>
      <c r="B63" t="s">
        <v>72</v>
      </c>
      <c r="C63">
        <v>0.92102034709754599</v>
      </c>
      <c r="D63">
        <v>0.95888661303260803</v>
      </c>
      <c r="E63">
        <v>0.98344968608719197</v>
      </c>
      <c r="F63">
        <v>0.99080987067107595</v>
      </c>
    </row>
    <row r="64" spans="1:6" x14ac:dyDescent="0.25">
      <c r="A64">
        <v>14.729738235473601</v>
      </c>
      <c r="B64" t="s">
        <v>73</v>
      </c>
      <c r="C64">
        <v>0.91786977233538802</v>
      </c>
      <c r="D64">
        <v>0.95717632716813605</v>
      </c>
      <c r="E64">
        <v>0.98975789233181199</v>
      </c>
      <c r="F64">
        <v>0.98921389813258598</v>
      </c>
    </row>
    <row r="65" spans="1:8" x14ac:dyDescent="0.25">
      <c r="A65">
        <v>15.197277069091699</v>
      </c>
      <c r="B65" t="s">
        <v>74</v>
      </c>
      <c r="C65">
        <v>0.92733450546997098</v>
      </c>
      <c r="D65">
        <v>0.96229741421439896</v>
      </c>
      <c r="E65">
        <v>0.99634185650782203</v>
      </c>
      <c r="F65">
        <v>0.98915289425519703</v>
      </c>
    </row>
    <row r="66" spans="1:8" x14ac:dyDescent="0.25">
      <c r="A66">
        <v>15.0527954101562</v>
      </c>
      <c r="B66" t="s">
        <v>75</v>
      </c>
      <c r="C66">
        <v>0.929681112019623</v>
      </c>
      <c r="D66">
        <v>0.96355932203389805</v>
      </c>
      <c r="E66">
        <v>0.98405456945870595</v>
      </c>
      <c r="F66">
        <v>0.99125884091397398</v>
      </c>
    </row>
    <row r="67" spans="1:8" x14ac:dyDescent="0.25">
      <c r="A67">
        <v>15.047788619995099</v>
      </c>
      <c r="B67" t="s">
        <v>76</v>
      </c>
      <c r="C67">
        <v>0.89322216920720199</v>
      </c>
      <c r="D67">
        <v>0.94359994694256499</v>
      </c>
      <c r="E67">
        <v>0.984499986160701</v>
      </c>
      <c r="F67">
        <v>0.98821938993117298</v>
      </c>
    </row>
    <row r="68" spans="1:8" x14ac:dyDescent="0.25">
      <c r="A68">
        <v>14.712095260620099</v>
      </c>
      <c r="B68" t="s">
        <v>77</v>
      </c>
      <c r="C68">
        <v>0.91597518730363303</v>
      </c>
      <c r="D68">
        <v>0.95614514569230102</v>
      </c>
      <c r="E68">
        <v>0.98750206272418495</v>
      </c>
      <c r="F68">
        <v>0.99036785557032703</v>
      </c>
    </row>
    <row r="69" spans="1:8" x14ac:dyDescent="0.25">
      <c r="A69">
        <v>15.040874481201101</v>
      </c>
      <c r="B69" t="s">
        <v>78</v>
      </c>
      <c r="C69">
        <v>0.90824562717704704</v>
      </c>
      <c r="D69">
        <v>0.95191689606610597</v>
      </c>
      <c r="E69">
        <v>0.98529127939458505</v>
      </c>
      <c r="F69">
        <v>0.99121068568439497</v>
      </c>
    </row>
    <row r="70" spans="1:8" x14ac:dyDescent="0.25">
      <c r="A70">
        <v>14.7843360900878</v>
      </c>
      <c r="B70" t="s">
        <v>79</v>
      </c>
      <c r="C70">
        <v>0.91433222424957905</v>
      </c>
      <c r="D70">
        <v>0.95524926412185196</v>
      </c>
      <c r="E70">
        <v>0.98319756090523502</v>
      </c>
      <c r="F70">
        <v>0.99170974472873696</v>
      </c>
    </row>
    <row r="71" spans="1:8" x14ac:dyDescent="0.25">
      <c r="A71">
        <v>14.916658401489199</v>
      </c>
      <c r="B71" t="s">
        <v>80</v>
      </c>
      <c r="C71">
        <v>0.92665201840277001</v>
      </c>
      <c r="D71">
        <v>0.96192982391390203</v>
      </c>
      <c r="E71">
        <v>0.98082249518304399</v>
      </c>
      <c r="F71">
        <v>0.991518075552138</v>
      </c>
    </row>
    <row r="72" spans="1:8" x14ac:dyDescent="0.25">
      <c r="A72">
        <v>14.642238616943301</v>
      </c>
      <c r="B72" t="s">
        <v>81</v>
      </c>
      <c r="C72">
        <v>0.91204670463936299</v>
      </c>
      <c r="D72">
        <v>0.95400044614641</v>
      </c>
      <c r="E72">
        <v>0.98570975827595098</v>
      </c>
      <c r="F72">
        <v>0.99109533706955</v>
      </c>
    </row>
    <row r="73" spans="1:8" x14ac:dyDescent="0.25">
      <c r="A73">
        <v>19.8898315429687</v>
      </c>
      <c r="B73" t="s">
        <v>82</v>
      </c>
      <c r="C73">
        <v>0.92308986401233695</v>
      </c>
      <c r="D73">
        <v>0.96000699841077697</v>
      </c>
      <c r="E73">
        <v>0.99387919908829503</v>
      </c>
      <c r="F73">
        <v>0.98890813763471797</v>
      </c>
    </row>
    <row r="74" spans="1:8" x14ac:dyDescent="0.25">
      <c r="A74">
        <v>14.825344085693301</v>
      </c>
      <c r="B74" t="s">
        <v>83</v>
      </c>
      <c r="C74">
        <v>0.92732585540578705</v>
      </c>
      <c r="D74">
        <v>0.96229275688365001</v>
      </c>
      <c r="E74">
        <v>0.98986646734990102</v>
      </c>
      <c r="F74">
        <v>0.98968149420408702</v>
      </c>
    </row>
    <row r="75" spans="1:8" x14ac:dyDescent="0.25">
      <c r="A75">
        <v>15.264034271240201</v>
      </c>
      <c r="B75" t="s">
        <v>84</v>
      </c>
      <c r="C75">
        <v>0.90841411772239999</v>
      </c>
      <c r="D75">
        <v>0.95200942949064804</v>
      </c>
      <c r="E75">
        <v>0.98818325104278204</v>
      </c>
      <c r="F75">
        <v>0.98920040825112798</v>
      </c>
    </row>
    <row r="76" spans="1:8" x14ac:dyDescent="0.25">
      <c r="A76">
        <v>15.4595375061035</v>
      </c>
      <c r="B76" t="s">
        <v>85</v>
      </c>
      <c r="C76">
        <v>0.91861182352368198</v>
      </c>
      <c r="D76">
        <v>0.95757965447807902</v>
      </c>
      <c r="E76">
        <v>0.99140891062744296</v>
      </c>
      <c r="F76">
        <v>0.98751586872288499</v>
      </c>
    </row>
    <row r="77" spans="1:8" x14ac:dyDescent="0.25">
      <c r="A77">
        <v>15.7375335693359</v>
      </c>
      <c r="B77" t="s">
        <v>86</v>
      </c>
      <c r="C77">
        <v>0.91254235742831502</v>
      </c>
      <c r="D77">
        <v>0.95427152646737501</v>
      </c>
      <c r="E77">
        <v>0.98473382580819702</v>
      </c>
      <c r="F77">
        <v>0.98958673957783605</v>
      </c>
    </row>
    <row r="78" spans="1:8" x14ac:dyDescent="0.25">
      <c r="A78" s="2">
        <f>AVERAGE(A4:A77)</f>
        <v>15.397558341155134</v>
      </c>
      <c r="B78" s="2"/>
      <c r="C78" s="2">
        <f>SUBTOTAL(101,TimeDfBBoxAutoSam__6[Column3])</f>
        <v>0.91798497146745051</v>
      </c>
      <c r="D78" s="2">
        <f>SUBTOTAL(101,TimeDfBBoxAutoSam__6[Column4])</f>
        <v>0.95721703579624473</v>
      </c>
      <c r="E78" s="2">
        <f>SUBTOTAL(101,TimeDfBBoxAutoSam__6[Column5])</f>
        <v>0.98833374666028817</v>
      </c>
      <c r="F78" s="2">
        <f>SUBTOTAL(101,TimeDfBBoxAutoSam__6[Column6])</f>
        <v>0.98997270786362146</v>
      </c>
      <c r="G78" s="2"/>
      <c r="H78" s="2"/>
    </row>
    <row r="79" spans="1:8" x14ac:dyDescent="0.25">
      <c r="A79" s="2">
        <f>STDEVA(A4:A77)</f>
        <v>2.0274176581544876</v>
      </c>
      <c r="B79" s="2"/>
      <c r="C79" s="2">
        <f>STDEVA(C3:C77)</f>
        <v>8.8424640855990812E-3</v>
      </c>
      <c r="D79" s="2">
        <f>STDEVA(D3:D77)</f>
        <v>4.8202565903819458E-3</v>
      </c>
      <c r="E79" s="2">
        <f>STDEVA(E3:E77)</f>
        <v>3.9585287420107916E-3</v>
      </c>
      <c r="F79" s="2">
        <f>STDEVA(F3:F77)</f>
        <v>1.2402737328707019E-3</v>
      </c>
      <c r="G79" s="2"/>
      <c r="H7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5106-EDFA-433F-8DDF-1CFB96987C0E}">
  <dimension ref="A1:F79"/>
  <sheetViews>
    <sheetView topLeftCell="A55" workbookViewId="0">
      <selection activeCell="F79" sqref="F79"/>
    </sheetView>
  </sheetViews>
  <sheetFormatPr defaultRowHeight="15" x14ac:dyDescent="0.25"/>
  <cols>
    <col min="1" max="1" width="18.85546875" bestFit="1" customWidth="1"/>
    <col min="2" max="2" width="11.42578125" bestFit="1" customWidth="1"/>
    <col min="3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>
        <v>470.78585624694801</v>
      </c>
      <c r="B3" s="1" t="s">
        <v>12</v>
      </c>
      <c r="C3" s="1">
        <v>0.94459143490031905</v>
      </c>
      <c r="D3" s="1">
        <v>0.97150632050247598</v>
      </c>
      <c r="E3" s="1">
        <v>0.99325493748281302</v>
      </c>
      <c r="F3" s="1">
        <v>0.99311299233455497</v>
      </c>
    </row>
    <row r="4" spans="1:6" x14ac:dyDescent="0.25">
      <c r="A4" s="1">
        <v>31.847000122070298</v>
      </c>
      <c r="B4" s="1" t="s">
        <v>13</v>
      </c>
      <c r="C4" s="1">
        <v>0.94178853349628699</v>
      </c>
      <c r="D4" s="1">
        <v>0.97002172713477697</v>
      </c>
      <c r="E4" s="1">
        <v>0.99665145944988198</v>
      </c>
      <c r="F4" s="1">
        <v>0.99297203884615703</v>
      </c>
    </row>
    <row r="5" spans="1:6" x14ac:dyDescent="0.25">
      <c r="A5" s="1">
        <v>15.971183776855399</v>
      </c>
      <c r="B5" s="1" t="s">
        <v>14</v>
      </c>
      <c r="C5" s="1">
        <v>0.94206663267865898</v>
      </c>
      <c r="D5" s="1">
        <v>0.97016921749928098</v>
      </c>
      <c r="E5" s="1">
        <v>0.99847330863181005</v>
      </c>
      <c r="F5" s="1">
        <v>0.99250952806056703</v>
      </c>
    </row>
    <row r="6" spans="1:6" x14ac:dyDescent="0.25">
      <c r="A6" s="1">
        <v>14.586925506591699</v>
      </c>
      <c r="B6" s="1" t="s">
        <v>15</v>
      </c>
      <c r="C6" s="1">
        <v>0.91480566961788701</v>
      </c>
      <c r="D6" s="1">
        <v>0.95550758401550195</v>
      </c>
      <c r="E6" s="1">
        <v>0.99738227682422498</v>
      </c>
      <c r="F6" s="1">
        <v>0.99381561168277699</v>
      </c>
    </row>
    <row r="7" spans="1:6" x14ac:dyDescent="0.25">
      <c r="A7" s="1">
        <v>15.8658027648925</v>
      </c>
      <c r="B7" s="1" t="s">
        <v>16</v>
      </c>
      <c r="C7" s="1">
        <v>0.86880596410194</v>
      </c>
      <c r="D7" s="1">
        <v>0.92979793599861205</v>
      </c>
      <c r="E7" s="1">
        <v>0.99374362776902403</v>
      </c>
      <c r="F7" s="1">
        <v>0.99697857249965405</v>
      </c>
    </row>
    <row r="8" spans="1:6" x14ac:dyDescent="0.25">
      <c r="A8" s="1">
        <v>15.3009891510009</v>
      </c>
      <c r="B8" s="1" t="s">
        <v>17</v>
      </c>
      <c r="C8" s="1">
        <v>0.960352933002941</v>
      </c>
      <c r="D8" s="1">
        <v>0.97977554636739494</v>
      </c>
      <c r="E8" s="1">
        <v>0.99138760556309202</v>
      </c>
      <c r="F8" s="1">
        <v>0.99386445982395599</v>
      </c>
    </row>
    <row r="9" spans="1:6" x14ac:dyDescent="0.25">
      <c r="A9" s="1">
        <v>14.985322952270501</v>
      </c>
      <c r="B9" s="1" t="s">
        <v>18</v>
      </c>
      <c r="C9" s="1">
        <v>0.94020574550731995</v>
      </c>
      <c r="D9" s="1">
        <v>0.96918148777203805</v>
      </c>
      <c r="E9" s="1">
        <v>0.99616480484826497</v>
      </c>
      <c r="F9" s="1">
        <v>0.99298523167391695</v>
      </c>
    </row>
    <row r="10" spans="1:6" x14ac:dyDescent="0.25">
      <c r="A10" s="1">
        <v>15.258312225341699</v>
      </c>
      <c r="B10" s="1" t="s">
        <v>19</v>
      </c>
      <c r="C10" s="1">
        <v>0.95326225115164398</v>
      </c>
      <c r="D10" s="1">
        <v>0.97607195407539404</v>
      </c>
      <c r="E10" s="1">
        <v>0.99709541108824695</v>
      </c>
      <c r="F10" s="1">
        <v>0.99416434619720595</v>
      </c>
    </row>
    <row r="11" spans="1:6" x14ac:dyDescent="0.25">
      <c r="A11" s="1">
        <v>16.275882720947202</v>
      </c>
      <c r="B11" s="1" t="s">
        <v>20</v>
      </c>
      <c r="C11" s="1">
        <v>0.845331565536243</v>
      </c>
      <c r="D11" s="1">
        <v>0.91618393282141097</v>
      </c>
      <c r="E11" s="1">
        <v>0.99589973885241501</v>
      </c>
      <c r="F11" s="1">
        <v>0.992757068011905</v>
      </c>
    </row>
    <row r="12" spans="1:6" x14ac:dyDescent="0.25">
      <c r="A12" s="1">
        <v>15.4345035552978</v>
      </c>
      <c r="B12" s="1" t="s">
        <v>21</v>
      </c>
      <c r="C12" s="1">
        <v>0.95649474265985202</v>
      </c>
      <c r="D12" s="1">
        <v>0.97776367276049903</v>
      </c>
      <c r="E12" s="1">
        <v>0.99565319298544597</v>
      </c>
      <c r="F12" s="1">
        <v>0.99365046492388598</v>
      </c>
    </row>
    <row r="13" spans="1:6" x14ac:dyDescent="0.25">
      <c r="A13" s="1">
        <v>15.023946762084901</v>
      </c>
      <c r="B13" s="1" t="s">
        <v>22</v>
      </c>
      <c r="C13" s="1">
        <v>0.90908358444655701</v>
      </c>
      <c r="D13" s="1">
        <v>0.95237693294618098</v>
      </c>
      <c r="E13" s="1">
        <v>0.99301203970992002</v>
      </c>
      <c r="F13" s="1">
        <v>0.99471144344823903</v>
      </c>
    </row>
    <row r="14" spans="1:6" x14ac:dyDescent="0.25">
      <c r="A14" s="1">
        <v>15.2366161346435</v>
      </c>
      <c r="B14" s="1" t="s">
        <v>23</v>
      </c>
      <c r="C14" s="1">
        <v>0.93774062901048305</v>
      </c>
      <c r="D14" s="1">
        <v>0.967870121492312</v>
      </c>
      <c r="E14" s="1">
        <v>0.99730570499242199</v>
      </c>
      <c r="F14" s="1">
        <v>0.99234086209383898</v>
      </c>
    </row>
    <row r="15" spans="1:6" x14ac:dyDescent="0.25">
      <c r="A15" s="1">
        <v>15.036821365356399</v>
      </c>
      <c r="B15" s="1" t="s">
        <v>24</v>
      </c>
      <c r="C15" s="1">
        <v>0.94776935612647695</v>
      </c>
      <c r="D15" s="1">
        <v>0.97318437950097203</v>
      </c>
      <c r="E15" s="1">
        <v>0.99497663417266602</v>
      </c>
      <c r="F15" s="1">
        <v>0.990077654136026</v>
      </c>
    </row>
    <row r="16" spans="1:6" x14ac:dyDescent="0.25">
      <c r="A16" s="1">
        <v>16.1933898925781</v>
      </c>
      <c r="B16" s="1" t="s">
        <v>25</v>
      </c>
      <c r="C16" s="1">
        <v>0.95569927600211901</v>
      </c>
      <c r="D16" s="1">
        <v>0.97734788546404605</v>
      </c>
      <c r="E16" s="1">
        <v>0.99467783682783695</v>
      </c>
      <c r="F16" s="1">
        <v>0.994198193880107</v>
      </c>
    </row>
    <row r="17" spans="1:6" x14ac:dyDescent="0.25">
      <c r="A17" s="1">
        <v>14.8909091949462</v>
      </c>
      <c r="B17" s="1" t="s">
        <v>26</v>
      </c>
      <c r="C17" s="1">
        <v>0.94211212146964596</v>
      </c>
      <c r="D17" s="1">
        <v>0.970193338535703</v>
      </c>
      <c r="E17" s="1">
        <v>0.99259823014131998</v>
      </c>
      <c r="F17" s="1">
        <v>0.996341556595844</v>
      </c>
    </row>
    <row r="18" spans="1:6" x14ac:dyDescent="0.25">
      <c r="A18" s="1">
        <v>15.557765960693301</v>
      </c>
      <c r="B18" s="1" t="s">
        <v>27</v>
      </c>
      <c r="C18" s="1">
        <v>0.88946887039107103</v>
      </c>
      <c r="D18" s="1">
        <v>0.94150148153218705</v>
      </c>
      <c r="E18" s="1">
        <v>0.99428896003304701</v>
      </c>
      <c r="F18" s="1">
        <v>0.98801045657139597</v>
      </c>
    </row>
    <row r="19" spans="1:6" x14ac:dyDescent="0.25">
      <c r="A19" s="1">
        <v>14.969825744628899</v>
      </c>
      <c r="B19" s="1" t="s">
        <v>28</v>
      </c>
      <c r="C19" s="1">
        <v>0.88270845146389698</v>
      </c>
      <c r="D19" s="1">
        <v>0.937700631000565</v>
      </c>
      <c r="E19" s="1">
        <v>0.988600105325113</v>
      </c>
      <c r="F19" s="1">
        <v>0.99212917702390402</v>
      </c>
    </row>
    <row r="20" spans="1:6" x14ac:dyDescent="0.25">
      <c r="A20" s="1">
        <v>15.4473781585693</v>
      </c>
      <c r="B20" s="1" t="s">
        <v>29</v>
      </c>
      <c r="C20" s="1">
        <v>0.91956040869351496</v>
      </c>
      <c r="D20" s="1">
        <v>0.958094785169468</v>
      </c>
      <c r="E20" s="1">
        <v>0.97610972382691596</v>
      </c>
      <c r="F20" s="1">
        <v>0.99838511565997301</v>
      </c>
    </row>
    <row r="21" spans="1:6" x14ac:dyDescent="0.25">
      <c r="A21" s="1">
        <v>15.1770114898681</v>
      </c>
      <c r="B21" s="1" t="s">
        <v>30</v>
      </c>
      <c r="C21" s="1">
        <v>0.93975610814564003</v>
      </c>
      <c r="D21" s="1">
        <v>0.96894254303343696</v>
      </c>
      <c r="E21" s="1">
        <v>0.99422421788196802</v>
      </c>
      <c r="F21" s="1">
        <v>0.99328276964433304</v>
      </c>
    </row>
    <row r="22" spans="1:6" x14ac:dyDescent="0.25">
      <c r="A22" s="1">
        <v>15.0058269500732</v>
      </c>
      <c r="B22" s="1" t="s">
        <v>31</v>
      </c>
      <c r="C22" s="1">
        <v>0.92283596546062796</v>
      </c>
      <c r="D22" s="1">
        <v>0.95986967379149901</v>
      </c>
      <c r="E22" s="1">
        <v>0.99407285723799499</v>
      </c>
      <c r="F22" s="1">
        <v>0.98857937346390201</v>
      </c>
    </row>
    <row r="23" spans="1:6" x14ac:dyDescent="0.25">
      <c r="A23" s="1">
        <v>15.061616897583001</v>
      </c>
      <c r="B23" s="1" t="s">
        <v>32</v>
      </c>
      <c r="C23" s="1">
        <v>0.95029773770786896</v>
      </c>
      <c r="D23" s="1">
        <v>0.97451555148161895</v>
      </c>
      <c r="E23" s="1">
        <v>0.997536147750131</v>
      </c>
      <c r="F23" s="1">
        <v>0.99182172152539705</v>
      </c>
    </row>
    <row r="24" spans="1:6" x14ac:dyDescent="0.25">
      <c r="A24" s="1">
        <v>14.678716659545801</v>
      </c>
      <c r="B24" s="1" t="s">
        <v>33</v>
      </c>
      <c r="C24" s="1">
        <v>0.94850031298738502</v>
      </c>
      <c r="D24" s="1">
        <v>0.97356957724391702</v>
      </c>
      <c r="E24" s="1">
        <v>0.99084510944860005</v>
      </c>
      <c r="F24" s="1">
        <v>0.99579694704758404</v>
      </c>
    </row>
    <row r="25" spans="1:6" x14ac:dyDescent="0.25">
      <c r="A25" s="1">
        <v>15.9287452697753</v>
      </c>
      <c r="B25" s="1" t="s">
        <v>34</v>
      </c>
      <c r="C25" s="1">
        <v>0.95714213343690302</v>
      </c>
      <c r="D25" s="1">
        <v>0.978101811906816</v>
      </c>
      <c r="E25" s="1">
        <v>0.99283587318269395</v>
      </c>
      <c r="F25" s="1">
        <v>0.99544304556098195</v>
      </c>
    </row>
    <row r="26" spans="1:6" x14ac:dyDescent="0.25">
      <c r="A26" s="1">
        <v>15.132188796996999</v>
      </c>
      <c r="B26" s="1" t="s">
        <v>35</v>
      </c>
      <c r="C26" s="1">
        <v>0.916842925525993</v>
      </c>
      <c r="D26" s="1">
        <v>0.95661768976131001</v>
      </c>
      <c r="E26" s="1">
        <v>0.99279153306492396</v>
      </c>
      <c r="F26" s="1">
        <v>0.99658821344915105</v>
      </c>
    </row>
    <row r="27" spans="1:6" x14ac:dyDescent="0.25">
      <c r="A27" s="1">
        <v>15.7914161682128</v>
      </c>
      <c r="B27" s="1" t="s">
        <v>36</v>
      </c>
      <c r="C27" s="1">
        <v>0.95265933313995399</v>
      </c>
      <c r="D27" s="1">
        <v>0.97575579823034397</v>
      </c>
      <c r="E27" s="1">
        <v>0.99738362585849705</v>
      </c>
      <c r="F27" s="1">
        <v>0.99344783590572805</v>
      </c>
    </row>
    <row r="28" spans="1:6" x14ac:dyDescent="0.25">
      <c r="A28" s="1">
        <v>15.015840530395501</v>
      </c>
      <c r="B28" s="1" t="s">
        <v>37</v>
      </c>
      <c r="C28" s="1">
        <v>0.94704730340463905</v>
      </c>
      <c r="D28" s="1">
        <v>0.97280359008085404</v>
      </c>
      <c r="E28" s="1">
        <v>0.99681988759491802</v>
      </c>
      <c r="F28" s="1">
        <v>0.99361964712349304</v>
      </c>
    </row>
    <row r="29" spans="1:6" x14ac:dyDescent="0.25">
      <c r="A29" s="1">
        <v>15.939474105834901</v>
      </c>
      <c r="B29" s="1" t="s">
        <v>38</v>
      </c>
      <c r="C29" s="1">
        <v>0.87579679350975403</v>
      </c>
      <c r="D29" s="1">
        <v>0.93378642776233101</v>
      </c>
      <c r="E29" s="1">
        <v>0.94060814415268801</v>
      </c>
      <c r="F29" s="1">
        <v>0.99490975362147405</v>
      </c>
    </row>
    <row r="30" spans="1:6" x14ac:dyDescent="0.25">
      <c r="A30" s="1">
        <v>14.972209930419901</v>
      </c>
      <c r="B30" s="1" t="s">
        <v>39</v>
      </c>
      <c r="C30" s="1">
        <v>0.94699001353663803</v>
      </c>
      <c r="D30" s="1">
        <v>0.97277336499170197</v>
      </c>
      <c r="E30" s="1">
        <v>0.99343559515037805</v>
      </c>
      <c r="F30" s="1">
        <v>0.99185798511263301</v>
      </c>
    </row>
    <row r="31" spans="1:6" x14ac:dyDescent="0.25">
      <c r="A31" s="1">
        <v>15.775442123413001</v>
      </c>
      <c r="B31" s="1" t="s">
        <v>40</v>
      </c>
      <c r="C31" s="1">
        <v>0.93582402105224105</v>
      </c>
      <c r="D31" s="1">
        <v>0.96684823710738099</v>
      </c>
      <c r="E31" s="1">
        <v>0.99559358457458802</v>
      </c>
      <c r="F31" s="1">
        <v>0.99315935565543501</v>
      </c>
    </row>
    <row r="32" spans="1:6" x14ac:dyDescent="0.25">
      <c r="A32" s="1">
        <v>14.981746673583901</v>
      </c>
      <c r="B32" s="1" t="s">
        <v>41</v>
      </c>
      <c r="C32" s="1">
        <v>0.94402623038575995</v>
      </c>
      <c r="D32" s="1">
        <v>0.97120729713449705</v>
      </c>
      <c r="E32" s="1">
        <v>0.99894969139808998</v>
      </c>
      <c r="F32" s="1">
        <v>0.99488503785383198</v>
      </c>
    </row>
    <row r="33" spans="1:6" x14ac:dyDescent="0.25">
      <c r="A33" s="1">
        <v>15.117168426513601</v>
      </c>
      <c r="B33" s="1" t="s">
        <v>42</v>
      </c>
      <c r="C33" s="1">
        <v>0.93510048510048505</v>
      </c>
      <c r="D33" s="1">
        <v>0.96646194065930102</v>
      </c>
      <c r="E33" s="1">
        <v>0.97131442556867198</v>
      </c>
      <c r="F33" s="1">
        <v>0.99894591650404696</v>
      </c>
    </row>
    <row r="34" spans="1:6" x14ac:dyDescent="0.25">
      <c r="A34" s="1">
        <v>15.1662826538085</v>
      </c>
      <c r="B34" s="1" t="s">
        <v>43</v>
      </c>
      <c r="C34" s="1">
        <v>0.93224071640628803</v>
      </c>
      <c r="D34" s="1">
        <v>0.96493227628504996</v>
      </c>
      <c r="E34" s="1">
        <v>0.98970497054872297</v>
      </c>
      <c r="F34" s="1">
        <v>0.98932132691240404</v>
      </c>
    </row>
    <row r="35" spans="1:6" x14ac:dyDescent="0.25">
      <c r="A35" s="1">
        <v>15.1402950286865</v>
      </c>
      <c r="B35" s="1" t="s">
        <v>44</v>
      </c>
      <c r="C35" s="1">
        <v>0.90669295034262598</v>
      </c>
      <c r="D35" s="1">
        <v>0.95106341079165002</v>
      </c>
      <c r="E35" s="1">
        <v>0.99587586349108104</v>
      </c>
      <c r="F35" s="1">
        <v>0.99622095902077601</v>
      </c>
    </row>
    <row r="36" spans="1:6" x14ac:dyDescent="0.25">
      <c r="A36" s="1">
        <v>14.6679878234863</v>
      </c>
      <c r="B36" s="1" t="s">
        <v>45</v>
      </c>
      <c r="C36" s="1">
        <v>0.94802563119557404</v>
      </c>
      <c r="D36" s="1">
        <v>0.97331946357783405</v>
      </c>
      <c r="E36" s="1">
        <v>0.99531062329099695</v>
      </c>
      <c r="F36" s="1">
        <v>0.991248268038186</v>
      </c>
    </row>
    <row r="37" spans="1:6" x14ac:dyDescent="0.25">
      <c r="A37" s="1">
        <v>15.1674747467041</v>
      </c>
      <c r="B37" s="1" t="s">
        <v>46</v>
      </c>
      <c r="C37" s="1">
        <v>0.92465587572410401</v>
      </c>
      <c r="D37" s="1">
        <v>0.96085319706955397</v>
      </c>
      <c r="E37" s="1">
        <v>0.98395488736707504</v>
      </c>
      <c r="F37" s="1">
        <v>0.99317169529996097</v>
      </c>
    </row>
    <row r="38" spans="1:6" x14ac:dyDescent="0.25">
      <c r="A38" s="1">
        <v>14.8091316223144</v>
      </c>
      <c r="B38" s="1" t="s">
        <v>47</v>
      </c>
      <c r="C38" s="1">
        <v>0.954411784543578</v>
      </c>
      <c r="D38" s="1">
        <v>0.97667420150811801</v>
      </c>
      <c r="E38" s="1">
        <v>0.99384042702626696</v>
      </c>
      <c r="F38" s="1">
        <v>0.99350913047508405</v>
      </c>
    </row>
    <row r="39" spans="1:6" x14ac:dyDescent="0.25">
      <c r="A39" s="1">
        <v>15.061378479003899</v>
      </c>
      <c r="B39" s="1" t="s">
        <v>48</v>
      </c>
      <c r="C39" s="1">
        <v>0.93665637032962301</v>
      </c>
      <c r="D39" s="1">
        <v>0.96729227206187596</v>
      </c>
      <c r="E39" s="1">
        <v>0.99648870081930296</v>
      </c>
      <c r="F39" s="1">
        <v>0.99243204843488997</v>
      </c>
    </row>
    <row r="40" spans="1:6" x14ac:dyDescent="0.25">
      <c r="A40" s="1">
        <v>14.664888381958001</v>
      </c>
      <c r="B40" s="1" t="s">
        <v>49</v>
      </c>
      <c r="C40" s="1">
        <v>0.95004075096157903</v>
      </c>
      <c r="D40" s="1">
        <v>0.97438040768441103</v>
      </c>
      <c r="E40" s="1">
        <v>0.99304273746982796</v>
      </c>
      <c r="F40" s="1">
        <v>0.99337858386744404</v>
      </c>
    </row>
    <row r="41" spans="1:6" x14ac:dyDescent="0.25">
      <c r="A41" s="1">
        <v>15.297889709472599</v>
      </c>
      <c r="B41" s="1" t="s">
        <v>50</v>
      </c>
      <c r="C41" s="1">
        <v>0.90687752168065605</v>
      </c>
      <c r="D41" s="1">
        <v>0.95116493992898399</v>
      </c>
      <c r="E41" s="1">
        <v>0.99013911568500801</v>
      </c>
      <c r="F41" s="1">
        <v>0.99251941826177803</v>
      </c>
    </row>
    <row r="42" spans="1:6" x14ac:dyDescent="0.25">
      <c r="A42" s="1">
        <v>15.4170989990234</v>
      </c>
      <c r="B42" s="1" t="s">
        <v>51</v>
      </c>
      <c r="C42" s="1">
        <v>0.96252367188278598</v>
      </c>
      <c r="D42" s="1">
        <v>0.98090401218892798</v>
      </c>
      <c r="E42" s="1">
        <v>0.99395114999406198</v>
      </c>
      <c r="F42" s="1">
        <v>0.99552842927946295</v>
      </c>
    </row>
    <row r="43" spans="1:6" x14ac:dyDescent="0.25">
      <c r="A43" s="1">
        <v>15.1879787445068</v>
      </c>
      <c r="B43" s="1" t="s">
        <v>52</v>
      </c>
      <c r="C43" s="1">
        <v>0.92637379312961099</v>
      </c>
      <c r="D43" s="1">
        <v>0.96177989592000501</v>
      </c>
      <c r="E43" s="1">
        <v>0.99858914459223203</v>
      </c>
      <c r="F43" s="1">
        <v>0.99198012543609704</v>
      </c>
    </row>
    <row r="44" spans="1:6" x14ac:dyDescent="0.25">
      <c r="A44" s="1">
        <v>15.805721282958901</v>
      </c>
      <c r="B44" s="1" t="s">
        <v>53</v>
      </c>
      <c r="C44" s="1">
        <v>0.93882838971534099</v>
      </c>
      <c r="D44" s="1">
        <v>0.96844918786564704</v>
      </c>
      <c r="E44" s="1">
        <v>0.99754526814335598</v>
      </c>
      <c r="F44" s="1">
        <v>0.99312264805042805</v>
      </c>
    </row>
    <row r="45" spans="1:6" x14ac:dyDescent="0.25">
      <c r="A45" s="1">
        <v>15.308141708374</v>
      </c>
      <c r="B45" s="1" t="s">
        <v>54</v>
      </c>
      <c r="C45" s="1">
        <v>0.92104515287784805</v>
      </c>
      <c r="D45" s="1">
        <v>0.95890005656354604</v>
      </c>
      <c r="E45" s="1">
        <v>0.99223801033731296</v>
      </c>
      <c r="F45" s="1">
        <v>0.99567795748246002</v>
      </c>
    </row>
    <row r="46" spans="1:6" x14ac:dyDescent="0.25">
      <c r="A46" s="1">
        <v>14.710664749145501</v>
      </c>
      <c r="B46" s="1" t="s">
        <v>55</v>
      </c>
      <c r="C46" s="1">
        <v>0.93566134381766597</v>
      </c>
      <c r="D46" s="1">
        <v>0.96676140876201</v>
      </c>
      <c r="E46" s="1">
        <v>0.99596816311182601</v>
      </c>
      <c r="F46" s="1">
        <v>0.98977202534009401</v>
      </c>
    </row>
    <row r="47" spans="1:6" x14ac:dyDescent="0.25">
      <c r="A47" s="1">
        <v>15.1827335357666</v>
      </c>
      <c r="B47" s="1" t="s">
        <v>56</v>
      </c>
      <c r="C47" s="1">
        <v>0.93152987787147401</v>
      </c>
      <c r="D47" s="1">
        <v>0.96455135231768696</v>
      </c>
      <c r="E47" s="1">
        <v>0.99503033244358097</v>
      </c>
      <c r="F47" s="1">
        <v>0.98332870439606601</v>
      </c>
    </row>
    <row r="48" spans="1:6" x14ac:dyDescent="0.25">
      <c r="A48" s="1">
        <v>15.5870914459228</v>
      </c>
      <c r="B48" s="1" t="s">
        <v>57</v>
      </c>
      <c r="C48" s="1">
        <v>0.95531166064647499</v>
      </c>
      <c r="D48" s="1">
        <v>0.97714515785235501</v>
      </c>
      <c r="E48" s="1">
        <v>0.99343457043790895</v>
      </c>
      <c r="F48" s="1">
        <v>0.99461895444076898</v>
      </c>
    </row>
    <row r="49" spans="1:6" x14ac:dyDescent="0.25">
      <c r="A49" s="1">
        <v>16.886711120605401</v>
      </c>
      <c r="B49" s="1" t="s">
        <v>58</v>
      </c>
      <c r="C49" s="1">
        <v>0.93328342490261496</v>
      </c>
      <c r="D49" s="1">
        <v>0.96549053582210997</v>
      </c>
      <c r="E49" s="1">
        <v>0.98649409871244598</v>
      </c>
      <c r="F49" s="1">
        <v>0.99054761989469098</v>
      </c>
    </row>
    <row r="50" spans="1:6" x14ac:dyDescent="0.25">
      <c r="A50" s="1">
        <v>14.9731636047363</v>
      </c>
      <c r="B50" s="1" t="s">
        <v>59</v>
      </c>
      <c r="C50" s="1">
        <v>0.94485558866866803</v>
      </c>
      <c r="D50" s="1">
        <v>0.97164601235555903</v>
      </c>
      <c r="E50" s="1">
        <v>0.99487314085739198</v>
      </c>
      <c r="F50" s="1">
        <v>0.98965256987023498</v>
      </c>
    </row>
    <row r="51" spans="1:6" x14ac:dyDescent="0.25">
      <c r="A51" s="1">
        <v>15.871763229370099</v>
      </c>
      <c r="B51" s="1" t="s">
        <v>60</v>
      </c>
      <c r="C51" s="1">
        <v>0.92576471484379197</v>
      </c>
      <c r="D51" s="1">
        <v>0.96145152905544295</v>
      </c>
      <c r="E51" s="1">
        <v>0.99389004415991</v>
      </c>
      <c r="F51" s="1">
        <v>0.99345883291207004</v>
      </c>
    </row>
    <row r="52" spans="1:6" x14ac:dyDescent="0.25">
      <c r="A52" s="1">
        <v>14.9915218353271</v>
      </c>
      <c r="B52" s="1" t="s">
        <v>61</v>
      </c>
      <c r="C52" s="1">
        <v>0.90178550144222702</v>
      </c>
      <c r="D52" s="1">
        <v>0.94835668981423404</v>
      </c>
      <c r="E52" s="1">
        <v>0.99899648770697402</v>
      </c>
      <c r="F52" s="1">
        <v>0.99596125096343202</v>
      </c>
    </row>
    <row r="53" spans="1:6" x14ac:dyDescent="0.25">
      <c r="A53" s="1">
        <v>15.765905380249</v>
      </c>
      <c r="B53" s="1" t="s">
        <v>62</v>
      </c>
      <c r="C53" s="1">
        <v>0.93065032601036402</v>
      </c>
      <c r="D53" s="1">
        <v>0.96407963003173902</v>
      </c>
      <c r="E53" s="1">
        <v>0.99383721484021503</v>
      </c>
      <c r="F53" s="1">
        <v>0.99244587962369202</v>
      </c>
    </row>
    <row r="54" spans="1:6" x14ac:dyDescent="0.25">
      <c r="A54" s="1">
        <v>14.9743556976318</v>
      </c>
      <c r="B54" s="1" t="s">
        <v>63</v>
      </c>
      <c r="C54" s="1">
        <v>0.93634086392021698</v>
      </c>
      <c r="D54" s="1">
        <v>0.967124003182527</v>
      </c>
      <c r="E54" s="1">
        <v>0.99223588938323304</v>
      </c>
      <c r="F54" s="1">
        <v>0.99505336479627404</v>
      </c>
    </row>
    <row r="55" spans="1:6" x14ac:dyDescent="0.25">
      <c r="A55" s="1">
        <v>15.228986740112299</v>
      </c>
      <c r="B55" s="1" t="s">
        <v>64</v>
      </c>
      <c r="C55" s="1">
        <v>0.95189778584864904</v>
      </c>
      <c r="D55" s="1">
        <v>0.97535618181438899</v>
      </c>
      <c r="E55" s="1">
        <v>0.99159350214191799</v>
      </c>
      <c r="F55" s="1">
        <v>0.99471790314938002</v>
      </c>
    </row>
    <row r="56" spans="1:6" x14ac:dyDescent="0.25">
      <c r="A56" s="1">
        <v>14.918327331542899</v>
      </c>
      <c r="B56" s="1" t="s">
        <v>65</v>
      </c>
      <c r="C56" s="1">
        <v>0.94262414001114803</v>
      </c>
      <c r="D56" s="1">
        <v>0.97046476525895398</v>
      </c>
      <c r="E56" s="1">
        <v>0.99605441518202897</v>
      </c>
      <c r="F56" s="1">
        <v>0.99240244852050497</v>
      </c>
    </row>
    <row r="57" spans="1:6" x14ac:dyDescent="0.25">
      <c r="A57" s="1">
        <v>14.9478912353515</v>
      </c>
      <c r="B57" s="1" t="s">
        <v>66</v>
      </c>
      <c r="C57" s="1">
        <v>0.93718533182324304</v>
      </c>
      <c r="D57" s="1">
        <v>0.96757425985791601</v>
      </c>
      <c r="E57" s="1">
        <v>0.99596439769394096</v>
      </c>
      <c r="F57" s="1">
        <v>0.99347061090484801</v>
      </c>
    </row>
    <row r="58" spans="1:6" x14ac:dyDescent="0.25">
      <c r="A58" s="1">
        <v>14.926433563232401</v>
      </c>
      <c r="B58" s="1" t="s">
        <v>67</v>
      </c>
      <c r="C58" s="1">
        <v>0.94134626376557495</v>
      </c>
      <c r="D58" s="1">
        <v>0.96978708160971905</v>
      </c>
      <c r="E58" s="1">
        <v>0.99434476790404203</v>
      </c>
      <c r="F58" s="1">
        <v>0.99410555636910702</v>
      </c>
    </row>
    <row r="59" spans="1:6" x14ac:dyDescent="0.25">
      <c r="A59" s="1">
        <v>15.325069427490201</v>
      </c>
      <c r="B59" s="1" t="s">
        <v>68</v>
      </c>
      <c r="C59" s="1">
        <v>0.91212226038397803</v>
      </c>
      <c r="D59" s="1">
        <v>0.95404177785244004</v>
      </c>
      <c r="E59" s="1">
        <v>0.99291247511969405</v>
      </c>
      <c r="F59" s="1">
        <v>0.99323971998111305</v>
      </c>
    </row>
    <row r="60" spans="1:6" x14ac:dyDescent="0.25">
      <c r="A60" s="1">
        <v>14.8830413818359</v>
      </c>
      <c r="B60" s="1" t="s">
        <v>69</v>
      </c>
      <c r="C60" s="1">
        <v>0.94943047997234797</v>
      </c>
      <c r="D60" s="1">
        <v>0.97405933653588395</v>
      </c>
      <c r="E60" s="1">
        <v>0.99151297398487204</v>
      </c>
      <c r="F60" s="1">
        <v>0.99431923938058098</v>
      </c>
    </row>
    <row r="61" spans="1:6" x14ac:dyDescent="0.25">
      <c r="A61" s="1">
        <v>15.07568359375</v>
      </c>
      <c r="B61" s="1" t="s">
        <v>70</v>
      </c>
      <c r="C61" s="1">
        <v>0.93994965602677905</v>
      </c>
      <c r="D61" s="1">
        <v>0.96904541115968401</v>
      </c>
      <c r="E61" s="1">
        <v>0.99744769523383303</v>
      </c>
      <c r="F61" s="1">
        <v>0.99033976465599405</v>
      </c>
    </row>
    <row r="62" spans="1:6" x14ac:dyDescent="0.25">
      <c r="A62" s="1">
        <v>14.622449874877899</v>
      </c>
      <c r="B62" s="1" t="s">
        <v>71</v>
      </c>
      <c r="C62" s="1">
        <v>0.95188411669367901</v>
      </c>
      <c r="D62" s="1">
        <v>0.97534900617572196</v>
      </c>
      <c r="E62" s="1">
        <v>0.99464589709890505</v>
      </c>
      <c r="F62" s="1">
        <v>0.99455413518961</v>
      </c>
    </row>
    <row r="63" spans="1:6" x14ac:dyDescent="0.25">
      <c r="A63" s="1">
        <v>15.6407356262207</v>
      </c>
      <c r="B63" s="1" t="s">
        <v>72</v>
      </c>
      <c r="C63" s="1">
        <v>0.92031838773868402</v>
      </c>
      <c r="D63" s="1">
        <v>0.95850604109709803</v>
      </c>
      <c r="E63" s="1">
        <v>0.99778519870095495</v>
      </c>
      <c r="F63" s="1">
        <v>0.99237077909583005</v>
      </c>
    </row>
    <row r="64" spans="1:6" x14ac:dyDescent="0.25">
      <c r="A64" s="1">
        <v>14.9502754211425</v>
      </c>
      <c r="B64" s="1" t="s">
        <v>73</v>
      </c>
      <c r="C64" s="1">
        <v>0.94054610022725205</v>
      </c>
      <c r="D64" s="1">
        <v>0.96936228427359405</v>
      </c>
      <c r="E64" s="1">
        <v>0.99768525344263204</v>
      </c>
      <c r="F64" s="1">
        <v>0.99097296160468995</v>
      </c>
    </row>
    <row r="65" spans="1:6" x14ac:dyDescent="0.25">
      <c r="A65" s="1">
        <v>15.4345035552978</v>
      </c>
      <c r="B65" s="1" t="s">
        <v>74</v>
      </c>
      <c r="C65" s="1">
        <v>0.91370227967666695</v>
      </c>
      <c r="D65" s="1">
        <v>0.95490535741122995</v>
      </c>
      <c r="E65" s="1">
        <v>0.98381523617041999</v>
      </c>
      <c r="F65" s="1">
        <v>0.99523106251684001</v>
      </c>
    </row>
    <row r="66" spans="1:6" x14ac:dyDescent="0.25">
      <c r="A66" s="1">
        <v>15.1522159576416</v>
      </c>
      <c r="B66" s="1" t="s">
        <v>75</v>
      </c>
      <c r="C66" s="1">
        <v>0.90449065438111098</v>
      </c>
      <c r="D66" s="1">
        <v>0.94985045193097695</v>
      </c>
      <c r="E66" s="1">
        <v>0.993974080290564</v>
      </c>
      <c r="F66" s="1">
        <v>0.99263134164711098</v>
      </c>
    </row>
    <row r="67" spans="1:6" x14ac:dyDescent="0.25">
      <c r="A67" s="1">
        <v>14.899730682373001</v>
      </c>
      <c r="B67" s="1" t="s">
        <v>76</v>
      </c>
      <c r="C67" s="1">
        <v>0.90143825032687497</v>
      </c>
      <c r="D67" s="1">
        <v>0.94816463292658504</v>
      </c>
      <c r="E67" s="1">
        <v>0.99067300658376001</v>
      </c>
      <c r="F67" s="1">
        <v>0.99624962882312096</v>
      </c>
    </row>
    <row r="68" spans="1:6" x14ac:dyDescent="0.25">
      <c r="A68" s="1">
        <v>15.038490295410099</v>
      </c>
      <c r="B68" s="1" t="s">
        <v>77</v>
      </c>
      <c r="C68" s="1">
        <v>0.938812413610285</v>
      </c>
      <c r="D68" s="1">
        <v>0.968440687732251</v>
      </c>
      <c r="E68" s="1">
        <v>0.99537260097968305</v>
      </c>
      <c r="F68" s="1">
        <v>0.99367512793060098</v>
      </c>
    </row>
    <row r="69" spans="1:6" x14ac:dyDescent="0.25">
      <c r="A69" s="1">
        <v>14.826774597167899</v>
      </c>
      <c r="B69" s="1" t="s">
        <v>78</v>
      </c>
      <c r="C69" s="1">
        <v>0.891346368299754</v>
      </c>
      <c r="D69" s="1">
        <v>0.94255222971246599</v>
      </c>
      <c r="E69" s="1">
        <v>0.993783414148949</v>
      </c>
      <c r="F69" s="1">
        <v>0.99445576306734396</v>
      </c>
    </row>
    <row r="70" spans="1:6" x14ac:dyDescent="0.25">
      <c r="A70" s="1">
        <v>15.576601028442299</v>
      </c>
      <c r="B70" s="1" t="s">
        <v>79</v>
      </c>
      <c r="C70" s="1">
        <v>0.93913714030601803</v>
      </c>
      <c r="D70" s="1">
        <v>0.96861343201111805</v>
      </c>
      <c r="E70" s="1">
        <v>0.99848971278652299</v>
      </c>
      <c r="F70" s="1">
        <v>0.99214863450783897</v>
      </c>
    </row>
    <row r="71" spans="1:6" x14ac:dyDescent="0.25">
      <c r="A71" s="1">
        <v>15.0432586669921</v>
      </c>
      <c r="B71" s="1" t="s">
        <v>80</v>
      </c>
      <c r="C71" s="1">
        <v>0.92546815657175396</v>
      </c>
      <c r="D71" s="1">
        <v>0.96129157307854496</v>
      </c>
      <c r="E71" s="1">
        <v>0.99496686866064399</v>
      </c>
      <c r="F71" s="1">
        <v>0.98552267719562803</v>
      </c>
    </row>
    <row r="72" spans="1:6" x14ac:dyDescent="0.25">
      <c r="A72" s="1">
        <v>14.884233474731399</v>
      </c>
      <c r="B72" s="1" t="s">
        <v>81</v>
      </c>
      <c r="C72" s="1">
        <v>0.94369031469819298</v>
      </c>
      <c r="D72" s="1">
        <v>0.971029497407075</v>
      </c>
      <c r="E72" s="1">
        <v>0.99663187855787405</v>
      </c>
      <c r="F72" s="1">
        <v>0.99373075650779896</v>
      </c>
    </row>
    <row r="73" spans="1:6" x14ac:dyDescent="0.25">
      <c r="A73" s="1">
        <v>15.803337097167899</v>
      </c>
      <c r="B73" s="1" t="s">
        <v>82</v>
      </c>
      <c r="C73" s="1">
        <v>0.94379561426505498</v>
      </c>
      <c r="D73" s="1">
        <v>0.97108523894051701</v>
      </c>
      <c r="E73" s="1">
        <v>0.99377560106856599</v>
      </c>
      <c r="F73" s="1">
        <v>0.99364824047609801</v>
      </c>
    </row>
    <row r="74" spans="1:6" x14ac:dyDescent="0.25">
      <c r="A74" s="1">
        <v>15.2511596679687</v>
      </c>
      <c r="B74" s="1" t="s">
        <v>83</v>
      </c>
      <c r="C74" s="1">
        <v>0.94492707353138805</v>
      </c>
      <c r="D74" s="1">
        <v>0.97168380901366302</v>
      </c>
      <c r="E74" s="1">
        <v>0.994491210695716</v>
      </c>
      <c r="F74" s="1">
        <v>0.99365889742635805</v>
      </c>
    </row>
    <row r="75" spans="1:6" x14ac:dyDescent="0.25">
      <c r="A75" s="1">
        <v>15.154600143432599</v>
      </c>
      <c r="B75" s="1" t="s">
        <v>84</v>
      </c>
      <c r="C75" s="1">
        <v>0.86197734582575802</v>
      </c>
      <c r="D75" s="1">
        <v>0.92587307547878295</v>
      </c>
      <c r="E75" s="1">
        <v>0.99131553554197405</v>
      </c>
      <c r="F75" s="1">
        <v>0.99819908506572397</v>
      </c>
    </row>
    <row r="76" spans="1:6" x14ac:dyDescent="0.25">
      <c r="A76" s="1">
        <v>14.9331092834472</v>
      </c>
      <c r="B76" s="1" t="s">
        <v>85</v>
      </c>
      <c r="C76" s="1">
        <v>0.93328127033710795</v>
      </c>
      <c r="D76" s="1">
        <v>0.96548938290223096</v>
      </c>
      <c r="E76" s="1">
        <v>0.992140801416869</v>
      </c>
      <c r="F76" s="1">
        <v>0.99272789543996298</v>
      </c>
    </row>
    <row r="77" spans="1:6" x14ac:dyDescent="0.25">
      <c r="A77" s="1">
        <v>16.444921493530199</v>
      </c>
      <c r="B77" s="1" t="s">
        <v>86</v>
      </c>
      <c r="C77" s="1">
        <v>0.93151901597861697</v>
      </c>
      <c r="D77" s="1">
        <v>0.96454552947453798</v>
      </c>
      <c r="E77" s="1">
        <v>0.99557617222480899</v>
      </c>
      <c r="F77" s="1">
        <v>0.99180389109709799</v>
      </c>
    </row>
    <row r="78" spans="1:6" x14ac:dyDescent="0.25">
      <c r="A78" s="1">
        <f>AVERAGE(A4:A77)</f>
        <v>15.487297161205358</v>
      </c>
      <c r="B78" s="1"/>
      <c r="C78" s="1">
        <f>SUBTOTAL(101,TimeDfBBoxAutoSam__7[Column3])</f>
        <v>0.93052151819818374</v>
      </c>
      <c r="D78" s="1">
        <f>SUBTOTAL(101,TimeDfBBoxAutoSam__7[Column4])</f>
        <v>0.96385190829424627</v>
      </c>
      <c r="E78" s="1">
        <f>SUBTOTAL(101,TimeDfBBoxAutoSam__7[Column5])</f>
        <v>0.99298773103248661</v>
      </c>
      <c r="F78" s="1">
        <f>SUBTOTAL(101,TimeDfBBoxAutoSam__7[Column6])</f>
        <v>0.99323291052375184</v>
      </c>
    </row>
    <row r="79" spans="1:6" x14ac:dyDescent="0.25">
      <c r="A79">
        <f>STDEVA(A4:A77)</f>
        <v>1.9799009663023615</v>
      </c>
      <c r="C79">
        <f>STDEVA(C3:C77)</f>
        <v>2.3827320004403518E-2</v>
      </c>
      <c r="D79">
        <f>STDEVA(D3:D77)</f>
        <v>1.3025826508826974E-2</v>
      </c>
      <c r="E79">
        <f>STDEVA(E3:E77)</f>
        <v>7.6098079587545919E-3</v>
      </c>
      <c r="F79">
        <f>STDEVA(F3:F77)</f>
        <v>2.5779773364649275E-3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EDDA-5F80-42AC-8144-65773DAEE00F}">
  <dimension ref="A1:G82"/>
  <sheetViews>
    <sheetView topLeftCell="A58" workbookViewId="0">
      <selection activeCell="H75" sqref="H75"/>
    </sheetView>
  </sheetViews>
  <sheetFormatPr defaultRowHeight="15" x14ac:dyDescent="0.25"/>
  <cols>
    <col min="1" max="1" width="18.85546875" bestFit="1" customWidth="1"/>
    <col min="2" max="2" width="11.42578125" bestFit="1" customWidth="1"/>
    <col min="3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457.878351211547</v>
      </c>
      <c r="B3" t="s">
        <v>12</v>
      </c>
      <c r="C3">
        <v>0.83441960427032902</v>
      </c>
      <c r="D3">
        <v>0.90973690242722105</v>
      </c>
      <c r="E3">
        <v>0.95541111646070698</v>
      </c>
      <c r="F3">
        <v>0.99463898970519804</v>
      </c>
    </row>
    <row r="4" spans="1:6" x14ac:dyDescent="0.25">
      <c r="A4">
        <v>31.880378723144499</v>
      </c>
      <c r="B4" t="s">
        <v>13</v>
      </c>
      <c r="C4">
        <v>0.84235294117646997</v>
      </c>
      <c r="D4">
        <v>0.91443167305236195</v>
      </c>
      <c r="E4">
        <v>0.97298632844671296</v>
      </c>
      <c r="F4">
        <v>0.99632331405497598</v>
      </c>
    </row>
    <row r="5" spans="1:6" x14ac:dyDescent="0.25">
      <c r="A5">
        <v>16.039848327636701</v>
      </c>
      <c r="B5" t="s">
        <v>14</v>
      </c>
      <c r="C5">
        <v>0.82598740698340001</v>
      </c>
      <c r="D5">
        <v>0.90470219435736599</v>
      </c>
      <c r="E5">
        <v>0.98989298454221097</v>
      </c>
      <c r="F5">
        <v>0.99577387967390896</v>
      </c>
    </row>
    <row r="6" spans="1:6" x14ac:dyDescent="0.25">
      <c r="A6">
        <v>14.9102210998535</v>
      </c>
      <c r="B6" t="s">
        <v>15</v>
      </c>
      <c r="C6">
        <v>0.89496936948773897</v>
      </c>
      <c r="D6">
        <v>0.94457396926650405</v>
      </c>
      <c r="E6">
        <v>0.99101589495507902</v>
      </c>
      <c r="F6">
        <v>0.99406093056492095</v>
      </c>
    </row>
    <row r="7" spans="1:6" x14ac:dyDescent="0.25">
      <c r="A7">
        <v>15.4953002929687</v>
      </c>
      <c r="B7" t="s">
        <v>16</v>
      </c>
      <c r="C7">
        <v>0.85838827838827803</v>
      </c>
      <c r="D7">
        <v>0.92379863602317902</v>
      </c>
      <c r="E7">
        <v>0.97515708876035101</v>
      </c>
      <c r="F7">
        <v>0.99680931535462003</v>
      </c>
    </row>
    <row r="8" spans="1:6" x14ac:dyDescent="0.25">
      <c r="A8">
        <v>15.6459808349609</v>
      </c>
      <c r="B8" t="s">
        <v>17</v>
      </c>
      <c r="C8">
        <v>0.86070295467838798</v>
      </c>
      <c r="D8">
        <v>0.925137408434067</v>
      </c>
      <c r="E8">
        <v>0.98570964598895705</v>
      </c>
      <c r="F8">
        <v>0.99284007397089202</v>
      </c>
    </row>
    <row r="9" spans="1:6" x14ac:dyDescent="0.25">
      <c r="A9">
        <v>18.525123596191399</v>
      </c>
      <c r="B9" t="s">
        <v>18</v>
      </c>
      <c r="C9">
        <v>0.86093569946992399</v>
      </c>
      <c r="D9">
        <v>0.92527184009115004</v>
      </c>
      <c r="E9">
        <v>0.99541675548923403</v>
      </c>
      <c r="F9">
        <v>0.99715384944048002</v>
      </c>
    </row>
    <row r="10" spans="1:6" x14ac:dyDescent="0.25">
      <c r="A10">
        <v>14.953136444091699</v>
      </c>
      <c r="B10" t="s">
        <v>19</v>
      </c>
      <c r="C10">
        <v>0.78888752606402501</v>
      </c>
      <c r="D10">
        <v>0.88198672590642302</v>
      </c>
      <c r="E10">
        <v>0.98105552165954801</v>
      </c>
      <c r="F10">
        <v>0.99213916967580096</v>
      </c>
    </row>
    <row r="11" spans="1:6" x14ac:dyDescent="0.25">
      <c r="A11">
        <v>15.588521957397401</v>
      </c>
      <c r="B11" t="s">
        <v>20</v>
      </c>
      <c r="C11">
        <v>0.86452947259565605</v>
      </c>
      <c r="D11">
        <v>0.92734331669439796</v>
      </c>
      <c r="E11">
        <v>0.988754134509371</v>
      </c>
      <c r="F11">
        <v>0.99282260478966899</v>
      </c>
    </row>
    <row r="12" spans="1:6" x14ac:dyDescent="0.25">
      <c r="A12">
        <v>14.9328708648681</v>
      </c>
      <c r="B12" t="s">
        <v>21</v>
      </c>
      <c r="C12">
        <v>0.85515419760137001</v>
      </c>
      <c r="D12">
        <v>0.92192249971139395</v>
      </c>
      <c r="E12">
        <v>0.94310457945151505</v>
      </c>
      <c r="F12">
        <v>0.99612161061524696</v>
      </c>
    </row>
    <row r="13" spans="1:6" x14ac:dyDescent="0.25">
      <c r="A13">
        <v>15.063524246215801</v>
      </c>
      <c r="B13" t="s">
        <v>22</v>
      </c>
      <c r="C13">
        <v>0.71031633950007</v>
      </c>
      <c r="D13">
        <v>0.83062568379332402</v>
      </c>
      <c r="E13">
        <v>0.85289753698757897</v>
      </c>
      <c r="F13">
        <v>0.99538042921519898</v>
      </c>
    </row>
    <row r="14" spans="1:6" x14ac:dyDescent="0.25">
      <c r="A14">
        <v>14.8758888244628</v>
      </c>
      <c r="B14" t="s">
        <v>23</v>
      </c>
      <c r="C14">
        <v>0.87241017359709305</v>
      </c>
      <c r="D14">
        <v>0.93185797203943099</v>
      </c>
      <c r="E14">
        <v>0.992960464646093</v>
      </c>
      <c r="F14">
        <v>0.99243790542654198</v>
      </c>
    </row>
    <row r="15" spans="1:6" x14ac:dyDescent="0.25">
      <c r="A15">
        <v>15.4116153717041</v>
      </c>
      <c r="B15" t="s">
        <v>24</v>
      </c>
      <c r="C15">
        <v>0.85556363365210697</v>
      </c>
      <c r="D15">
        <v>0.92216038096003505</v>
      </c>
      <c r="E15">
        <v>0.97921867332351797</v>
      </c>
      <c r="F15">
        <v>0.99323754351322202</v>
      </c>
    </row>
    <row r="16" spans="1:6" x14ac:dyDescent="0.25">
      <c r="A16">
        <v>14.9004459381103</v>
      </c>
      <c r="B16" t="s">
        <v>25</v>
      </c>
      <c r="C16">
        <v>0.88012962188638599</v>
      </c>
      <c r="D16">
        <v>0.93624355644514301</v>
      </c>
      <c r="E16">
        <v>0.96953396173649797</v>
      </c>
      <c r="F16">
        <v>0.99374865229042297</v>
      </c>
    </row>
    <row r="17" spans="1:6" x14ac:dyDescent="0.25">
      <c r="A17">
        <v>15.5563354492187</v>
      </c>
      <c r="B17" t="s">
        <v>26</v>
      </c>
      <c r="C17">
        <v>0.81170054051409901</v>
      </c>
      <c r="D17">
        <v>0.89606479919001003</v>
      </c>
      <c r="E17">
        <v>0.91694756036912195</v>
      </c>
      <c r="F17">
        <v>0.99536439802367005</v>
      </c>
    </row>
    <row r="18" spans="1:6" x14ac:dyDescent="0.25">
      <c r="A18">
        <v>17.972230911254801</v>
      </c>
      <c r="B18" t="s">
        <v>27</v>
      </c>
      <c r="C18">
        <v>0.83699083999220403</v>
      </c>
      <c r="D18">
        <v>0.911262943473094</v>
      </c>
      <c r="E18">
        <v>0.99343048808697598</v>
      </c>
      <c r="F18">
        <v>0.99606606287872601</v>
      </c>
    </row>
    <row r="19" spans="1:6" x14ac:dyDescent="0.25">
      <c r="A19">
        <v>15.3579711914062</v>
      </c>
      <c r="B19" t="s">
        <v>28</v>
      </c>
      <c r="C19">
        <v>0.84906834792386099</v>
      </c>
      <c r="D19">
        <v>0.91837421680728804</v>
      </c>
      <c r="E19">
        <v>0.97597396602658704</v>
      </c>
      <c r="F19">
        <v>0.99355780862036003</v>
      </c>
    </row>
    <row r="20" spans="1:6" x14ac:dyDescent="0.25">
      <c r="A20">
        <v>14.9962902069091</v>
      </c>
      <c r="B20" t="s">
        <v>29</v>
      </c>
      <c r="C20">
        <v>0.89305417082087002</v>
      </c>
      <c r="D20">
        <v>0.94350619711386496</v>
      </c>
      <c r="E20">
        <v>0.99960941132707104</v>
      </c>
      <c r="F20">
        <v>0.99355153893553605</v>
      </c>
    </row>
    <row r="21" spans="1:6" x14ac:dyDescent="0.25">
      <c r="A21">
        <v>16.0844326019287</v>
      </c>
      <c r="B21" t="s">
        <v>30</v>
      </c>
      <c r="C21">
        <v>0.82370060369915998</v>
      </c>
      <c r="D21">
        <v>0.90332876134205498</v>
      </c>
      <c r="E21">
        <v>0.95675373655538398</v>
      </c>
      <c r="F21">
        <v>0.99429096714887</v>
      </c>
    </row>
    <row r="22" spans="1:6" x14ac:dyDescent="0.25">
      <c r="A22">
        <v>14.7953033447265</v>
      </c>
      <c r="B22" t="s">
        <v>31</v>
      </c>
      <c r="C22">
        <v>0.88163235929177997</v>
      </c>
      <c r="D22">
        <v>0.93709310954198699</v>
      </c>
      <c r="E22">
        <v>0.99142075529727802</v>
      </c>
      <c r="F22">
        <v>0.99220408614114897</v>
      </c>
    </row>
    <row r="23" spans="1:6" x14ac:dyDescent="0.25">
      <c r="A23">
        <v>15.883445739746</v>
      </c>
      <c r="B23" t="s">
        <v>32</v>
      </c>
      <c r="C23">
        <v>0.897000428510212</v>
      </c>
      <c r="D23">
        <v>0.94570398090490804</v>
      </c>
      <c r="E23">
        <v>0.96877651450873903</v>
      </c>
      <c r="F23">
        <v>0.994727335011939</v>
      </c>
    </row>
    <row r="24" spans="1:6" x14ac:dyDescent="0.25">
      <c r="A24">
        <v>14.9743556976318</v>
      </c>
      <c r="B24" t="s">
        <v>33</v>
      </c>
      <c r="C24">
        <v>0.916228187520437</v>
      </c>
      <c r="D24">
        <v>0.95628296618057695</v>
      </c>
      <c r="E24">
        <v>0.98989898989898994</v>
      </c>
      <c r="F24">
        <v>0.99492347701775796</v>
      </c>
    </row>
    <row r="25" spans="1:6" x14ac:dyDescent="0.25">
      <c r="A25">
        <v>15.9993171691894</v>
      </c>
      <c r="B25" t="s">
        <v>34</v>
      </c>
      <c r="C25">
        <v>0.84569871027788801</v>
      </c>
      <c r="D25">
        <v>0.91639952454705897</v>
      </c>
      <c r="E25">
        <v>0.96022041062801899</v>
      </c>
      <c r="F25">
        <v>0.99648951158421994</v>
      </c>
    </row>
    <row r="26" spans="1:6" x14ac:dyDescent="0.25">
      <c r="A26">
        <v>14.9371623992919</v>
      </c>
      <c r="B26" t="s">
        <v>35</v>
      </c>
      <c r="C26">
        <v>0.81902158544631898</v>
      </c>
      <c r="D26">
        <v>0.90050782464504098</v>
      </c>
      <c r="E26">
        <v>0.98141977748912801</v>
      </c>
      <c r="F26">
        <v>0.99306922288834298</v>
      </c>
    </row>
    <row r="27" spans="1:6" x14ac:dyDescent="0.25">
      <c r="A27">
        <v>16.308307647705</v>
      </c>
      <c r="B27" t="s">
        <v>36</v>
      </c>
      <c r="C27">
        <v>0.78684555233596598</v>
      </c>
      <c r="D27">
        <v>0.88070908121556701</v>
      </c>
      <c r="E27">
        <v>0.92678479592313801</v>
      </c>
      <c r="F27">
        <v>0.99629668210364797</v>
      </c>
    </row>
    <row r="28" spans="1:6" x14ac:dyDescent="0.25">
      <c r="A28">
        <v>15.0187015533447</v>
      </c>
      <c r="B28" t="s">
        <v>37</v>
      </c>
      <c r="C28">
        <v>0.85794014635951998</v>
      </c>
      <c r="D28">
        <v>0.92353905806985503</v>
      </c>
      <c r="E28">
        <v>0.98079427083333304</v>
      </c>
      <c r="F28">
        <v>0.99108734764004103</v>
      </c>
    </row>
    <row r="29" spans="1:6" x14ac:dyDescent="0.25">
      <c r="A29">
        <v>15.288591384887599</v>
      </c>
      <c r="B29" t="s">
        <v>38</v>
      </c>
      <c r="C29">
        <v>0.87538100002326702</v>
      </c>
      <c r="D29">
        <v>0.93355003597925601</v>
      </c>
      <c r="E29">
        <v>0.99907058261192805</v>
      </c>
      <c r="F29">
        <v>0.989065614532601</v>
      </c>
    </row>
    <row r="30" spans="1:6" x14ac:dyDescent="0.25">
      <c r="A30">
        <v>15.091657638549799</v>
      </c>
      <c r="B30" t="s">
        <v>39</v>
      </c>
      <c r="C30">
        <v>0.82907106699099298</v>
      </c>
      <c r="D30">
        <v>0.90654877435123205</v>
      </c>
      <c r="E30">
        <v>0.93873753163614704</v>
      </c>
      <c r="F30">
        <v>0.99652151103837805</v>
      </c>
    </row>
    <row r="31" spans="1:6" x14ac:dyDescent="0.25">
      <c r="A31">
        <v>15.5656337738037</v>
      </c>
      <c r="B31" t="s">
        <v>40</v>
      </c>
      <c r="C31">
        <v>0.882568094644677</v>
      </c>
      <c r="D31">
        <v>0.93762143016798105</v>
      </c>
      <c r="E31">
        <v>0.99241128298453096</v>
      </c>
      <c r="F31">
        <v>0.99311712857755297</v>
      </c>
    </row>
    <row r="32" spans="1:6" x14ac:dyDescent="0.25">
      <c r="A32">
        <v>15.6481266021728</v>
      </c>
      <c r="B32" t="s">
        <v>41</v>
      </c>
      <c r="C32">
        <v>0.88331425413492204</v>
      </c>
      <c r="D32">
        <v>0.93804233913225699</v>
      </c>
      <c r="E32">
        <v>0.99061490105803696</v>
      </c>
      <c r="F32">
        <v>0.99453058507192504</v>
      </c>
    </row>
    <row r="33" spans="1:6" x14ac:dyDescent="0.25">
      <c r="A33">
        <v>15.569210052490201</v>
      </c>
      <c r="B33" t="s">
        <v>42</v>
      </c>
      <c r="C33">
        <v>0.90583268028211805</v>
      </c>
      <c r="D33">
        <v>0.95058993337025599</v>
      </c>
      <c r="E33">
        <v>0.98925839242672997</v>
      </c>
      <c r="F33">
        <v>0.994680840332404</v>
      </c>
    </row>
    <row r="34" spans="1:6" x14ac:dyDescent="0.25">
      <c r="A34">
        <v>15.273332595825099</v>
      </c>
      <c r="B34" t="s">
        <v>43</v>
      </c>
      <c r="C34">
        <v>0.87381175525505395</v>
      </c>
      <c r="D34">
        <v>0.93265692544031997</v>
      </c>
      <c r="E34">
        <v>0.98048862932151504</v>
      </c>
      <c r="F34">
        <v>0.99346846507422204</v>
      </c>
    </row>
    <row r="35" spans="1:6" x14ac:dyDescent="0.25">
      <c r="A35">
        <v>15.969991683959901</v>
      </c>
      <c r="B35" t="s">
        <v>44</v>
      </c>
      <c r="C35">
        <v>0.84603001634553399</v>
      </c>
      <c r="D35">
        <v>0.91659399777297701</v>
      </c>
      <c r="E35">
        <v>0.94989294552734704</v>
      </c>
      <c r="F35">
        <v>0.99563999277117698</v>
      </c>
    </row>
    <row r="36" spans="1:6" x14ac:dyDescent="0.25">
      <c r="A36">
        <v>14.932394027709901</v>
      </c>
      <c r="B36" t="s">
        <v>45</v>
      </c>
      <c r="C36">
        <v>0.873957980618842</v>
      </c>
      <c r="D36">
        <v>0.932740210461104</v>
      </c>
      <c r="E36">
        <v>0.98124479524964703</v>
      </c>
      <c r="F36">
        <v>0.99317352200358699</v>
      </c>
    </row>
    <row r="37" spans="1:6" x14ac:dyDescent="0.25">
      <c r="A37">
        <v>15.3319835662841</v>
      </c>
      <c r="B37" t="s">
        <v>46</v>
      </c>
      <c r="C37">
        <v>0.885620569251931</v>
      </c>
      <c r="D37">
        <v>0.93934122664272401</v>
      </c>
      <c r="E37">
        <v>0.98849372384937195</v>
      </c>
      <c r="F37">
        <v>0.99304056184954204</v>
      </c>
    </row>
    <row r="38" spans="1:6" x14ac:dyDescent="0.25">
      <c r="A38">
        <v>15.553951263427701</v>
      </c>
      <c r="B38" t="s">
        <v>47</v>
      </c>
      <c r="C38">
        <v>0.85624240157112097</v>
      </c>
      <c r="D38">
        <v>0.92255451211156303</v>
      </c>
      <c r="E38">
        <v>0.93078909379257002</v>
      </c>
      <c r="F38">
        <v>0.99571539924734298</v>
      </c>
    </row>
    <row r="39" spans="1:6" x14ac:dyDescent="0.25">
      <c r="A39">
        <v>15.4321193695068</v>
      </c>
      <c r="B39" t="s">
        <v>48</v>
      </c>
      <c r="C39">
        <v>0.86135915446145594</v>
      </c>
      <c r="D39">
        <v>0.92551633831319502</v>
      </c>
      <c r="E39">
        <v>0.959638598829889</v>
      </c>
      <c r="F39">
        <v>0.99541498729747102</v>
      </c>
    </row>
    <row r="40" spans="1:6" x14ac:dyDescent="0.25">
      <c r="A40">
        <v>14.9705410003662</v>
      </c>
      <c r="B40" t="s">
        <v>49</v>
      </c>
      <c r="C40">
        <v>0.88132800653213506</v>
      </c>
      <c r="D40">
        <v>0.93692115725921998</v>
      </c>
      <c r="E40">
        <v>0.99556939091478003</v>
      </c>
      <c r="F40">
        <v>0.99203330019780001</v>
      </c>
    </row>
    <row r="41" spans="1:6" x14ac:dyDescent="0.25">
      <c r="A41">
        <v>16.043663024902301</v>
      </c>
      <c r="B41" t="s">
        <v>50</v>
      </c>
      <c r="C41">
        <v>0.83407946278679301</v>
      </c>
      <c r="D41">
        <v>0.90953470633104505</v>
      </c>
      <c r="E41">
        <v>0.96312749888938198</v>
      </c>
      <c r="F41">
        <v>0.99625811303800005</v>
      </c>
    </row>
    <row r="42" spans="1:6" x14ac:dyDescent="0.25">
      <c r="A42">
        <v>14.9803161621093</v>
      </c>
      <c r="B42" t="s">
        <v>51</v>
      </c>
      <c r="C42">
        <v>0.55503275759380499</v>
      </c>
      <c r="D42">
        <v>0.71385346049255005</v>
      </c>
      <c r="E42">
        <v>0.99615179048637004</v>
      </c>
      <c r="F42">
        <v>0.97814330271795202</v>
      </c>
    </row>
    <row r="43" spans="1:6" x14ac:dyDescent="0.25">
      <c r="A43">
        <v>17.328739166259702</v>
      </c>
      <c r="B43" t="s">
        <v>52</v>
      </c>
      <c r="C43">
        <v>0.906348357978502</v>
      </c>
      <c r="D43">
        <v>0.95087380455437498</v>
      </c>
      <c r="E43">
        <v>0.98802356444617001</v>
      </c>
      <c r="F43">
        <v>0.99435745063782699</v>
      </c>
    </row>
    <row r="44" spans="1:6" x14ac:dyDescent="0.25">
      <c r="A44">
        <v>15.125036239624</v>
      </c>
      <c r="B44" t="s">
        <v>53</v>
      </c>
      <c r="C44">
        <v>0.86179182909446805</v>
      </c>
      <c r="D44">
        <v>0.925766044975741</v>
      </c>
      <c r="E44">
        <v>0.97218078614463599</v>
      </c>
      <c r="F44">
        <v>0.99336781827099796</v>
      </c>
    </row>
    <row r="45" spans="1:6" x14ac:dyDescent="0.25">
      <c r="A45">
        <v>15.4330730438232</v>
      </c>
      <c r="B45" t="s">
        <v>54</v>
      </c>
      <c r="C45">
        <v>0.87086192527971296</v>
      </c>
      <c r="D45">
        <v>0.93097402166598697</v>
      </c>
      <c r="E45">
        <v>0.98733515599871302</v>
      </c>
      <c r="F45">
        <v>0.99333922020920395</v>
      </c>
    </row>
    <row r="46" spans="1:6" x14ac:dyDescent="0.25">
      <c r="A46">
        <v>15.680074691772401</v>
      </c>
      <c r="B46" t="s">
        <v>55</v>
      </c>
      <c r="C46">
        <v>0.91382084518645301</v>
      </c>
      <c r="D46">
        <v>0.954970103377074</v>
      </c>
      <c r="E46">
        <v>0.99236769269479097</v>
      </c>
      <c r="F46">
        <v>0.99370648838632603</v>
      </c>
    </row>
    <row r="47" spans="1:6" x14ac:dyDescent="0.25">
      <c r="A47">
        <v>15.3868198394775</v>
      </c>
      <c r="B47" t="s">
        <v>56</v>
      </c>
      <c r="C47">
        <v>0.872479855020873</v>
      </c>
      <c r="D47">
        <v>0.93189772128271797</v>
      </c>
      <c r="E47">
        <v>0.99285569610930002</v>
      </c>
      <c r="F47">
        <v>0.99246379493637005</v>
      </c>
    </row>
    <row r="48" spans="1:6" x14ac:dyDescent="0.25">
      <c r="A48">
        <v>14.9040222167968</v>
      </c>
      <c r="B48" t="s">
        <v>57</v>
      </c>
      <c r="C48">
        <v>0.83014239240573795</v>
      </c>
      <c r="D48">
        <v>0.90718885683480399</v>
      </c>
      <c r="E48">
        <v>0.90209790209790197</v>
      </c>
      <c r="F48">
        <v>0.99549864066371696</v>
      </c>
    </row>
    <row r="49" spans="1:6" x14ac:dyDescent="0.25">
      <c r="A49">
        <v>15.567302703857401</v>
      </c>
      <c r="B49" t="s">
        <v>58</v>
      </c>
      <c r="C49">
        <v>0.85310841148947703</v>
      </c>
      <c r="D49">
        <v>0.92073232866475696</v>
      </c>
      <c r="E49">
        <v>0.97879203678293702</v>
      </c>
      <c r="F49">
        <v>0.993922753429622</v>
      </c>
    </row>
    <row r="50" spans="1:6" x14ac:dyDescent="0.25">
      <c r="A50">
        <v>14.942884445190399</v>
      </c>
      <c r="B50" t="s">
        <v>59</v>
      </c>
      <c r="C50">
        <v>0.83493407377061601</v>
      </c>
      <c r="D50">
        <v>0.91004258485963496</v>
      </c>
      <c r="E50">
        <v>0.99013962861666904</v>
      </c>
      <c r="F50">
        <v>0.98959617321248705</v>
      </c>
    </row>
    <row r="51" spans="1:6" x14ac:dyDescent="0.25">
      <c r="A51">
        <v>15.5563354492187</v>
      </c>
      <c r="B51" t="s">
        <v>60</v>
      </c>
      <c r="C51">
        <v>0.88242113107559805</v>
      </c>
      <c r="D51">
        <v>0.93753848860737199</v>
      </c>
      <c r="E51">
        <v>0.98923234010953298</v>
      </c>
      <c r="F51">
        <v>0.99746063892972903</v>
      </c>
    </row>
    <row r="52" spans="1:6" x14ac:dyDescent="0.25">
      <c r="A52">
        <v>14.9211883544921</v>
      </c>
      <c r="B52" t="s">
        <v>61</v>
      </c>
      <c r="C52">
        <v>0.89601700744075496</v>
      </c>
      <c r="D52">
        <v>0.94515714144378804</v>
      </c>
      <c r="E52">
        <v>0.99857843683799696</v>
      </c>
      <c r="F52">
        <v>0.99159213942327296</v>
      </c>
    </row>
    <row r="53" spans="1:6" x14ac:dyDescent="0.25">
      <c r="A53">
        <v>15.613317489624</v>
      </c>
      <c r="B53" t="s">
        <v>62</v>
      </c>
      <c r="C53">
        <v>0.81460535346602603</v>
      </c>
      <c r="D53">
        <v>0.89783197421970695</v>
      </c>
      <c r="E53">
        <v>0.96601119937491797</v>
      </c>
      <c r="F53">
        <v>0.99439117363881002</v>
      </c>
    </row>
    <row r="54" spans="1:6" x14ac:dyDescent="0.25">
      <c r="A54">
        <v>14.908790588378899</v>
      </c>
      <c r="B54" t="s">
        <v>63</v>
      </c>
      <c r="C54">
        <v>0.76535594962734499</v>
      </c>
      <c r="D54">
        <v>0.86708400058232604</v>
      </c>
      <c r="E54">
        <v>0.96431875655338295</v>
      </c>
      <c r="F54">
        <v>0.98286206293635203</v>
      </c>
    </row>
    <row r="55" spans="1:6" x14ac:dyDescent="0.25">
      <c r="A55">
        <v>15.8734321594238</v>
      </c>
      <c r="B55" t="s">
        <v>64</v>
      </c>
      <c r="C55">
        <v>0.893533088072337</v>
      </c>
      <c r="D55">
        <v>0.94377340823970002</v>
      </c>
      <c r="E55">
        <v>0.99149124532756205</v>
      </c>
      <c r="F55">
        <v>0.997832226592131</v>
      </c>
    </row>
    <row r="56" spans="1:6" x14ac:dyDescent="0.25">
      <c r="A56">
        <v>14.8756504058837</v>
      </c>
      <c r="B56" t="s">
        <v>65</v>
      </c>
      <c r="C56">
        <v>0.84616121737130501</v>
      </c>
      <c r="D56">
        <v>0.91667099212075198</v>
      </c>
      <c r="E56">
        <v>0.97013843111403997</v>
      </c>
      <c r="F56">
        <v>0.99335238159801997</v>
      </c>
    </row>
    <row r="57" spans="1:6" x14ac:dyDescent="0.25">
      <c r="A57">
        <v>15.5856609344482</v>
      </c>
      <c r="B57" t="s">
        <v>66</v>
      </c>
      <c r="C57">
        <v>0.88748313705472703</v>
      </c>
      <c r="D57">
        <v>0.94038788440735499</v>
      </c>
      <c r="E57">
        <v>0.97211054607417602</v>
      </c>
      <c r="F57">
        <v>0.99264169589237505</v>
      </c>
    </row>
    <row r="58" spans="1:6" x14ac:dyDescent="0.25">
      <c r="A58">
        <v>14.844417572021401</v>
      </c>
      <c r="B58" t="s">
        <v>67</v>
      </c>
      <c r="C58">
        <v>0.89156534373327201</v>
      </c>
      <c r="D58">
        <v>0.94267464424320802</v>
      </c>
      <c r="E58">
        <v>0.97292109984562103</v>
      </c>
      <c r="F58">
        <v>0.99786552724014699</v>
      </c>
    </row>
    <row r="59" spans="1:6" x14ac:dyDescent="0.25">
      <c r="A59">
        <v>16.2222385406494</v>
      </c>
      <c r="B59" t="s">
        <v>68</v>
      </c>
      <c r="C59">
        <v>0.88431082683216</v>
      </c>
      <c r="D59">
        <v>0.93860398639096398</v>
      </c>
      <c r="E59">
        <v>0.98828783144946197</v>
      </c>
      <c r="F59">
        <v>0.99272059247976796</v>
      </c>
    </row>
    <row r="60" spans="1:6" x14ac:dyDescent="0.25">
      <c r="A60">
        <v>14.8797035217285</v>
      </c>
      <c r="B60" t="s">
        <v>69</v>
      </c>
      <c r="C60">
        <v>0.83819714076115104</v>
      </c>
      <c r="D60">
        <v>0.91197741762787699</v>
      </c>
      <c r="E60">
        <v>0.98252899599404298</v>
      </c>
      <c r="F60">
        <v>0.99179735777008005</v>
      </c>
    </row>
    <row r="61" spans="1:6" x14ac:dyDescent="0.25">
      <c r="A61">
        <v>15.2661800384521</v>
      </c>
      <c r="B61" t="s">
        <v>70</v>
      </c>
      <c r="C61">
        <v>0.83245943456387705</v>
      </c>
      <c r="D61">
        <v>0.90857065522108105</v>
      </c>
      <c r="E61">
        <v>0.95937448962926597</v>
      </c>
      <c r="F61">
        <v>0.99635381472613505</v>
      </c>
    </row>
    <row r="62" spans="1:6" x14ac:dyDescent="0.25">
      <c r="A62">
        <v>15.473365783691399</v>
      </c>
      <c r="B62" t="s">
        <v>71</v>
      </c>
      <c r="C62">
        <v>0.85738945262716304</v>
      </c>
      <c r="D62">
        <v>0.92321990029009604</v>
      </c>
      <c r="E62">
        <v>0.98701853433866904</v>
      </c>
      <c r="F62">
        <v>0.99181586963296497</v>
      </c>
    </row>
    <row r="63" spans="1:6" x14ac:dyDescent="0.25">
      <c r="A63">
        <v>15.274763107299799</v>
      </c>
      <c r="B63" t="s">
        <v>72</v>
      </c>
      <c r="C63">
        <v>0.896633160925148</v>
      </c>
      <c r="D63">
        <v>0.94549982505608499</v>
      </c>
      <c r="E63">
        <v>0.95317038758403105</v>
      </c>
      <c r="F63">
        <v>0.99696215438133495</v>
      </c>
    </row>
    <row r="64" spans="1:6" x14ac:dyDescent="0.25">
      <c r="A64">
        <v>14.885902404785099</v>
      </c>
      <c r="B64" t="s">
        <v>73</v>
      </c>
      <c r="C64">
        <v>0.86381347022079202</v>
      </c>
      <c r="D64">
        <v>0.92693124502256397</v>
      </c>
      <c r="E64">
        <v>0.996984135481913</v>
      </c>
      <c r="F64">
        <v>0.99129605990293501</v>
      </c>
    </row>
    <row r="65" spans="1:6" x14ac:dyDescent="0.25">
      <c r="A65">
        <v>15.625</v>
      </c>
      <c r="B65" t="s">
        <v>74</v>
      </c>
      <c r="C65">
        <v>0.78958048924473301</v>
      </c>
      <c r="D65">
        <v>0.88241964414572205</v>
      </c>
      <c r="E65">
        <v>0.96270637455576002</v>
      </c>
      <c r="F65">
        <v>0.99525111877367001</v>
      </c>
    </row>
    <row r="66" spans="1:6" x14ac:dyDescent="0.25">
      <c r="A66">
        <v>14.867067337036101</v>
      </c>
      <c r="B66" t="s">
        <v>75</v>
      </c>
      <c r="C66">
        <v>0.897139677534743</v>
      </c>
      <c r="D66">
        <v>0.94578136566153104</v>
      </c>
      <c r="E66">
        <v>0.99329656467274896</v>
      </c>
      <c r="F66">
        <v>0.99254693482877399</v>
      </c>
    </row>
    <row r="67" spans="1:6" x14ac:dyDescent="0.25">
      <c r="A67">
        <v>15.2661800384521</v>
      </c>
      <c r="B67" t="s">
        <v>76</v>
      </c>
      <c r="C67">
        <v>0.83688076528869104</v>
      </c>
      <c r="D67">
        <v>0.91119770112804599</v>
      </c>
      <c r="E67">
        <v>0.96181482644887695</v>
      </c>
      <c r="F67">
        <v>0.99237801210857601</v>
      </c>
    </row>
    <row r="68" spans="1:6" x14ac:dyDescent="0.25">
      <c r="A68">
        <v>14.956474304199199</v>
      </c>
      <c r="B68" t="s">
        <v>77</v>
      </c>
      <c r="C68">
        <v>0.821876458689902</v>
      </c>
      <c r="D68">
        <v>0.90223072455846598</v>
      </c>
      <c r="E68">
        <v>0.97905545670225302</v>
      </c>
      <c r="F68">
        <v>0.99495007830853499</v>
      </c>
    </row>
    <row r="69" spans="1:6" x14ac:dyDescent="0.25">
      <c r="A69">
        <v>15.1643753051757</v>
      </c>
      <c r="B69" t="s">
        <v>78</v>
      </c>
      <c r="C69">
        <v>0.89565425463380499</v>
      </c>
      <c r="D69">
        <v>0.94495528648690597</v>
      </c>
      <c r="E69">
        <v>0.99960968795579197</v>
      </c>
      <c r="F69">
        <v>0.99434941799005205</v>
      </c>
    </row>
    <row r="70" spans="1:6" x14ac:dyDescent="0.25">
      <c r="A70">
        <v>14.916658401489199</v>
      </c>
      <c r="B70" t="s">
        <v>79</v>
      </c>
      <c r="C70">
        <v>0.85536904312837903</v>
      </c>
      <c r="D70">
        <v>0.92204733747861001</v>
      </c>
      <c r="E70">
        <v>0.98719344071977899</v>
      </c>
      <c r="F70">
        <v>0.99144796708031002</v>
      </c>
    </row>
    <row r="71" spans="1:6" x14ac:dyDescent="0.25">
      <c r="A71">
        <v>15.283107757568301</v>
      </c>
      <c r="B71" t="s">
        <v>80</v>
      </c>
      <c r="C71">
        <v>0.90213224017930804</v>
      </c>
      <c r="D71">
        <v>0.94854839334857899</v>
      </c>
      <c r="E71">
        <v>0.99599511599511603</v>
      </c>
      <c r="F71">
        <v>0.993525813173465</v>
      </c>
    </row>
    <row r="72" spans="1:6" x14ac:dyDescent="0.25">
      <c r="A72">
        <v>14.8758888244628</v>
      </c>
      <c r="B72" t="s">
        <v>81</v>
      </c>
      <c r="C72">
        <v>0.81191085129703999</v>
      </c>
      <c r="D72">
        <v>0.89619293434424896</v>
      </c>
      <c r="E72">
        <v>0.96370180840452702</v>
      </c>
      <c r="F72">
        <v>0.99579626666354604</v>
      </c>
    </row>
    <row r="73" spans="1:6" x14ac:dyDescent="0.25">
      <c r="A73">
        <v>15.1033401489257</v>
      </c>
      <c r="B73" t="s">
        <v>82</v>
      </c>
      <c r="C73">
        <v>0.86335344478095999</v>
      </c>
      <c r="D73">
        <v>0.92666632538138605</v>
      </c>
      <c r="E73">
        <v>0.98081872612500298</v>
      </c>
      <c r="F73">
        <v>0.99503590615470505</v>
      </c>
    </row>
    <row r="74" spans="1:6" x14ac:dyDescent="0.25">
      <c r="A74">
        <v>14.8282051086425</v>
      </c>
      <c r="B74" t="s">
        <v>83</v>
      </c>
      <c r="C74">
        <v>0.89030225427098397</v>
      </c>
      <c r="D74">
        <v>0.94196814531582795</v>
      </c>
      <c r="E74">
        <v>0.98411427294398002</v>
      </c>
      <c r="F74">
        <v>0.99431288195561196</v>
      </c>
    </row>
    <row r="75" spans="1:6" x14ac:dyDescent="0.25">
      <c r="A75">
        <v>15.3467655181884</v>
      </c>
      <c r="B75" t="s">
        <v>84</v>
      </c>
      <c r="C75">
        <v>0.87759774044893701</v>
      </c>
      <c r="D75">
        <v>0.93480911437303005</v>
      </c>
      <c r="E75">
        <v>0.98738919551764504</v>
      </c>
      <c r="F75">
        <v>0.99243516797365605</v>
      </c>
    </row>
    <row r="76" spans="1:6" x14ac:dyDescent="0.25">
      <c r="A76">
        <v>15.624761581420801</v>
      </c>
      <c r="B76" t="s">
        <v>85</v>
      </c>
      <c r="C76">
        <v>0.85965433479544895</v>
      </c>
      <c r="D76">
        <v>0.92453131607386096</v>
      </c>
      <c r="E76">
        <v>0.98916168989161601</v>
      </c>
      <c r="F76">
        <v>0.99249933673392698</v>
      </c>
    </row>
    <row r="77" spans="1:6" x14ac:dyDescent="0.25">
      <c r="A77">
        <v>15.7358646392822</v>
      </c>
      <c r="B77" t="s">
        <v>86</v>
      </c>
      <c r="C77">
        <v>0.80448807854137405</v>
      </c>
      <c r="D77">
        <v>0.89165241722369004</v>
      </c>
      <c r="E77">
        <v>0.95667764666638799</v>
      </c>
      <c r="F77">
        <v>0.99557190025697995</v>
      </c>
    </row>
    <row r="81" spans="1:7" x14ac:dyDescent="0.25">
      <c r="A81" s="2">
        <f>AVERAGE(A4:A77)</f>
        <v>15.647308246509413</v>
      </c>
      <c r="B81" s="2"/>
      <c r="C81" s="2">
        <f>AVERAGE(C3:C77)</f>
        <v>0.85288841239157342</v>
      </c>
      <c r="D81" s="2">
        <f>SUBTOTAL(101,TimeDfBBoxAutoSam__4[Column4])</f>
        <v>0.91973330673689135</v>
      </c>
      <c r="E81" s="2">
        <f>SUBTOTAL(101,TimeDfBBoxAutoSam__4[Column5])</f>
        <v>0.97477504294246142</v>
      </c>
      <c r="F81" s="2">
        <f>SUBTOTAL(101,TimeDfBBoxAutoSam__4[Column6])</f>
        <v>0.99374955822570299</v>
      </c>
      <c r="G81" s="2"/>
    </row>
    <row r="82" spans="1:7" x14ac:dyDescent="0.25">
      <c r="A82" s="2">
        <f>STDEVA(A4:A77)</f>
        <v>2.022271524552822</v>
      </c>
      <c r="B82" s="2"/>
      <c r="C82" s="2">
        <f>STDEVA(C3:C77)</f>
        <v>5.053679463624608E-2</v>
      </c>
      <c r="D82" s="2">
        <f>STDEVA(D3:D77)</f>
        <v>3.2462870509986745E-2</v>
      </c>
      <c r="E82" s="2">
        <f>STDEVA(E3:E77)</f>
        <v>2.4549876726096986E-2</v>
      </c>
      <c r="F82" s="2">
        <f>STDEVA(F3:F77)</f>
        <v>2.9164589455158048E-3</v>
      </c>
      <c r="G8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9F32-5770-477D-BA59-501729BB70A0}">
  <dimension ref="A1:G80"/>
  <sheetViews>
    <sheetView topLeftCell="A55" workbookViewId="0">
      <selection activeCell="G80" sqref="A78:G80"/>
    </sheetView>
  </sheetViews>
  <sheetFormatPr defaultRowHeight="15" x14ac:dyDescent="0.25"/>
  <cols>
    <col min="1" max="1" width="18.85546875" bestFit="1" customWidth="1"/>
    <col min="2" max="2" width="11.42578125" bestFit="1" customWidth="1"/>
    <col min="3" max="4" width="19.85546875" bestFit="1" customWidth="1"/>
    <col min="5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453.48596572875903</v>
      </c>
      <c r="B3" t="s">
        <v>12</v>
      </c>
      <c r="C3">
        <v>0.85799904933143201</v>
      </c>
      <c r="D3">
        <v>0.92357318443211001</v>
      </c>
      <c r="E3">
        <v>0.977997644287396</v>
      </c>
      <c r="F3">
        <v>0.99409914861558002</v>
      </c>
    </row>
    <row r="4" spans="1:6" x14ac:dyDescent="0.25">
      <c r="A4">
        <v>31.4526557922363</v>
      </c>
      <c r="B4" t="s">
        <v>13</v>
      </c>
      <c r="C4">
        <v>0.85747136505989796</v>
      </c>
      <c r="D4">
        <v>0.92326738510151596</v>
      </c>
      <c r="E4">
        <v>0.97740775874981201</v>
      </c>
      <c r="F4">
        <v>0.99444432325451804</v>
      </c>
    </row>
    <row r="5" spans="1:6" x14ac:dyDescent="0.25">
      <c r="A5">
        <v>15.5525207519531</v>
      </c>
      <c r="B5" t="s">
        <v>14</v>
      </c>
      <c r="C5">
        <v>0.91227333966473001</v>
      </c>
      <c r="D5">
        <v>0.95412441385045299</v>
      </c>
      <c r="E5">
        <v>0.99850122077984804</v>
      </c>
      <c r="F5">
        <v>0.99190343762230204</v>
      </c>
    </row>
    <row r="6" spans="1:6" x14ac:dyDescent="0.25">
      <c r="A6">
        <v>14.4903659820556</v>
      </c>
      <c r="B6" t="s">
        <v>15</v>
      </c>
      <c r="C6">
        <v>0.84593358602504898</v>
      </c>
      <c r="D6">
        <v>0.91653740137709305</v>
      </c>
      <c r="E6">
        <v>0.96938293753835902</v>
      </c>
      <c r="F6">
        <v>0.99385617771169898</v>
      </c>
    </row>
    <row r="7" spans="1:6" x14ac:dyDescent="0.25">
      <c r="A7">
        <v>15.248775482177701</v>
      </c>
      <c r="B7" t="s">
        <v>16</v>
      </c>
      <c r="C7">
        <v>0.86825881919013603</v>
      </c>
      <c r="D7">
        <v>0.92948451282195899</v>
      </c>
      <c r="E7">
        <v>0.99002658575784397</v>
      </c>
      <c r="F7">
        <v>0.99049184367804799</v>
      </c>
    </row>
    <row r="8" spans="1:6" x14ac:dyDescent="0.25">
      <c r="A8">
        <v>15.4075622558593</v>
      </c>
      <c r="B8" t="s">
        <v>17</v>
      </c>
      <c r="C8">
        <v>0.92081949058693202</v>
      </c>
      <c r="D8">
        <v>0.95877774574805397</v>
      </c>
      <c r="E8">
        <v>0.98251573952698301</v>
      </c>
      <c r="F8">
        <v>0.99635061086289101</v>
      </c>
    </row>
    <row r="9" spans="1:6" x14ac:dyDescent="0.25">
      <c r="A9">
        <v>14.8684978485107</v>
      </c>
      <c r="B9" t="s">
        <v>18</v>
      </c>
      <c r="C9">
        <v>0.81960140166447604</v>
      </c>
      <c r="D9">
        <v>0.90085817796661105</v>
      </c>
      <c r="E9">
        <v>0.94342904681473205</v>
      </c>
      <c r="F9">
        <v>0.99405992017119404</v>
      </c>
    </row>
    <row r="10" spans="1:6" x14ac:dyDescent="0.25">
      <c r="A10">
        <v>14.792919158935501</v>
      </c>
      <c r="B10" t="s">
        <v>19</v>
      </c>
      <c r="C10">
        <v>0.324771485472093</v>
      </c>
      <c r="D10">
        <v>0.490305670122961</v>
      </c>
      <c r="E10">
        <v>0.98054330732940698</v>
      </c>
      <c r="F10">
        <v>0.93555644125592297</v>
      </c>
    </row>
    <row r="11" spans="1:6" x14ac:dyDescent="0.25">
      <c r="A11">
        <v>18.766164779663001</v>
      </c>
      <c r="B11" t="s">
        <v>20</v>
      </c>
      <c r="C11">
        <v>0.87755620664912704</v>
      </c>
      <c r="D11">
        <v>0.93478555107045302</v>
      </c>
      <c r="E11">
        <v>0.99346770235738102</v>
      </c>
      <c r="F11">
        <v>0.99211205829295002</v>
      </c>
    </row>
    <row r="12" spans="1:6" x14ac:dyDescent="0.25">
      <c r="A12">
        <v>14.864921569824199</v>
      </c>
      <c r="B12" t="s">
        <v>21</v>
      </c>
      <c r="C12">
        <v>0.87631209467139104</v>
      </c>
      <c r="D12">
        <v>0.93407924743443504</v>
      </c>
      <c r="E12">
        <v>0.99597264437689903</v>
      </c>
      <c r="F12">
        <v>0.99648424660750301</v>
      </c>
    </row>
    <row r="13" spans="1:6" x14ac:dyDescent="0.25">
      <c r="A13">
        <v>15.3017044067382</v>
      </c>
      <c r="B13" t="s">
        <v>22</v>
      </c>
      <c r="C13">
        <v>0.85798732486429596</v>
      </c>
      <c r="D13">
        <v>0.92356639185034495</v>
      </c>
      <c r="E13">
        <v>0.99173825205722399</v>
      </c>
      <c r="F13">
        <v>0.99039073882269002</v>
      </c>
    </row>
    <row r="14" spans="1:6" x14ac:dyDescent="0.25">
      <c r="A14">
        <v>14.700174331665</v>
      </c>
      <c r="B14" t="s">
        <v>23</v>
      </c>
      <c r="C14">
        <v>0.84060342476567695</v>
      </c>
      <c r="D14">
        <v>0.91339982687763599</v>
      </c>
      <c r="E14">
        <v>0.981941952683556</v>
      </c>
      <c r="F14">
        <v>0.989859798672309</v>
      </c>
    </row>
    <row r="15" spans="1:6" x14ac:dyDescent="0.25">
      <c r="A15">
        <v>15.091896057128899</v>
      </c>
      <c r="B15" t="s">
        <v>24</v>
      </c>
      <c r="C15">
        <v>0.83132924632988303</v>
      </c>
      <c r="D15">
        <v>0.90789708950034698</v>
      </c>
      <c r="E15">
        <v>0.97200893331915295</v>
      </c>
      <c r="F15">
        <v>0.99205639995966299</v>
      </c>
    </row>
    <row r="16" spans="1:6" x14ac:dyDescent="0.25">
      <c r="A16">
        <v>14.958858489990201</v>
      </c>
      <c r="B16" t="s">
        <v>25</v>
      </c>
      <c r="C16">
        <v>0.89470148169668795</v>
      </c>
      <c r="D16">
        <v>0.94442474483683903</v>
      </c>
      <c r="E16">
        <v>0.98376791917901196</v>
      </c>
      <c r="F16">
        <v>0.99500645975422797</v>
      </c>
    </row>
    <row r="17" spans="1:6" x14ac:dyDescent="0.25">
      <c r="A17">
        <v>14.975786209106399</v>
      </c>
      <c r="B17" t="s">
        <v>26</v>
      </c>
      <c r="C17">
        <v>0.85629006905564997</v>
      </c>
      <c r="D17">
        <v>0.92258217972503598</v>
      </c>
      <c r="E17">
        <v>0.98878329322510905</v>
      </c>
      <c r="F17">
        <v>0.99240952356179102</v>
      </c>
    </row>
    <row r="18" spans="1:6" x14ac:dyDescent="0.25">
      <c r="A18">
        <v>14.753103256225501</v>
      </c>
      <c r="B18" t="s">
        <v>27</v>
      </c>
      <c r="C18">
        <v>0.88531430139994505</v>
      </c>
      <c r="D18">
        <v>0.93916892344427905</v>
      </c>
      <c r="E18">
        <v>0.994020834617518</v>
      </c>
      <c r="F18">
        <v>0.99607924182929297</v>
      </c>
    </row>
    <row r="19" spans="1:6" x14ac:dyDescent="0.25">
      <c r="A19">
        <v>15.1348114013671</v>
      </c>
      <c r="B19" t="s">
        <v>28</v>
      </c>
      <c r="C19">
        <v>0.87245792261153099</v>
      </c>
      <c r="D19">
        <v>0.93188521042406902</v>
      </c>
      <c r="E19">
        <v>0.99047822830854804</v>
      </c>
      <c r="F19">
        <v>0.99368961741434003</v>
      </c>
    </row>
    <row r="20" spans="1:6" x14ac:dyDescent="0.25">
      <c r="A20">
        <v>14.737844467163001</v>
      </c>
      <c r="B20" t="s">
        <v>29</v>
      </c>
      <c r="C20">
        <v>0.91233070625143398</v>
      </c>
      <c r="D20">
        <v>0.95415578829437098</v>
      </c>
      <c r="E20">
        <v>0.99596959445349298</v>
      </c>
      <c r="F20">
        <v>0.99561302701136201</v>
      </c>
    </row>
    <row r="21" spans="1:6" x14ac:dyDescent="0.25">
      <c r="A21">
        <v>15.8579349517822</v>
      </c>
      <c r="B21" t="s">
        <v>30</v>
      </c>
      <c r="C21">
        <v>0.31385298663976702</v>
      </c>
      <c r="D21">
        <v>0.47775967300947197</v>
      </c>
      <c r="E21">
        <v>0.84123711340206098</v>
      </c>
      <c r="F21">
        <v>0.91336748344809104</v>
      </c>
    </row>
    <row r="22" spans="1:6" x14ac:dyDescent="0.25">
      <c r="A22">
        <v>14.6794319152832</v>
      </c>
      <c r="B22" t="s">
        <v>31</v>
      </c>
      <c r="C22">
        <v>0.50629274766300603</v>
      </c>
      <c r="D22">
        <v>0.67223685229649099</v>
      </c>
      <c r="E22">
        <v>0.99058407281650296</v>
      </c>
      <c r="F22">
        <v>0.96692349207570705</v>
      </c>
    </row>
    <row r="23" spans="1:6" x14ac:dyDescent="0.25">
      <c r="A23">
        <v>15.6402587890625</v>
      </c>
      <c r="B23" t="s">
        <v>32</v>
      </c>
      <c r="C23">
        <v>0.90110131903510005</v>
      </c>
      <c r="D23">
        <v>0.94797821663965998</v>
      </c>
      <c r="E23">
        <v>0.99528012279355305</v>
      </c>
      <c r="F23">
        <v>0.99157972621486401</v>
      </c>
    </row>
    <row r="24" spans="1:6" x14ac:dyDescent="0.25">
      <c r="A24">
        <v>14.6622657775878</v>
      </c>
      <c r="B24" t="s">
        <v>33</v>
      </c>
      <c r="C24">
        <v>0.31403955830602998</v>
      </c>
      <c r="D24">
        <v>0.47797580570689802</v>
      </c>
      <c r="E24">
        <v>0.99294631526134003</v>
      </c>
      <c r="F24">
        <v>0.92781067771237202</v>
      </c>
    </row>
    <row r="25" spans="1:6" x14ac:dyDescent="0.25">
      <c r="A25">
        <v>14.964580535888601</v>
      </c>
      <c r="B25" t="s">
        <v>34</v>
      </c>
      <c r="C25">
        <v>0.30008687405913997</v>
      </c>
      <c r="D25">
        <v>0.461641264205994</v>
      </c>
      <c r="E25">
        <v>0.98472352185929102</v>
      </c>
      <c r="F25">
        <v>0.895434275894329</v>
      </c>
    </row>
    <row r="26" spans="1:6" x14ac:dyDescent="0.25">
      <c r="A26">
        <v>15.2225494384765</v>
      </c>
      <c r="B26" t="s">
        <v>35</v>
      </c>
      <c r="C26">
        <v>0.90927553892128699</v>
      </c>
      <c r="D26">
        <v>0.95248225872627501</v>
      </c>
      <c r="E26">
        <v>0.97193363312141401</v>
      </c>
      <c r="F26">
        <v>0.99781370439354899</v>
      </c>
    </row>
    <row r="27" spans="1:6" x14ac:dyDescent="0.25">
      <c r="A27">
        <v>16.196250915527301</v>
      </c>
      <c r="B27" t="s">
        <v>36</v>
      </c>
      <c r="C27">
        <v>0.87867195451514402</v>
      </c>
      <c r="D27">
        <v>0.93541818453548498</v>
      </c>
      <c r="E27">
        <v>0.98925241030504096</v>
      </c>
      <c r="F27">
        <v>0.99361697863641796</v>
      </c>
    </row>
    <row r="28" spans="1:6" x14ac:dyDescent="0.25">
      <c r="A28">
        <v>14.766216278076101</v>
      </c>
      <c r="B28" t="s">
        <v>37</v>
      </c>
      <c r="C28">
        <v>0.818179765130984</v>
      </c>
      <c r="D28">
        <v>0.89999875790284301</v>
      </c>
      <c r="E28">
        <v>0.92005485435660395</v>
      </c>
      <c r="F28">
        <v>0.99514169157916299</v>
      </c>
    </row>
    <row r="29" spans="1:6" x14ac:dyDescent="0.25">
      <c r="A29">
        <v>15.2132511138916</v>
      </c>
      <c r="B29" t="s">
        <v>38</v>
      </c>
      <c r="C29">
        <v>0.89836079389827606</v>
      </c>
      <c r="D29">
        <v>0.94645948945615899</v>
      </c>
      <c r="E29">
        <v>0.98262352507374595</v>
      </c>
      <c r="F29">
        <v>0.99379250178954903</v>
      </c>
    </row>
    <row r="30" spans="1:6" x14ac:dyDescent="0.25">
      <c r="A30">
        <v>14.676809310913001</v>
      </c>
      <c r="B30" t="s">
        <v>39</v>
      </c>
      <c r="C30">
        <v>0.88043319660835595</v>
      </c>
      <c r="D30">
        <v>0.93641528792019701</v>
      </c>
      <c r="E30">
        <v>0.98892814218596303</v>
      </c>
      <c r="F30">
        <v>0.99318983718809795</v>
      </c>
    </row>
    <row r="31" spans="1:6" x14ac:dyDescent="0.25">
      <c r="A31">
        <v>15.2549743652343</v>
      </c>
      <c r="B31" t="s">
        <v>40</v>
      </c>
      <c r="C31">
        <v>0.87309787524875804</v>
      </c>
      <c r="D31">
        <v>0.93225013683046898</v>
      </c>
      <c r="E31">
        <v>0.98065069652976899</v>
      </c>
      <c r="F31">
        <v>0.994567279208591</v>
      </c>
    </row>
    <row r="32" spans="1:6" x14ac:dyDescent="0.25">
      <c r="A32">
        <v>14.7230625152587</v>
      </c>
      <c r="B32" t="s">
        <v>41</v>
      </c>
      <c r="C32">
        <v>0.79944704381114395</v>
      </c>
      <c r="D32">
        <v>0.88854745301973703</v>
      </c>
      <c r="E32">
        <v>0.98159028593811204</v>
      </c>
      <c r="F32">
        <v>0.99136378888645804</v>
      </c>
    </row>
    <row r="33" spans="1:6" x14ac:dyDescent="0.25">
      <c r="A33">
        <v>15.960216522216699</v>
      </c>
      <c r="B33" t="s">
        <v>42</v>
      </c>
      <c r="C33">
        <v>0.86628490844212702</v>
      </c>
      <c r="D33">
        <v>0.92835226231910595</v>
      </c>
      <c r="E33">
        <v>0.95548171191553499</v>
      </c>
      <c r="F33">
        <v>0.99565767921887904</v>
      </c>
    </row>
    <row r="34" spans="1:6" x14ac:dyDescent="0.25">
      <c r="A34">
        <v>14.6965980529785</v>
      </c>
      <c r="B34" t="s">
        <v>43</v>
      </c>
      <c r="C34">
        <v>0.85171944907448005</v>
      </c>
      <c r="D34">
        <v>0.91992277717899795</v>
      </c>
      <c r="E34">
        <v>0.990436113236419</v>
      </c>
      <c r="F34">
        <v>0.99367325628166503</v>
      </c>
    </row>
    <row r="35" spans="1:6" x14ac:dyDescent="0.25">
      <c r="A35">
        <v>15.618324279785099</v>
      </c>
      <c r="B35" t="s">
        <v>44</v>
      </c>
      <c r="C35">
        <v>0.90257495324277803</v>
      </c>
      <c r="D35">
        <v>0.94879305722427898</v>
      </c>
      <c r="E35">
        <v>0.98130879513617797</v>
      </c>
      <c r="F35">
        <v>0.99575253277860498</v>
      </c>
    </row>
    <row r="36" spans="1:6" x14ac:dyDescent="0.25">
      <c r="A36">
        <v>14.925956726074199</v>
      </c>
      <c r="B36" t="s">
        <v>45</v>
      </c>
      <c r="C36">
        <v>0.89634414513468896</v>
      </c>
      <c r="D36">
        <v>0.94533911203235299</v>
      </c>
      <c r="E36">
        <v>0.98747823453705796</v>
      </c>
      <c r="F36">
        <v>0.99316561004182002</v>
      </c>
    </row>
    <row r="37" spans="1:6" x14ac:dyDescent="0.25">
      <c r="A37">
        <v>15.006303787231399</v>
      </c>
      <c r="B37" t="s">
        <v>46</v>
      </c>
      <c r="C37">
        <v>0.901905413885561</v>
      </c>
      <c r="D37">
        <v>0.94842299443586198</v>
      </c>
      <c r="E37">
        <v>0.98964006259780901</v>
      </c>
      <c r="F37">
        <v>0.993687263627832</v>
      </c>
    </row>
    <row r="38" spans="1:6" x14ac:dyDescent="0.25">
      <c r="A38">
        <v>15.4409408569335</v>
      </c>
      <c r="B38" t="s">
        <v>47</v>
      </c>
      <c r="C38">
        <v>0.76560919730025301</v>
      </c>
      <c r="D38">
        <v>0.86724649879591298</v>
      </c>
      <c r="E38">
        <v>0.97346735250892202</v>
      </c>
      <c r="F38">
        <v>0.98976221013546095</v>
      </c>
    </row>
    <row r="39" spans="1:6" x14ac:dyDescent="0.25">
      <c r="A39">
        <v>15.0530338287353</v>
      </c>
      <c r="B39" t="s">
        <v>48</v>
      </c>
      <c r="C39">
        <v>0.87591371591371503</v>
      </c>
      <c r="D39">
        <v>0.93385288297983104</v>
      </c>
      <c r="E39">
        <v>0.98549317703086303</v>
      </c>
      <c r="F39">
        <v>0.99312864129193601</v>
      </c>
    </row>
    <row r="40" spans="1:6" x14ac:dyDescent="0.25">
      <c r="A40">
        <v>14.712810516357401</v>
      </c>
      <c r="B40" t="s">
        <v>49</v>
      </c>
      <c r="C40">
        <v>0.84027293963362104</v>
      </c>
      <c r="D40">
        <v>0.91320468995312198</v>
      </c>
      <c r="E40">
        <v>0.96548395451227798</v>
      </c>
      <c r="F40">
        <v>0.99370939158316796</v>
      </c>
    </row>
    <row r="41" spans="1:6" x14ac:dyDescent="0.25">
      <c r="A41">
        <v>15.683412551879799</v>
      </c>
      <c r="B41" t="s">
        <v>50</v>
      </c>
      <c r="C41">
        <v>0.36350859461977503</v>
      </c>
      <c r="D41">
        <v>0.53319589778037701</v>
      </c>
      <c r="E41">
        <v>0.87385164376281199</v>
      </c>
      <c r="F41">
        <v>0.92572989842272002</v>
      </c>
    </row>
    <row r="42" spans="1:6" x14ac:dyDescent="0.25">
      <c r="A42">
        <v>14.879941940307599</v>
      </c>
      <c r="B42" t="s">
        <v>51</v>
      </c>
      <c r="C42">
        <v>0.89146527324188896</v>
      </c>
      <c r="D42">
        <v>0.94261870503597101</v>
      </c>
      <c r="E42">
        <v>0.97484779429271096</v>
      </c>
      <c r="F42">
        <v>0.99444317591692599</v>
      </c>
    </row>
    <row r="43" spans="1:6" x14ac:dyDescent="0.25">
      <c r="A43">
        <v>15.1441097259521</v>
      </c>
      <c r="B43" t="s">
        <v>52</v>
      </c>
      <c r="C43">
        <v>0.897312269183422</v>
      </c>
      <c r="D43">
        <v>0.94587726412543904</v>
      </c>
      <c r="E43">
        <v>0.94838989482814695</v>
      </c>
      <c r="F43">
        <v>0.997381444265662</v>
      </c>
    </row>
    <row r="44" spans="1:6" x14ac:dyDescent="0.25">
      <c r="A44">
        <v>15.4104232788085</v>
      </c>
      <c r="B44" t="s">
        <v>53</v>
      </c>
      <c r="C44">
        <v>0.38131706035684698</v>
      </c>
      <c r="D44">
        <v>0.55210649502633102</v>
      </c>
      <c r="E44">
        <v>0.84277516021704602</v>
      </c>
      <c r="F44">
        <v>0.94600978488592702</v>
      </c>
    </row>
    <row r="45" spans="1:6" x14ac:dyDescent="0.25">
      <c r="A45">
        <v>15.023469924926699</v>
      </c>
      <c r="B45" t="s">
        <v>54</v>
      </c>
      <c r="C45">
        <v>0.88671261676025204</v>
      </c>
      <c r="D45">
        <v>0.93995514619800502</v>
      </c>
      <c r="E45">
        <v>0.99078203984537605</v>
      </c>
      <c r="F45">
        <v>0.99611112315335004</v>
      </c>
    </row>
    <row r="46" spans="1:6" x14ac:dyDescent="0.25">
      <c r="A46">
        <v>15.450954437255801</v>
      </c>
      <c r="B46" t="s">
        <v>55</v>
      </c>
      <c r="C46">
        <v>0.89038950368449399</v>
      </c>
      <c r="D46">
        <v>0.94201697792869199</v>
      </c>
      <c r="E46">
        <v>0.99497891142799699</v>
      </c>
      <c r="F46">
        <v>0.99596142141393595</v>
      </c>
    </row>
    <row r="47" spans="1:6" x14ac:dyDescent="0.25">
      <c r="A47">
        <v>15.2437686920166</v>
      </c>
      <c r="B47" t="s">
        <v>56</v>
      </c>
      <c r="C47">
        <v>0.218998786710322</v>
      </c>
      <c r="D47">
        <v>0.35930927757742598</v>
      </c>
      <c r="E47">
        <v>0.82663111668757805</v>
      </c>
      <c r="F47">
        <v>0.91299857577879695</v>
      </c>
    </row>
    <row r="48" spans="1:6" x14ac:dyDescent="0.25">
      <c r="A48">
        <v>14.711856842041</v>
      </c>
      <c r="B48" t="s">
        <v>57</v>
      </c>
      <c r="C48">
        <v>0.90395640574445102</v>
      </c>
      <c r="D48">
        <v>0.949555780812116</v>
      </c>
      <c r="E48">
        <v>0.99017596219610704</v>
      </c>
      <c r="F48">
        <v>0.99376577352770201</v>
      </c>
    </row>
    <row r="49" spans="1:6" x14ac:dyDescent="0.25">
      <c r="A49">
        <v>15.2702331542968</v>
      </c>
      <c r="B49" t="s">
        <v>58</v>
      </c>
      <c r="C49">
        <v>0.85279385228050497</v>
      </c>
      <c r="D49">
        <v>0.92054909533604801</v>
      </c>
      <c r="E49">
        <v>0.96028937780268997</v>
      </c>
      <c r="F49">
        <v>0.99274222179189198</v>
      </c>
    </row>
    <row r="50" spans="1:6" x14ac:dyDescent="0.25">
      <c r="A50">
        <v>14.739513397216699</v>
      </c>
      <c r="B50" t="s">
        <v>59</v>
      </c>
      <c r="C50">
        <v>0.88949749940461997</v>
      </c>
      <c r="D50">
        <v>0.94151751953617302</v>
      </c>
      <c r="E50">
        <v>0.99199893761827296</v>
      </c>
      <c r="F50">
        <v>0.99659189654918401</v>
      </c>
    </row>
    <row r="51" spans="1:6" x14ac:dyDescent="0.25">
      <c r="A51">
        <v>15.224218368530201</v>
      </c>
      <c r="B51" t="s">
        <v>60</v>
      </c>
      <c r="C51">
        <v>0.231112687878027</v>
      </c>
      <c r="D51">
        <v>0.37545334420422199</v>
      </c>
      <c r="E51">
        <v>0.83580548253848996</v>
      </c>
      <c r="F51">
        <v>0.917755896991993</v>
      </c>
    </row>
    <row r="52" spans="1:6" x14ac:dyDescent="0.25">
      <c r="A52">
        <v>14.683961868286101</v>
      </c>
      <c r="B52" t="s">
        <v>61</v>
      </c>
      <c r="C52">
        <v>0.89490120066763501</v>
      </c>
      <c r="D52">
        <v>0.94453600045462205</v>
      </c>
      <c r="E52">
        <v>0.99191358577268496</v>
      </c>
      <c r="F52">
        <v>0.99642091180547399</v>
      </c>
    </row>
    <row r="53" spans="1:6" x14ac:dyDescent="0.25">
      <c r="A53">
        <v>15.2990818023681</v>
      </c>
      <c r="B53" t="s">
        <v>62</v>
      </c>
      <c r="C53">
        <v>0.39025450750768098</v>
      </c>
      <c r="D53">
        <v>0.56141448260044602</v>
      </c>
      <c r="E53">
        <v>0.99029054799558602</v>
      </c>
      <c r="F53">
        <v>0.95906934302996105</v>
      </c>
    </row>
    <row r="54" spans="1:6" x14ac:dyDescent="0.25">
      <c r="A54">
        <v>14.6739482879638</v>
      </c>
      <c r="B54" t="s">
        <v>63</v>
      </c>
      <c r="C54">
        <v>0.87796061505260303</v>
      </c>
      <c r="D54">
        <v>0.93501493909446098</v>
      </c>
      <c r="E54">
        <v>0.99352829843091695</v>
      </c>
      <c r="F54">
        <v>0.99352836941524103</v>
      </c>
    </row>
    <row r="55" spans="1:6" x14ac:dyDescent="0.25">
      <c r="A55">
        <v>15.059947967529199</v>
      </c>
      <c r="B55" t="s">
        <v>64</v>
      </c>
      <c r="C55">
        <v>0.90169313320281297</v>
      </c>
      <c r="D55">
        <v>0.94830560983747203</v>
      </c>
      <c r="E55">
        <v>0.98794391038372897</v>
      </c>
      <c r="F55">
        <v>0.99517545089899295</v>
      </c>
    </row>
    <row r="56" spans="1:6" x14ac:dyDescent="0.25">
      <c r="A56">
        <v>14.939308166503899</v>
      </c>
      <c r="B56" t="s">
        <v>65</v>
      </c>
      <c r="C56">
        <v>0.86896730669434297</v>
      </c>
      <c r="D56">
        <v>0.92989032347632905</v>
      </c>
      <c r="E56">
        <v>0.95259767041656596</v>
      </c>
      <c r="F56">
        <v>0.99308263728670099</v>
      </c>
    </row>
    <row r="57" spans="1:6" x14ac:dyDescent="0.25">
      <c r="A57">
        <v>15.125036239624</v>
      </c>
      <c r="B57" t="s">
        <v>66</v>
      </c>
      <c r="C57">
        <v>0.434420946008164</v>
      </c>
      <c r="D57">
        <v>0.60570915004707604</v>
      </c>
      <c r="E57">
        <v>0.94799946414218095</v>
      </c>
      <c r="F57">
        <v>0.94725081391688204</v>
      </c>
    </row>
    <row r="58" spans="1:6" x14ac:dyDescent="0.25">
      <c r="A58">
        <v>14.611482620239199</v>
      </c>
      <c r="B58" t="s">
        <v>67</v>
      </c>
      <c r="C58">
        <v>0.85028916042215097</v>
      </c>
      <c r="D58">
        <v>0.919087868653086</v>
      </c>
      <c r="E58">
        <v>0.98807593745097</v>
      </c>
      <c r="F58">
        <v>0.99386638477968603</v>
      </c>
    </row>
    <row r="59" spans="1:6" x14ac:dyDescent="0.25">
      <c r="A59">
        <v>15.807390213012599</v>
      </c>
      <c r="B59" t="s">
        <v>68</v>
      </c>
      <c r="C59">
        <v>0.84137589705518401</v>
      </c>
      <c r="D59">
        <v>0.91385566456121403</v>
      </c>
      <c r="E59">
        <v>0.96369605782176304</v>
      </c>
      <c r="F59">
        <v>0.99388316294637702</v>
      </c>
    </row>
    <row r="60" spans="1:6" x14ac:dyDescent="0.25">
      <c r="A60">
        <v>14.7418975830078</v>
      </c>
      <c r="B60" t="s">
        <v>69</v>
      </c>
      <c r="C60">
        <v>0.86040992051810405</v>
      </c>
      <c r="D60">
        <v>0.92496810625315196</v>
      </c>
      <c r="E60">
        <v>0.98912836565917195</v>
      </c>
      <c r="F60">
        <v>0.99293616179814703</v>
      </c>
    </row>
    <row r="61" spans="1:6" x14ac:dyDescent="0.25">
      <c r="A61">
        <v>15.007972717285099</v>
      </c>
      <c r="B61" t="s">
        <v>70</v>
      </c>
      <c r="C61">
        <v>0.73246747557930703</v>
      </c>
      <c r="D61">
        <v>0.84557717348705996</v>
      </c>
      <c r="E61">
        <v>0.97509986296177498</v>
      </c>
      <c r="F61">
        <v>0.98879893993664403</v>
      </c>
    </row>
    <row r="62" spans="1:6" x14ac:dyDescent="0.25">
      <c r="A62">
        <v>16.945838928222599</v>
      </c>
      <c r="B62" t="s">
        <v>71</v>
      </c>
      <c r="C62">
        <v>0.87421516012487199</v>
      </c>
      <c r="D62">
        <v>0.93288665967959195</v>
      </c>
      <c r="E62">
        <v>0.98908643543138297</v>
      </c>
      <c r="F62">
        <v>0.99336592598529305</v>
      </c>
    </row>
    <row r="63" spans="1:6" x14ac:dyDescent="0.25">
      <c r="A63">
        <v>15.155076980590801</v>
      </c>
      <c r="B63" t="s">
        <v>72</v>
      </c>
      <c r="C63">
        <v>0.83965623867101702</v>
      </c>
      <c r="D63">
        <v>0.91284036769564203</v>
      </c>
      <c r="E63">
        <v>0.97777446671136603</v>
      </c>
      <c r="F63">
        <v>0.99343057223643105</v>
      </c>
    </row>
    <row r="64" spans="1:6" x14ac:dyDescent="0.25">
      <c r="A64">
        <v>14.636754989624</v>
      </c>
      <c r="B64" t="s">
        <v>73</v>
      </c>
      <c r="C64">
        <v>0.60021637626694002</v>
      </c>
      <c r="D64">
        <v>0.75016902110094996</v>
      </c>
      <c r="E64">
        <v>0.964498124256565</v>
      </c>
      <c r="F64">
        <v>0.987079217467698</v>
      </c>
    </row>
    <row r="65" spans="1:7" x14ac:dyDescent="0.25">
      <c r="A65">
        <v>15.143632888793899</v>
      </c>
      <c r="B65" t="s">
        <v>74</v>
      </c>
      <c r="C65">
        <v>0.88584708656113098</v>
      </c>
      <c r="D65">
        <v>0.93946862698871902</v>
      </c>
      <c r="E65">
        <v>0.98386951967679104</v>
      </c>
      <c r="F65">
        <v>0.99246750177744503</v>
      </c>
    </row>
    <row r="66" spans="1:7" x14ac:dyDescent="0.25">
      <c r="A66">
        <v>15.19775390625</v>
      </c>
      <c r="B66" t="s">
        <v>75</v>
      </c>
      <c r="C66">
        <v>0.88612436139885398</v>
      </c>
      <c r="D66">
        <v>0.93962453328544604</v>
      </c>
      <c r="E66">
        <v>0.98379894395437295</v>
      </c>
      <c r="F66">
        <v>0.99285607659991804</v>
      </c>
    </row>
    <row r="67" spans="1:7" x14ac:dyDescent="0.25">
      <c r="A67">
        <v>15.111446380615201</v>
      </c>
      <c r="B67" t="s">
        <v>76</v>
      </c>
      <c r="C67">
        <v>0.90325234730422999</v>
      </c>
      <c r="D67">
        <v>0.94916719643992298</v>
      </c>
      <c r="E67">
        <v>0.98813999046963497</v>
      </c>
      <c r="F67">
        <v>0.99648793730127105</v>
      </c>
    </row>
    <row r="68" spans="1:7" x14ac:dyDescent="0.25">
      <c r="A68">
        <v>14.8029327392578</v>
      </c>
      <c r="B68" t="s">
        <v>77</v>
      </c>
      <c r="C68">
        <v>0.87941524653800596</v>
      </c>
      <c r="D68">
        <v>0.93583921717985497</v>
      </c>
      <c r="E68">
        <v>0.96845392393166196</v>
      </c>
      <c r="F68">
        <v>0.99320278971595</v>
      </c>
    </row>
    <row r="69" spans="1:7" x14ac:dyDescent="0.25">
      <c r="A69">
        <v>15.2454376220703</v>
      </c>
      <c r="B69" t="s">
        <v>78</v>
      </c>
      <c r="C69">
        <v>0.89270669539727798</v>
      </c>
      <c r="D69">
        <v>0.94331223909988804</v>
      </c>
      <c r="E69">
        <v>0.98168388694389797</v>
      </c>
      <c r="F69">
        <v>0.99533907272603805</v>
      </c>
    </row>
    <row r="70" spans="1:7" x14ac:dyDescent="0.25">
      <c r="A70">
        <v>14.737606048583901</v>
      </c>
      <c r="B70" t="s">
        <v>79</v>
      </c>
      <c r="C70">
        <v>0.82627932575054497</v>
      </c>
      <c r="D70">
        <v>0.90487727052483502</v>
      </c>
      <c r="E70">
        <v>0.94251458676973798</v>
      </c>
      <c r="F70">
        <v>0.99433110737858799</v>
      </c>
    </row>
    <row r="71" spans="1:7" x14ac:dyDescent="0.25">
      <c r="A71">
        <v>15.1386260986328</v>
      </c>
      <c r="B71" t="s">
        <v>80</v>
      </c>
      <c r="C71">
        <v>0.90651380460825304</v>
      </c>
      <c r="D71">
        <v>0.950964847374417</v>
      </c>
      <c r="E71">
        <v>0.95243024514186203</v>
      </c>
      <c r="F71">
        <v>0.99785998986154001</v>
      </c>
    </row>
    <row r="72" spans="1:7" x14ac:dyDescent="0.25">
      <c r="A72">
        <v>14.6241188049316</v>
      </c>
      <c r="B72" t="s">
        <v>81</v>
      </c>
      <c r="C72">
        <v>0.85512910591955005</v>
      </c>
      <c r="D72">
        <v>0.92190791809681605</v>
      </c>
      <c r="E72">
        <v>0.98682410175847501</v>
      </c>
      <c r="F72">
        <v>0.99397687070785101</v>
      </c>
    </row>
    <row r="73" spans="1:7" x14ac:dyDescent="0.25">
      <c r="A73">
        <v>15.2821540832519</v>
      </c>
      <c r="B73" t="s">
        <v>82</v>
      </c>
      <c r="C73">
        <v>0.85254233575043203</v>
      </c>
      <c r="D73">
        <v>0.92040254011801803</v>
      </c>
      <c r="E73">
        <v>0.98764053498464499</v>
      </c>
      <c r="F73">
        <v>0.99381275559294502</v>
      </c>
    </row>
    <row r="74" spans="1:7" x14ac:dyDescent="0.25">
      <c r="A74">
        <v>14.7056579589843</v>
      </c>
      <c r="B74" t="s">
        <v>83</v>
      </c>
      <c r="C74">
        <v>0.83733442858609697</v>
      </c>
      <c r="D74">
        <v>0.91146654148364203</v>
      </c>
      <c r="E74">
        <v>0.950753159539243</v>
      </c>
      <c r="F74">
        <v>0.99422386620131398</v>
      </c>
    </row>
    <row r="75" spans="1:7" x14ac:dyDescent="0.25">
      <c r="A75">
        <v>15.1083469390869</v>
      </c>
      <c r="B75" t="s">
        <v>84</v>
      </c>
      <c r="C75">
        <v>0.873915087516273</v>
      </c>
      <c r="D75">
        <v>0.93271578134800004</v>
      </c>
      <c r="E75">
        <v>0.99099856469140801</v>
      </c>
      <c r="F75">
        <v>0.99346473215803799</v>
      </c>
    </row>
    <row r="76" spans="1:7" x14ac:dyDescent="0.25">
      <c r="A76">
        <v>15.336275100708001</v>
      </c>
      <c r="B76" t="s">
        <v>85</v>
      </c>
      <c r="C76">
        <v>0.33122310268945998</v>
      </c>
      <c r="D76">
        <v>0.49762222728901301</v>
      </c>
      <c r="E76">
        <v>0.93127095397744497</v>
      </c>
      <c r="F76">
        <v>0.94148357003482996</v>
      </c>
    </row>
    <row r="77" spans="1:7" x14ac:dyDescent="0.25">
      <c r="A77">
        <v>15.607595443725501</v>
      </c>
      <c r="B77" t="s">
        <v>86</v>
      </c>
      <c r="C77">
        <v>0.89291958625291901</v>
      </c>
      <c r="D77">
        <v>0.94343108152890498</v>
      </c>
      <c r="E77">
        <v>0.998254226413405</v>
      </c>
      <c r="F77">
        <v>0.99194544993311595</v>
      </c>
    </row>
    <row r="78" spans="1:7" x14ac:dyDescent="0.25">
      <c r="A78" s="2">
        <f>AVERAGE(A4:A77)</f>
        <v>15.376777262301015</v>
      </c>
      <c r="B78" s="2"/>
      <c r="C78" s="2">
        <f>AVERAGE(C3:C77)</f>
        <v>0.78136760924884041</v>
      </c>
      <c r="D78" s="2">
        <f>SUBTOTAL(101,TimeDfBBoxAutoSam[Column4])</f>
        <v>0.85939175988409433</v>
      </c>
      <c r="E78" s="2">
        <f>SUBTOTAL(101,TimeDfBBoxAutoSam[Column5])</f>
        <v>0.96993785836513569</v>
      </c>
      <c r="F78" s="2">
        <f>SUBTOTAL(101,TimeDfBBoxAutoSam[Column6])</f>
        <v>0.98395242481700373</v>
      </c>
      <c r="G78" s="2"/>
    </row>
    <row r="79" spans="1:7" x14ac:dyDescent="0.25">
      <c r="A79" s="2">
        <f>STDEVA(A4:A77)</f>
        <v>1.9857422710934529</v>
      </c>
      <c r="B79" s="2"/>
      <c r="C79" s="2">
        <f>STDEVA(C3:C77)</f>
        <v>0.20024815963615536</v>
      </c>
      <c r="D79" s="2">
        <f>STDEVA(D3:D77)</f>
        <v>0.16163839982919223</v>
      </c>
      <c r="E79" s="2">
        <f>STDEVA(E3:E77)</f>
        <v>3.7850285071006483E-2</v>
      </c>
      <c r="F79" s="2">
        <f>STDEVA(F3:F77)</f>
        <v>2.4092816605073539E-2</v>
      </c>
      <c r="G79" s="2"/>
    </row>
    <row r="80" spans="1:7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00F0-7F48-4B35-B6BB-B5479A6B2A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CCD089-F793-4966-96B3-B3D7E7414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dataset4</vt:lpstr>
      <vt:lpstr>dataset3</vt:lpstr>
      <vt:lpstr>dataset1</vt:lpstr>
      <vt:lpstr>dataset2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2025-10-20T16:03:45Z</dcterms:created>
  <dcterms:modified xsi:type="dcterms:W3CDTF">2025-10-22T16:40:10Z</dcterms:modified>
</cp:coreProperties>
</file>