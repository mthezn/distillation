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"/>
    </mc:Choice>
  </mc:AlternateContent>
  <xr:revisionPtr revIDLastSave="0" documentId="13_ncr:1_{7AB34847-C255-4FC7-B2AD-B078D7E847FD}" xr6:coauthVersionLast="47" xr6:coauthVersionMax="47" xr10:uidLastSave="{00000000-0000-0000-0000-000000000000}"/>
  <bookViews>
    <workbookView xWindow="-120" yWindow="-16320" windowWidth="29040" windowHeight="15720" firstSheet="1" activeTab="4" xr2:uid="{6C68CFA5-5E33-4088-BE97-32DD53AECB44}"/>
  </bookViews>
  <sheets>
    <sheet name="TimeDfBBoxStudent (3)" sheetId="4" r:id="rId1"/>
    <sheet name="TimeDfBBoxStudent (2)" sheetId="3" r:id="rId2"/>
    <sheet name="TimeDfBBoxStudent" sheetId="2" r:id="rId3"/>
    <sheet name="TimeDfBBoxStudent (5)" sheetId="5" r:id="rId4"/>
    <sheet name="Foglio1" sheetId="1" r:id="rId5"/>
  </sheets>
  <definedNames>
    <definedName name="DatiEsterni_1" localSheetId="1">'TimeDfBBoxStudent (2)'!$A$1</definedName>
    <definedName name="DatiEsterni_2" localSheetId="4" hidden="1">Foglio1!$B$4:$G$80</definedName>
    <definedName name="DatiEsterni_2" localSheetId="0" hidden="1">'TimeDfBBoxStudent (3)'!$A$1:$F$77</definedName>
    <definedName name="DatiEsterni_3" localSheetId="4" hidden="1">Foglio1!$J$4:$O$80</definedName>
    <definedName name="DatiEsterni_3" localSheetId="3" hidden="1">'TimeDfBBoxStudent (5)'!$A$1:$F$77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M83" i="1"/>
  <c r="E83" i="1"/>
  <c r="L83" i="1"/>
  <c r="J83" i="1"/>
  <c r="O81" i="1"/>
  <c r="N81" i="1"/>
  <c r="M81" i="1"/>
  <c r="J81" i="1"/>
  <c r="L81" i="1"/>
  <c r="G83" i="1"/>
  <c r="F83" i="1"/>
  <c r="D83" i="1"/>
  <c r="B83" i="1"/>
  <c r="G81" i="1"/>
  <c r="F81" i="1"/>
  <c r="B81" i="1"/>
  <c r="E81" i="1"/>
  <c r="D8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4FC56C-21E0-459F-9ACD-57495016C304}" keepAlive="1" name="Query - TimeDfBBoxStudent" description="Connessione alla query 'TimeDfBBoxStudent' nella cartella di lavoro." type="5" refreshedVersion="8" background="1" saveData="1">
    <dbPr connection="Provider=Microsoft.Mashup.OleDb.1;Data Source=$Workbook$;Location=TimeDfBBoxStudent;Extended Properties=&quot;&quot;" command="SELECT * FROM [TimeDfBBoxStudent]"/>
  </connection>
  <connection id="2" xr16:uid="{9DF3C0D8-6DB1-4E94-A266-FC7200EE1025}" keepAlive="1" name="Query - TimeDfBBoxStudent (2)" description="Connessione alla query 'TimeDfBBoxStudent (2)' nella cartella di lavoro." type="5" refreshedVersion="0" background="1" saveData="1">
    <dbPr connection="Provider=Microsoft.Mashup.OleDb.1;Data Source=$Workbook$;Location=&quot;TimeDfBBoxStudent (2)&quot;;Extended Properties=&quot;&quot;" command="SELECT * FROM [TimeDfBBoxStudent (2)]"/>
  </connection>
  <connection id="3" xr16:uid="{0C0F6E5C-B85D-4D60-83F2-C42A39B7BB95}" keepAlive="1" name="Query - TimeDfBBoxStudent (3)" description="Connessione alla query 'TimeDfBBoxStudent (3)' nella cartella di lavoro." type="5" refreshedVersion="8" background="1" saveData="1">
    <dbPr connection="Provider=Microsoft.Mashup.OleDb.1;Data Source=$Workbook$;Location=&quot;TimeDfBBoxStudent (3)&quot;;Extended Properties=&quot;&quot;" command="SELECT * FROM [TimeDfBBoxStudent (3)]"/>
  </connection>
  <connection id="4" xr16:uid="{67A74517-A5F3-43A5-B9A1-555FAC358056}" keepAlive="1" name="Query - TimeDfBBoxStudent (4)" description="Connessione alla query 'TimeDfBBoxStudent (4)' nella cartella di lavoro." type="5" refreshedVersion="8" background="1" saveData="1">
    <dbPr connection="Provider=Microsoft.Mashup.OleDb.1;Data Source=$Workbook$;Location=&quot;TimeDfBBoxStudent (4)&quot;;Extended Properties=&quot;&quot;" command="SELECT * FROM [TimeDfBBoxStudent (4)]"/>
  </connection>
  <connection id="5" xr16:uid="{C2770DEC-DFFC-4137-AA17-0D23BF00D1D4}" keepAlive="1" name="Query - TimeDfBBoxStudent (5)" description="Connessione alla query 'TimeDfBBoxStudent (5)' nella cartella di lavoro." type="5" refreshedVersion="8" background="1" saveData="1">
    <dbPr connection="Provider=Microsoft.Mashup.OleDb.1;Data Source=$Workbook$;Location=&quot;TimeDfBBoxStudent (5)&quot;;Extended Properties=&quot;&quot;" command="SELECT * FROM [TimeDfBBoxStudent (5)]"/>
  </connection>
  <connection id="6" xr16:uid="{0CEB948C-E9A7-4B42-975A-12691321C1A2}" keepAlive="1" name="Query - TimeDfBBoxStudent (6)" description="Connessione alla query 'TimeDfBBoxStudent (6)' nella cartella di lavoro." type="5" refreshedVersion="8" background="1" saveData="1">
    <dbPr connection="Provider=Microsoft.Mashup.OleDb.1;Data Source=$Workbook$;Location=&quot;TimeDfBBoxStudent (6)&quot;;Extended Properties=&quot;&quot;" command="SELECT * FROM [TimeDfBBoxStudent (6)]"/>
  </connection>
</connections>
</file>

<file path=xl/sharedStrings.xml><?xml version="1.0" encoding="utf-8"?>
<sst xmlns="http://schemas.openxmlformats.org/spreadsheetml/2006/main" count="952" uniqueCount="840">
  <si>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</si>
  <si>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</si>
  <si>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</si>
  <si>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</si>
  <si>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</si>
  <si>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</si>
  <si>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</si>
  <si>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</si>
  <si>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</si>
  <si>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</si>
  <si>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</si>
  <si>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</si>
  <si>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520.5941200256348</t>
  </si>
  <si>
    <t>0.0</t>
  </si>
  <si>
    <t>0.9262254809327639</t>
  </si>
  <si>
    <t>0.9616999568339677</t>
  </si>
  <si>
    <t>0.9880460418892495</t>
  </si>
  <si>
    <t>0.9930247892795372</t>
  </si>
  <si>
    <t>133.84175300598145</t>
  </si>
  <si>
    <t>1.0</t>
  </si>
  <si>
    <t>0.9135671560630778</t>
  </si>
  <si>
    <t>0.9548315596538839</t>
  </si>
  <si>
    <t>0.9680774438906335</t>
  </si>
  <si>
    <t>0.993421561143058</t>
  </si>
  <si>
    <t>135.7722282409668</t>
  </si>
  <si>
    <t>2.0</t>
  </si>
  <si>
    <t>0.8935422501717487</t>
  </si>
  <si>
    <t>0.943778518900967</t>
  </si>
  <si>
    <t>0.9522249650369341</t>
  </si>
  <si>
    <t>0.9925724628065836</t>
  </si>
  <si>
    <t>140.2602195739746</t>
  </si>
  <si>
    <t>3.0</t>
  </si>
  <si>
    <t>0.9110371709746266</t>
  </si>
  <si>
    <t>0.9534478814035823</t>
  </si>
  <si>
    <t>0.9685803650917456</t>
  </si>
  <si>
    <t>0.9913014607513272</t>
  </si>
  <si>
    <t>138.75579833984375</t>
  </si>
  <si>
    <t>4.0</t>
  </si>
  <si>
    <t>0.9372457568829876</t>
  </si>
  <si>
    <t>0.9676064624769222</t>
  </si>
  <si>
    <t>0.9933696210616938</t>
  </si>
  <si>
    <t>0.9904647877047169</t>
  </si>
  <si>
    <t>139.47224617004395</t>
  </si>
  <si>
    <t>5.0</t>
  </si>
  <si>
    <t>0.889811825840485</t>
  </si>
  <si>
    <t>0.9416935735860847</t>
  </si>
  <si>
    <t>0.9575108023383886</t>
  </si>
  <si>
    <t>0.9924708012979064</t>
  </si>
  <si>
    <t>139.2199993133545</t>
  </si>
  <si>
    <t>6.0</t>
  </si>
  <si>
    <t>0.9112739500063444</t>
  </si>
  <si>
    <t>0.9535775339828385</t>
  </si>
  <si>
    <t>0.9616215040085695</t>
  </si>
  <si>
    <t>0.9928940610193718</t>
  </si>
  <si>
    <t>139.16540145874023</t>
  </si>
  <si>
    <t>7.0</t>
  </si>
  <si>
    <t>0.9033061291233704</t>
  </si>
  <si>
    <t>0.9491968898764777</t>
  </si>
  <si>
    <t>0.9439365577450348</t>
  </si>
  <si>
    <t>0.9937042645970067</t>
  </si>
  <si>
    <t>134.20391082763672</t>
  </si>
  <si>
    <t>8.0</t>
  </si>
  <si>
    <t>0.8978373944163489</t>
  </si>
  <si>
    <t>0.9461689363460616</t>
  </si>
  <si>
    <t>0.957921768151347</t>
  </si>
  <si>
    <t>0.9926339425134156</t>
  </si>
  <si>
    <t>139.3752098083496</t>
  </si>
  <si>
    <t>9.0</t>
  </si>
  <si>
    <t>0.9166099129776769</t>
  </si>
  <si>
    <t>0.9564908401768794</t>
  </si>
  <si>
    <t>0.9708418825339831</t>
  </si>
  <si>
    <t>0.9920091620769683</t>
  </si>
  <si>
    <t>135.68115234375</t>
  </si>
  <si>
    <t>10.0</t>
  </si>
  <si>
    <t>0.9024793819134106</t>
  </si>
  <si>
    <t>0.9487402496901131</t>
  </si>
  <si>
    <t>0.9436221588006511</t>
  </si>
  <si>
    <t>0.9925778724565102</t>
  </si>
  <si>
    <t>139.71781730651855</t>
  </si>
  <si>
    <t>11.0</t>
  </si>
  <si>
    <t>0.8789028953502638</t>
  </si>
  <si>
    <t>0.9355490350515632</t>
  </si>
  <si>
    <t>0.9155630461523715</t>
  </si>
  <si>
    <t>0.994344702409187</t>
  </si>
  <si>
    <t>134.23466682434082</t>
  </si>
  <si>
    <t>12.0</t>
  </si>
  <si>
    <t>0.9105277726517808</t>
  </si>
  <si>
    <t>0.9531688423330098</t>
  </si>
  <si>
    <t>0.9686009304882118</t>
  </si>
  <si>
    <t>0.9931361136755911</t>
  </si>
  <si>
    <t>140.99979400634766</t>
  </si>
  <si>
    <t>13.0</t>
  </si>
  <si>
    <t>0.8984869269670973</t>
  </si>
  <si>
    <t>0.9465294853543851</t>
  </si>
  <si>
    <t>0.9566263134183028</t>
  </si>
  <si>
    <t>0.9902245767642416</t>
  </si>
  <si>
    <t>131.37316703796387</t>
  </si>
  <si>
    <t>14.0</t>
  </si>
  <si>
    <t>0.9256468162403653</t>
  </si>
  <si>
    <t>0.9613879434522672</t>
  </si>
  <si>
    <t>0.9825340026750508</t>
  </si>
  <si>
    <t>0.9924194215362991</t>
  </si>
  <si>
    <t>139.63651657104492</t>
  </si>
  <si>
    <t>15.0</t>
  </si>
  <si>
    <t>0.9212785447352848</t>
  </si>
  <si>
    <t>0.959026526642673</t>
  </si>
  <si>
    <t>0.9821286598223237</t>
  </si>
  <si>
    <t>0.9918069163647278</t>
  </si>
  <si>
    <t>139.5864486694336</t>
  </si>
  <si>
    <t>16.0</t>
  </si>
  <si>
    <t>0.9126948231425843</t>
  </si>
  <si>
    <t>0.954354884113728</t>
  </si>
  <si>
    <t>0.9640633649551456</t>
  </si>
  <si>
    <t>0.9919036113035273</t>
  </si>
  <si>
    <t>139.0514373779297</t>
  </si>
  <si>
    <t>17.0</t>
  </si>
  <si>
    <t>0.9083944009537387</t>
  </si>
  <si>
    <t>0.9519986020706828</t>
  </si>
  <si>
    <t>0.9771761160834395</t>
  </si>
  <si>
    <t>0.9909900007470093</t>
  </si>
  <si>
    <t>139.2502784729004</t>
  </si>
  <si>
    <t>18.0</t>
  </si>
  <si>
    <t>0.9331716969038263</t>
  </si>
  <si>
    <t>0.9654307461653788</t>
  </si>
  <si>
    <t>0.9842667234955651</t>
  </si>
  <si>
    <t>0.9918344758053469</t>
  </si>
  <si>
    <t>139.51778411865234</t>
  </si>
  <si>
    <t>19.0</t>
  </si>
  <si>
    <t>0.9297380318861271</t>
  </si>
  <si>
    <t>0.9635898930565209</t>
  </si>
  <si>
    <t>0.9736679151815381</t>
  </si>
  <si>
    <t>0.9931703472786175</t>
  </si>
  <si>
    <t>134.06753540039062</t>
  </si>
  <si>
    <t>20.0</t>
  </si>
  <si>
    <t>0.906711665301023</t>
  </si>
  <si>
    <t>0.9510737064252193</t>
  </si>
  <si>
    <t>0.9706876036790314</t>
  </si>
  <si>
    <t>0.9912966809757916</t>
  </si>
  <si>
    <t>139.76192474365234</t>
  </si>
  <si>
    <t>21.0</t>
  </si>
  <si>
    <t>0.9114144866941635</t>
  </si>
  <si>
    <t>0.9536544721605373</t>
  </si>
  <si>
    <t>0.9639586476836428</t>
  </si>
  <si>
    <t>0.9915622792997063</t>
  </si>
  <si>
    <t>138.92340660095215</t>
  </si>
  <si>
    <t>22.0</t>
  </si>
  <si>
    <t>0.9243393311590904</t>
  </si>
  <si>
    <t>0.9606822624181689</t>
  </si>
  <si>
    <t>0.9804084540489195</t>
  </si>
  <si>
    <t>0.9916909371252356</t>
  </si>
  <si>
    <t>139.12129402160645</t>
  </si>
  <si>
    <t>23.0</t>
  </si>
  <si>
    <t>0.9085291234238193</t>
  </si>
  <si>
    <t>0.9520725801594865</t>
  </si>
  <si>
    <t>0.9558889434260227</t>
  </si>
  <si>
    <t>0.9919295065302935</t>
  </si>
  <si>
    <t>139.09149169921875</t>
  </si>
  <si>
    <t>24.0</t>
  </si>
  <si>
    <t>0.9118493534230163</t>
  </si>
  <si>
    <t>0.9538924725323379</t>
  </si>
  <si>
    <t>0.9601579694345599</t>
  </si>
  <si>
    <t>0.9914403611288044</t>
  </si>
  <si>
    <t>139.06455039978027</t>
  </si>
  <si>
    <t>25.0</t>
  </si>
  <si>
    <t>0.9090556863936793</t>
  </si>
  <si>
    <t>0.9523616234693918</t>
  </si>
  <si>
    <t>0.9598982816987277</t>
  </si>
  <si>
    <t>0.9924538757768546</t>
  </si>
  <si>
    <t>139.08839225769043</t>
  </si>
  <si>
    <t>26.0</t>
  </si>
  <si>
    <t>0.9295128811644774</t>
  </si>
  <si>
    <t>0.963468956582978</t>
  </si>
  <si>
    <t>0.9761228037207554</t>
  </si>
  <si>
    <t>0.9902776765707831</t>
  </si>
  <si>
    <t>139.37020301818848</t>
  </si>
  <si>
    <t>27.0</t>
  </si>
  <si>
    <t>0.8889670390290995</t>
  </si>
  <si>
    <t>0.9412202761208741</t>
  </si>
  <si>
    <t>0.9242162464423718</t>
  </si>
  <si>
    <t>0.9939158738382575</t>
  </si>
  <si>
    <t>139.6653652191162</t>
  </si>
  <si>
    <t>28.0</t>
  </si>
  <si>
    <t>0.8475182590550008</t>
  </si>
  <si>
    <t>0.9174667204517951</t>
  </si>
  <si>
    <t>0.9677657270913509</t>
  </si>
  <si>
    <t>0.984084962224987</t>
  </si>
  <si>
    <t>139.27006721496582</t>
  </si>
  <si>
    <t>29.0</t>
  </si>
  <si>
    <t>0.873811127009511</t>
  </si>
  <si>
    <t>0.9326565675848671</t>
  </si>
  <si>
    <t>0.9090451381288035</t>
  </si>
  <si>
    <t>0.99393766524415</t>
  </si>
  <si>
    <t>139.38140869140625</t>
  </si>
  <si>
    <t>30.0</t>
  </si>
  <si>
    <t>0.904611643727552</t>
  </si>
  <si>
    <t>0.9499171620699737</t>
  </si>
  <si>
    <t>0.9767709867821103</t>
  </si>
  <si>
    <t>0.9916103403609029</t>
  </si>
  <si>
    <t>143.16153526306152</t>
  </si>
  <si>
    <t>31.0</t>
  </si>
  <si>
    <t>0.9059813964441304</t>
  </si>
  <si>
    <t>0.9506718146718147</t>
  </si>
  <si>
    <t>0.9738537964203221</t>
  </si>
  <si>
    <t>0.9925526572114876</t>
  </si>
  <si>
    <t>138.91196250915527</t>
  </si>
  <si>
    <t>32.0</t>
  </si>
  <si>
    <t>0.9282679818350505</t>
  </si>
  <si>
    <t>0.9627997670237282</t>
  </si>
  <si>
    <t>0.976015842746076</t>
  </si>
  <si>
    <t>0.9923122963794456</t>
  </si>
  <si>
    <t>139.1897201538086</t>
  </si>
  <si>
    <t>33.0</t>
  </si>
  <si>
    <t>0.9099502346619829</t>
  </si>
  <si>
    <t>0.9528522975605415</t>
  </si>
  <si>
    <t>0.978830819239169</t>
  </si>
  <si>
    <t>0.9921568709998937</t>
  </si>
  <si>
    <t>139.329195022583</t>
  </si>
  <si>
    <t>34.0</t>
  </si>
  <si>
    <t>0.9207789333923434</t>
  </si>
  <si>
    <t>0.9587557603686636</t>
  </si>
  <si>
    <t>0.9618389116645251</t>
  </si>
  <si>
    <t>0.992724259530621</t>
  </si>
  <si>
    <t>138.8247013092041</t>
  </si>
  <si>
    <t>35.0</t>
  </si>
  <si>
    <t>0.8937103336045565</t>
  </si>
  <si>
    <t>0.9438722678388052</t>
  </si>
  <si>
    <t>0.9612143275954108</t>
  </si>
  <si>
    <t>0.9907621370705775</t>
  </si>
  <si>
    <t>135.84041595458984</t>
  </si>
  <si>
    <t>36.0</t>
  </si>
  <si>
    <t>0.904577659770833</t>
  </si>
  <si>
    <t>0.949898425123474</t>
  </si>
  <si>
    <t>0.9551427650467388</t>
  </si>
  <si>
    <t>0.9918518316169038</t>
  </si>
  <si>
    <t>128.6001205444336</t>
  </si>
  <si>
    <t>37.0</t>
  </si>
  <si>
    <t>0.8776898862488666</t>
  </si>
  <si>
    <t>0.9348613875769033</t>
  </si>
  <si>
    <t>0.9428311225499901</t>
  </si>
  <si>
    <t>0.9898384583774711</t>
  </si>
  <si>
    <t>141.1266326904297</t>
  </si>
  <si>
    <t>38.0</t>
  </si>
  <si>
    <t>0.9153661934352841</t>
  </si>
  <si>
    <t>0.9558132503044121</t>
  </si>
  <si>
    <t>0.9709608328213983</t>
  </si>
  <si>
    <t>0.9921173816260432</t>
  </si>
  <si>
    <t>134.5043182373047</t>
  </si>
  <si>
    <t>39.0</t>
  </si>
  <si>
    <t>0.8995633811875174</t>
  </si>
  <si>
    <t>0.9471264713738089</t>
  </si>
  <si>
    <t>0.9500750949063766</t>
  </si>
  <si>
    <t>0.991878411967553</t>
  </si>
  <si>
    <t>133.6064338684082</t>
  </si>
  <si>
    <t>40.0</t>
  </si>
  <si>
    <t>0.9110976837865056</t>
  </si>
  <si>
    <t>0.9534810193284573</t>
  </si>
  <si>
    <t>0.9586010476884738</t>
  </si>
  <si>
    <t>0.9933903000423382</t>
  </si>
  <si>
    <t>138.59987258911133</t>
  </si>
  <si>
    <t>41.0</t>
  </si>
  <si>
    <t>0.9265750008658609</t>
  </si>
  <si>
    <t>0.9618883256031352</t>
  </si>
  <si>
    <t>0.9818425374572213</t>
  </si>
  <si>
    <t>0.9930809878829483</t>
  </si>
  <si>
    <t>139.2662525177002</t>
  </si>
  <si>
    <t>42.0</t>
  </si>
  <si>
    <t>0.8953378427522002</t>
  </si>
  <si>
    <t>0.9447791549944357</t>
  </si>
  <si>
    <t>0.9563475963986983</t>
  </si>
  <si>
    <t>0.9915366628463359</t>
  </si>
  <si>
    <t>139.84251022338867</t>
  </si>
  <si>
    <t>43.0</t>
  </si>
  <si>
    <t>0.9071982058877676</t>
  </si>
  <si>
    <t>0.9513412954008968</t>
  </si>
  <si>
    <t>0.9609629839739044</t>
  </si>
  <si>
    <t>0.9928550055569805</t>
  </si>
  <si>
    <t>136.05833053588867</t>
  </si>
  <si>
    <t>44.0</t>
  </si>
  <si>
    <t>0.878530059966173</t>
  </si>
  <si>
    <t>0.9353377714722253</t>
  </si>
  <si>
    <t>0.9573196613274356</t>
  </si>
  <si>
    <t>0.9916281737135707</t>
  </si>
  <si>
    <t>134.13548469543457</t>
  </si>
  <si>
    <t>45.0</t>
  </si>
  <si>
    <t>0.9173422108304453</t>
  </si>
  <si>
    <t>0.9568893916262587</t>
  </si>
  <si>
    <t>0.9648805155856172</t>
  </si>
  <si>
    <t>0.9929625521553199</t>
  </si>
  <si>
    <t>138.58532905578613</t>
  </si>
  <si>
    <t>46.0</t>
  </si>
  <si>
    <t>0.9041040613354222</t>
  </si>
  <si>
    <t>0.9496372385250194</t>
  </si>
  <si>
    <t>0.9732968773956151</t>
  </si>
  <si>
    <t>0.9903508903813895</t>
  </si>
  <si>
    <t>134.002685546875</t>
  </si>
  <si>
    <t>47.0</t>
  </si>
  <si>
    <t>0.9308123450293796</t>
  </si>
  <si>
    <t>0.9641665565539113</t>
  </si>
  <si>
    <t>0.9908089483332202</t>
  </si>
  <si>
    <t>0.991839861444178</t>
  </si>
  <si>
    <t>128.8759708404541</t>
  </si>
  <si>
    <t>48.0</t>
  </si>
  <si>
    <t>0.9290736558152898</t>
  </si>
  <si>
    <t>0.963232951748162</t>
  </si>
  <si>
    <t>0.9925735187537836</t>
  </si>
  <si>
    <t>0.9913926122068994</t>
  </si>
  <si>
    <t>138.96775245666504</t>
  </si>
  <si>
    <t>49.0</t>
  </si>
  <si>
    <t>0.884035716316897</t>
  </si>
  <si>
    <t>0.9384489993057022</t>
  </si>
  <si>
    <t>0.9414085481917287</t>
  </si>
  <si>
    <t>0.9919603085115049</t>
  </si>
  <si>
    <t>140.6862735748291</t>
  </si>
  <si>
    <t>50.0</t>
  </si>
  <si>
    <t>0.9243534122069595</t>
  </si>
  <si>
    <t>0.9606898674052369</t>
  </si>
  <si>
    <t>0.9736917047504102</t>
  </si>
  <si>
    <t>0.9912639524844244</t>
  </si>
  <si>
    <t>129.17590141296387</t>
  </si>
  <si>
    <t>51.0</t>
  </si>
  <si>
    <t>0.92374510501958</t>
  </si>
  <si>
    <t>0.9603612272845035</t>
  </si>
  <si>
    <t>0.9880352005415468</t>
  </si>
  <si>
    <t>0.9911596782445324</t>
  </si>
  <si>
    <t>139.3749713897705</t>
  </si>
  <si>
    <t>52.0</t>
  </si>
  <si>
    <t>0.8879558565337347</t>
  </si>
  <si>
    <t>0.9406531974365242</t>
  </si>
  <si>
    <t>0.9618862347034147</t>
  </si>
  <si>
    <t>0.9919911098287408</t>
  </si>
  <si>
    <t>139.0829086303711</t>
  </si>
  <si>
    <t>53.0</t>
  </si>
  <si>
    <t>0.9058060361952516</t>
  </si>
  <si>
    <t>0.9505752621117745</t>
  </si>
  <si>
    <t>0.950360063819695</t>
  </si>
  <si>
    <t>0.9924744401462888</t>
  </si>
  <si>
    <t>139.83488082885742</t>
  </si>
  <si>
    <t>54.0</t>
  </si>
  <si>
    <t>0.9081136859081683</t>
  </si>
  <si>
    <t>0.9518444237518803</t>
  </si>
  <si>
    <t>0.972199258159152</t>
  </si>
  <si>
    <t>0.9894219581549948</t>
  </si>
  <si>
    <t>138.81874084472656</t>
  </si>
  <si>
    <t>55.0</t>
  </si>
  <si>
    <t>0.9042874605041629</t>
  </si>
  <si>
    <t>0.9497383974421083</t>
  </si>
  <si>
    <t>0.9644007903647648</t>
  </si>
  <si>
    <t>0.9912497962998337</t>
  </si>
  <si>
    <t>136.7170810699463</t>
  </si>
  <si>
    <t>56.0</t>
  </si>
  <si>
    <t>0.8654564513847869</t>
  </si>
  <si>
    <t>0.9278763390507792</t>
  </si>
  <si>
    <t>0.910999211839916</t>
  </si>
  <si>
    <t>0.9935690389196756</t>
  </si>
  <si>
    <t>139.2221450805664</t>
  </si>
  <si>
    <t>57.0</t>
  </si>
  <si>
    <t>0.9085445725554548</t>
  </si>
  <si>
    <t>0.9520810628372747</t>
  </si>
  <si>
    <t>0.9540490496164457</t>
  </si>
  <si>
    <t>0.9927673446758074</t>
  </si>
  <si>
    <t>138.5502815246582</t>
  </si>
  <si>
    <t>58.0</t>
  </si>
  <si>
    <t>0.8956265780910331</t>
  </si>
  <si>
    <t>0.944939882614394</t>
  </si>
  <si>
    <t>0.9384359636402221</t>
  </si>
  <si>
    <t>0.992551898070019</t>
  </si>
  <si>
    <t>134.05704498291016</t>
  </si>
  <si>
    <t>59.0</t>
  </si>
  <si>
    <t>0.9285708733335925</t>
  </si>
  <si>
    <t>0.9629626643987731</t>
  </si>
  <si>
    <t>0.9855861653589433</t>
  </si>
  <si>
    <t>0.9919751815073331</t>
  </si>
  <si>
    <t>138.40150833129883</t>
  </si>
  <si>
    <t>60.0</t>
  </si>
  <si>
    <t>0.9212910409451438</t>
  </si>
  <si>
    <t>0.9590332972061657</t>
  </si>
  <si>
    <t>0.9940559914034107</t>
  </si>
  <si>
    <t>139.41550254821777</t>
  </si>
  <si>
    <t>61.0</t>
  </si>
  <si>
    <t>0.8857799294330024</t>
  </si>
  <si>
    <t>0.9394308589330781</t>
  </si>
  <si>
    <t>0.9614999220646195</t>
  </si>
  <si>
    <t>0.9919917226244788</t>
  </si>
  <si>
    <t>133.52155685424805</t>
  </si>
  <si>
    <t>62.0</t>
  </si>
  <si>
    <t>0.9176342278066847</t>
  </si>
  <si>
    <t>0.9570482363117172</t>
  </si>
  <si>
    <t>0.9673911307708277</t>
  </si>
  <si>
    <t>0.9926451316641649</t>
  </si>
  <si>
    <t>139.65392112731934</t>
  </si>
  <si>
    <t>63.0</t>
  </si>
  <si>
    <t>0.8429209777603103</t>
  </si>
  <si>
    <t>0.9147662736844058</t>
  </si>
  <si>
    <t>0.8869649648029776</t>
  </si>
  <si>
    <t>0.9937995081853533</t>
  </si>
  <si>
    <t>139.44363594055176</t>
  </si>
  <si>
    <t>64.0</t>
  </si>
  <si>
    <t>0.9213867091791732</t>
  </si>
  <si>
    <t>0.9590851282330298</t>
  </si>
  <si>
    <t>0.9745009017973755</t>
  </si>
  <si>
    <t>0.9907707456312613</t>
  </si>
  <si>
    <t>137.129545211792</t>
  </si>
  <si>
    <t>65.0</t>
  </si>
  <si>
    <t>0.8901768221203898</t>
  </si>
  <si>
    <t>0.9418979343126157</t>
  </si>
  <si>
    <t>0.9456011564217107</t>
  </si>
  <si>
    <t>0.99234261394244</t>
  </si>
  <si>
    <t>138.9141082763672</t>
  </si>
  <si>
    <t>66.0</t>
  </si>
  <si>
    <t>0.9241766891830048</t>
  </si>
  <si>
    <t>0.9605944135778979</t>
  </si>
  <si>
    <t>0.9761497336543017</t>
  </si>
  <si>
    <t>0.9938453497316267</t>
  </si>
  <si>
    <t>139.90330696105957</t>
  </si>
  <si>
    <t>67.0</t>
  </si>
  <si>
    <t>0.9285089764513873</t>
  </si>
  <si>
    <t>0.9629293799398528</t>
  </si>
  <si>
    <t>0.9830597383362133</t>
  </si>
  <si>
    <t>0.9917122262074729</t>
  </si>
  <si>
    <t>139.90521430969238</t>
  </si>
  <si>
    <t>68.0</t>
  </si>
  <si>
    <t>0.9141495267054666</t>
  </si>
  <si>
    <t>0.9551495470459433</t>
  </si>
  <si>
    <t>0.9696177253708634</t>
  </si>
  <si>
    <t>0.9916986851463165</t>
  </si>
  <si>
    <t>133.79263877868652</t>
  </si>
  <si>
    <t>69.0</t>
  </si>
  <si>
    <t>0.841372827922375</t>
  </si>
  <si>
    <t>0.9138538542156048</t>
  </si>
  <si>
    <t>0.9332207737090241</t>
  </si>
  <si>
    <t>0.9874152962861722</t>
  </si>
  <si>
    <t>129.17661666870117</t>
  </si>
  <si>
    <t>70.0</t>
  </si>
  <si>
    <t>0.8887877453869858</t>
  </si>
  <si>
    <t>0.9411197711947097</t>
  </si>
  <si>
    <t>0.9308857317015989</t>
  </si>
  <si>
    <t>0.9934163503922382</t>
  </si>
  <si>
    <t>139.40811157226562</t>
  </si>
  <si>
    <t>71.0</t>
  </si>
  <si>
    <t>0.9007489921088332</t>
  </si>
  <si>
    <t>0.9477832116164637</t>
  </si>
  <si>
    <t>0.9600052946147659</t>
  </si>
  <si>
    <t>0.9932015450938221</t>
  </si>
  <si>
    <t>139.4028663635254</t>
  </si>
  <si>
    <t>72.0</t>
  </si>
  <si>
    <t>0.9221367104181014</t>
  </si>
  <si>
    <t>0.9594912842776091</t>
  </si>
  <si>
    <t>0.9664064580325985</t>
  </si>
  <si>
    <t>0.9924371046618168</t>
  </si>
  <si>
    <t>139.9672031402588</t>
  </si>
  <si>
    <t>73.0</t>
  </si>
  <si>
    <t>0.931381151380854</t>
  </si>
  <si>
    <t>0.9644716173345242</t>
  </si>
  <si>
    <t>0.9792966489968883</t>
  </si>
  <si>
    <t>0.9928530619958856</t>
  </si>
  <si>
    <t>139.53089714050293</t>
  </si>
  <si>
    <t>74.0</t>
  </si>
  <si>
    <t>0.8915455719569672</t>
  </si>
  <si>
    <t>0.9426635923284538</t>
  </si>
  <si>
    <t>0.9441858466650435</t>
  </si>
  <si>
    <t>0.990928934334066</t>
  </si>
  <si>
    <t>DatiEsterni_1</t>
  </si>
  <si>
    <t>MOBILESAM</t>
  </si>
  <si>
    <t>GPU</t>
  </si>
  <si>
    <t>CPU</t>
  </si>
  <si>
    <t>4413.034915924072</t>
  </si>
  <si>
    <t>0.891789809390604</t>
  </si>
  <si>
    <t>0.9428000985774136</t>
  </si>
  <si>
    <t>0.9590605880044761</t>
  </si>
  <si>
    <t>0.9886043044794601</t>
  </si>
  <si>
    <t>2228.355646133423</t>
  </si>
  <si>
    <t>0.9254750566790192</t>
  </si>
  <si>
    <t>0.9612952953804977</t>
  </si>
  <si>
    <t>0.9826657772363855</t>
  </si>
  <si>
    <t>0.9932369736091728</t>
  </si>
  <si>
    <t>1886.7592811584473</t>
  </si>
  <si>
    <t>0.8966919515909995</t>
  </si>
  <si>
    <t>0.9455325107894601</t>
  </si>
  <si>
    <t>0.9546144383916162</t>
  </si>
  <si>
    <t>0.9912419778596507</t>
  </si>
  <si>
    <t>1698.8353729248047</t>
  </si>
  <si>
    <t>0.9212924342670835</t>
  </si>
  <si>
    <t>0.9590340521155797</t>
  </si>
  <si>
    <t>0.9809807298517785</t>
  </si>
  <si>
    <t>0.9893962228136022</t>
  </si>
  <si>
    <t>1642.5743103027344</t>
  </si>
  <si>
    <t>0.9236331096196868</t>
  </si>
  <si>
    <t>0.9603006987151457</t>
  </si>
  <si>
    <t>0.9912510684068493</t>
  </si>
  <si>
    <t>0.9919286271677984</t>
  </si>
  <si>
    <t>1621.1738586425781</t>
  </si>
  <si>
    <t>0.9045246497327137</t>
  </si>
  <si>
    <t>0.9498691968724661</t>
  </si>
  <si>
    <t>0.9703225613001402</t>
  </si>
  <si>
    <t>0.9893965634987844</t>
  </si>
  <si>
    <t>1720.0164794921875</t>
  </si>
  <si>
    <t>0.9090474877059381</t>
  </si>
  <si>
    <t>0.9523571242309129</t>
  </si>
  <si>
    <t>0.9687430550079218</t>
  </si>
  <si>
    <t>0.9899239566730137</t>
  </si>
  <si>
    <t>1746.5646266937256</t>
  </si>
  <si>
    <t>0.8737673055170546</t>
  </si>
  <si>
    <t>0.9326316057969043</t>
  </si>
  <si>
    <t>0.9468609459027856</t>
  </si>
  <si>
    <t>0.9896100582269877</t>
  </si>
  <si>
    <t>2362.230062484741</t>
  </si>
  <si>
    <t>0.9120012616306576</t>
  </si>
  <si>
    <t>0.9539755856153085</t>
  </si>
  <si>
    <t>0.9733505385996409</t>
  </si>
  <si>
    <t>0.9909147788285012</t>
  </si>
  <si>
    <t>1605.4530143737793</t>
  </si>
  <si>
    <t>0.9171109325932958</t>
  </si>
  <si>
    <t>0.9567635518646909</t>
  </si>
  <si>
    <t>0.981622053535757</t>
  </si>
  <si>
    <t>0.9913234730105267</t>
  </si>
  <si>
    <t>1760.910987854004</t>
  </si>
  <si>
    <t>0.8961181156840486</t>
  </si>
  <si>
    <t>0.9452133896846006</t>
  </si>
  <si>
    <t>0.9436989353800446</t>
  </si>
  <si>
    <t>0.9917262907967386</t>
  </si>
  <si>
    <t>2273.8497257232666</t>
  </si>
  <si>
    <t>0.8923501098812204</t>
  </si>
  <si>
    <t>0.9431131218495628</t>
  </si>
  <si>
    <t>0.9513518563769386</t>
  </si>
  <si>
    <t>0.9898838178471445</t>
  </si>
  <si>
    <t>1718.0559635162354</t>
  </si>
  <si>
    <t>0.9167128257678566</t>
  </si>
  <si>
    <t>0.9565468686219191</t>
  </si>
  <si>
    <t>0.9710943230159894</t>
  </si>
  <si>
    <t>0.991133873252097</t>
  </si>
  <si>
    <t>1802.0546436309814</t>
  </si>
  <si>
    <t>0.9158880252906461</t>
  </si>
  <si>
    <t>0.9560976562309303</t>
  </si>
  <si>
    <t>0.9869978027294535</t>
  </si>
  <si>
    <t>0.9918861298429893</t>
  </si>
  <si>
    <t>1810.0206851959229</t>
  </si>
  <si>
    <t>0.8957038616705525</t>
  </si>
  <si>
    <t>0.9449828950406112</t>
  </si>
  <si>
    <t>0.9541424381643413</t>
  </si>
  <si>
    <t>0.9917290098237485</t>
  </si>
  <si>
    <t>2703.235864639282</t>
  </si>
  <si>
    <t>0.8804848410583178</t>
  </si>
  <si>
    <t>0.9364444975401023</t>
  </si>
  <si>
    <t>0.9631280298460783</t>
  </si>
  <si>
    <t>0.9912382044731766</t>
  </si>
  <si>
    <t>2073.2686519622803</t>
  </si>
  <si>
    <t>0.8943605030637792</t>
  </si>
  <si>
    <t>0.9442347447777927</t>
  </si>
  <si>
    <t>0.968295486905804</t>
  </si>
  <si>
    <t>0.9917820255136758</t>
  </si>
  <si>
    <t>2063.7149810791016</t>
  </si>
  <si>
    <t>0.9185798122970857</t>
  </si>
  <si>
    <t>0.9575622618454266</t>
  </si>
  <si>
    <t>0.9827727036459494</t>
  </si>
  <si>
    <t>0.9908666739273194</t>
  </si>
  <si>
    <t>2009.6831321716309</t>
  </si>
  <si>
    <t>0.9109485765725217</t>
  </si>
  <si>
    <t>0.9533993616996219</t>
  </si>
  <si>
    <t>0.9741372394872371</t>
  </si>
  <si>
    <t>0.9906409443262281</t>
  </si>
  <si>
    <t>1788.4948253631592</t>
  </si>
  <si>
    <t>0.8863619908774244</t>
  </si>
  <si>
    <t>0.9397581112892771</t>
  </si>
  <si>
    <t>0.956939004160189</t>
  </si>
  <si>
    <t>0.9901782337747486</t>
  </si>
  <si>
    <t>1763.1151676177979</t>
  </si>
  <si>
    <t>0.9166332336421329</t>
  </si>
  <si>
    <t>0.9565035370906894</t>
  </si>
  <si>
    <t>0.9867199309004535</t>
  </si>
  <si>
    <t>0.9917713643479308</t>
  </si>
  <si>
    <t>1702.009916305542</t>
  </si>
  <si>
    <t>0.9227340975714388</t>
  </si>
  <si>
    <t>0.9598145669096138</t>
  </si>
  <si>
    <t>0.9903481322953881</t>
  </si>
  <si>
    <t>0.9907719697238141</t>
  </si>
  <si>
    <t>2428.670883178711</t>
  </si>
  <si>
    <t>0.8941381492816827</t>
  </si>
  <si>
    <t>0.9441108079901862</t>
  </si>
  <si>
    <t>0.9679747702762317</t>
  </si>
  <si>
    <t>0.990660644243579</t>
  </si>
  <si>
    <t>1851.5665531158447</t>
  </si>
  <si>
    <t>0.8022194281965779</t>
  </si>
  <si>
    <t>0.8902572191215724</t>
  </si>
  <si>
    <t>0.94776126288208</t>
  </si>
  <si>
    <t>0.9790850563025094</t>
  </si>
  <si>
    <t>2321.6779232025146</t>
  </si>
  <si>
    <t>0.9186759540394118</t>
  </si>
  <si>
    <t>0.9576144967109346</t>
  </si>
  <si>
    <t>0.9771867331591862</t>
  </si>
  <si>
    <t>0.9912756466279062</t>
  </si>
  <si>
    <t>2227.7488708496094</t>
  </si>
  <si>
    <t>0.8951169970154945</t>
  </si>
  <si>
    <t>0.944656185792392</t>
  </si>
  <si>
    <t>0.9617181529540602</t>
  </si>
  <si>
    <t>0.9897531489753691</t>
  </si>
  <si>
    <t>2065.3631687164307</t>
  </si>
  <si>
    <t>0.8954469597684351</t>
  </si>
  <si>
    <t>0.9448399019066521</t>
  </si>
  <si>
    <t>0.9670002952765927</t>
  </si>
  <si>
    <t>0.9917421027544212</t>
  </si>
  <si>
    <t>2117.927074432373</t>
  </si>
  <si>
    <t>0.9146373433282083</t>
  </si>
  <si>
    <t>0.9554157569477852</t>
  </si>
  <si>
    <t>0.9756339039413521</t>
  </si>
  <si>
    <t>0.9903695562727214</t>
  </si>
  <si>
    <t>1790.0376319885254</t>
  </si>
  <si>
    <t>0.911198738170347</t>
  </si>
  <si>
    <t>0.9535363538829743</t>
  </si>
  <si>
    <t>0.9729382357112466</t>
  </si>
  <si>
    <t>0.9918312387791741</t>
  </si>
  <si>
    <t>1644.4892883300781</t>
  </si>
  <si>
    <t>0.7503428582163858</t>
  </si>
  <si>
    <t>0.8573667206903584</t>
  </si>
  <si>
    <t>0.9488814096218571</t>
  </si>
  <si>
    <t>0.9637732150350048</t>
  </si>
  <si>
    <t>1816.6148662567139</t>
  </si>
  <si>
    <t>0.9101131940937045</t>
  </si>
  <si>
    <t>0.9529416339386398</t>
  </si>
  <si>
    <t>0.9710124255103335</t>
  </si>
  <si>
    <t>0.9908454613263022</t>
  </si>
  <si>
    <t>1756.3648223876953</t>
  </si>
  <si>
    <t>0.9010043595118375</t>
  </si>
  <si>
    <t>0.9479245589349496</t>
  </si>
  <si>
    <t>0.9607476122892541</t>
  </si>
  <si>
    <t>0.9892868813869119</t>
  </si>
  <si>
    <t>1726.0754108428955</t>
  </si>
  <si>
    <t>0.9054686617274386</t>
  </si>
  <si>
    <t>0.9503894552708821</t>
  </si>
  <si>
    <t>0.9769760617222673</t>
  </si>
  <si>
    <t>0.990287435782376</t>
  </si>
  <si>
    <t>1883.9225769042969</t>
  </si>
  <si>
    <t>0.8758646116360896</t>
  </si>
  <si>
    <t>0.9338249745776471</t>
  </si>
  <si>
    <t>0.9563311134253385</t>
  </si>
  <si>
    <t>0.9887638645541562</t>
  </si>
  <si>
    <t>1992.541790008545</t>
  </si>
  <si>
    <t>0.9290758925668205</t>
  </si>
  <si>
    <t>0.9632341538731231</t>
  </si>
  <si>
    <t>0.9918769179499285</t>
  </si>
  <si>
    <t>0.9892365418078983</t>
  </si>
  <si>
    <t>1875.4613399505615</t>
  </si>
  <si>
    <t>0.919665656694344</t>
  </si>
  <si>
    <t>0.9581519088881386</t>
  </si>
  <si>
    <t>0.9749953020764822</t>
  </si>
  <si>
    <t>0.9883352613265808</t>
  </si>
  <si>
    <t>1839.9181365966797</t>
  </si>
  <si>
    <t>0.9042280021282666</t>
  </si>
  <si>
    <t>0.9497056036542402</t>
  </si>
  <si>
    <t>0.9734762323797507</t>
  </si>
  <si>
    <t>0.9900605310962615</t>
  </si>
  <si>
    <t>1675.4252910614014</t>
  </si>
  <si>
    <t>0.8758990826282023</t>
  </si>
  <si>
    <t>0.9338445663090107</t>
  </si>
  <si>
    <t>0.9215396456717049</t>
  </si>
  <si>
    <t>0.9915166180027346</t>
  </si>
  <si>
    <t>2093.0123329162598</t>
  </si>
  <si>
    <t>0.7566481757895753</t>
  </si>
  <si>
    <t>0.8614680915824005</t>
  </si>
  <si>
    <t>0.9634445001276511</t>
  </si>
  <si>
    <t>0.9693430022093318</t>
  </si>
  <si>
    <t>1607.0446968078613</t>
  </si>
  <si>
    <t>0.8958428362458122</t>
  </si>
  <si>
    <t>0.9450602329671789</t>
  </si>
  <si>
    <t>0.9638686749026908</t>
  </si>
  <si>
    <t>0.9903546446889282</t>
  </si>
  <si>
    <t>2048.6576557159424</t>
  </si>
  <si>
    <t>0.9273919176831799</t>
  </si>
  <si>
    <t>0.9623283247944203</t>
  </si>
  <si>
    <t>0.9785911299855523</t>
  </si>
  <si>
    <t>0.9916996697859642</t>
  </si>
  <si>
    <t>2432.0719242095947</t>
  </si>
  <si>
    <t>0.9224042389677628</t>
  </si>
  <si>
    <t>0.9596360851378988</t>
  </si>
  <si>
    <t>0.9853693525528017</t>
  </si>
  <si>
    <t>0.9915324914778209</t>
  </si>
  <si>
    <t>2006.0858726501465</t>
  </si>
  <si>
    <t>0.9339337667218842</t>
  </si>
  <si>
    <t>0.9658384199009559</t>
  </si>
  <si>
    <t>0.986045076094385</t>
  </si>
  <si>
    <t>0.9916788585142933</t>
  </si>
  <si>
    <t>1890.2013301849365</t>
  </si>
  <si>
    <t>0.910220776349452</t>
  </si>
  <si>
    <t>0.9530006035102804</t>
  </si>
  <si>
    <t>0.9646844193013875</t>
  </si>
  <si>
    <t>0.9923042314887168</t>
  </si>
  <si>
    <t>1929.7254085540771</t>
  </si>
  <si>
    <t>0.889735486713563</t>
  </si>
  <si>
    <t>0.9416508214712114</t>
  </si>
  <si>
    <t>0.9602685928391641</t>
  </si>
  <si>
    <t>0.989565155454254</t>
  </si>
  <si>
    <t>1870.2521324157715</t>
  </si>
  <si>
    <t>0.8975778851661991</t>
  </si>
  <si>
    <t>0.9460248163543336</t>
  </si>
  <si>
    <t>0.9492726044101999</t>
  </si>
  <si>
    <t>0.991938719044518</t>
  </si>
  <si>
    <t>2331.8662643432617</t>
  </si>
  <si>
    <t>0.9033566325055191</t>
  </si>
  <si>
    <t>0.9492247717301079</t>
  </si>
  <si>
    <t>0.9712294590925981</t>
  </si>
  <si>
    <t>0.989191724709694</t>
  </si>
  <si>
    <t>2023.6749649047852</t>
  </si>
  <si>
    <t>0.8916992881835195</t>
  </si>
  <si>
    <t>0.9427495096641524</t>
  </si>
  <si>
    <t>0.9785213351747888</t>
  </si>
  <si>
    <t>0.9884138858356366</t>
  </si>
  <si>
    <t>1875.9410381317139</t>
  </si>
  <si>
    <t>0.8657433206010192</t>
  </si>
  <si>
    <t>0.9280411844884793</t>
  </si>
  <si>
    <t>0.9513460553563874</t>
  </si>
  <si>
    <t>0.990736974293826</t>
  </si>
  <si>
    <t>2111.5171909332275</t>
  </si>
  <si>
    <t>0.909018699321529</t>
  </si>
  <si>
    <t>0.9523413255664777</t>
  </si>
  <si>
    <t>0.9834433766345368</t>
  </si>
  <si>
    <t>0.9874215289558977</t>
  </si>
  <si>
    <t>1856.8696975708008</t>
  </si>
  <si>
    <t>0.9146996775862756</t>
  </si>
  <si>
    <t>0.9554497640479803</t>
  </si>
  <si>
    <t>0.9751171158938149</t>
  </si>
  <si>
    <t>0.9916378724977007</t>
  </si>
  <si>
    <t>1745.4466819763184</t>
  </si>
  <si>
    <t>0.9238275936135176</t>
  </si>
  <si>
    <t>0.9604058042210487</t>
  </si>
  <si>
    <t>0.974377756297952</t>
  </si>
  <si>
    <t>0.9920908320889983</t>
  </si>
  <si>
    <t>1825.0319957733154</t>
  </si>
  <si>
    <t>0.9053054572805527</t>
  </si>
  <si>
    <t>0.9502995478454122</t>
  </si>
  <si>
    <t>0.9709951148094477</t>
  </si>
  <si>
    <t>0.9893801478514314</t>
  </si>
  <si>
    <t>1762.1710300445557</t>
  </si>
  <si>
    <t>0.9353943805761463</t>
  </si>
  <si>
    <t>0.9666188865317356</t>
  </si>
  <si>
    <t>0.9885771919125581</t>
  </si>
  <si>
    <t>0.9921014387285836</t>
  </si>
  <si>
    <t>1755.7709217071533</t>
  </si>
  <si>
    <t>0.9044624677035744</t>
  </si>
  <si>
    <t>0.9498349093686126</t>
  </si>
  <si>
    <t>0.9699791725922324</t>
  </si>
  <si>
    <t>0.9915973541510348</t>
  </si>
  <si>
    <t>1839.2117023468018</t>
  </si>
  <si>
    <t>0.8901474926253687</t>
  </si>
  <si>
    <t>0.9418815157001061</t>
  </si>
  <si>
    <t>0.9838502836524876</t>
  </si>
  <si>
    <t>0.9898741534788127</t>
  </si>
  <si>
    <t>1647.9370594024658</t>
  </si>
  <si>
    <t>0.9055020879795244</t>
  </si>
  <si>
    <t>0.9504078675029555</t>
  </si>
  <si>
    <t>0.965087898414319</t>
  </si>
  <si>
    <t>0.9910637302264722</t>
  </si>
  <si>
    <t>1896.9805240631104</t>
  </si>
  <si>
    <t>0.9078637629302807</t>
  </si>
  <si>
    <t>0.9517071193132745</t>
  </si>
  <si>
    <t>0.9602068617199115</t>
  </si>
  <si>
    <t>0.9910737787156153</t>
  </si>
  <si>
    <t>1735.4660034179688</t>
  </si>
  <si>
    <t>0.8888305948377968</t>
  </si>
  <si>
    <t>0.9411437926376082</t>
  </si>
  <si>
    <t>0.9674165080463748</t>
  </si>
  <si>
    <t>0.9890471127421768</t>
  </si>
  <si>
    <t>1969.2184925079346</t>
  </si>
  <si>
    <t>0.9025858437623143</t>
  </si>
  <si>
    <t>0.9487990743981088</t>
  </si>
  <si>
    <t>0.9719139347560485</t>
  </si>
  <si>
    <t>0.9884865372868847</t>
  </si>
  <si>
    <t>1780.6074619293213</t>
  </si>
  <si>
    <t>0.8976068825606732</t>
  </si>
  <si>
    <t>0.9460409221844963</t>
  </si>
  <si>
    <t>0.970795875869775</t>
  </si>
  <si>
    <t>0.9915516912930954</t>
  </si>
  <si>
    <t>1570.6963539123535</t>
  </si>
  <si>
    <t>0.8898654747066661</t>
  </si>
  <si>
    <t>0.9417236164333717</t>
  </si>
  <si>
    <t>0.9708116472077648</t>
  </si>
  <si>
    <t>0.9873562644061463</t>
  </si>
  <si>
    <t>1714.4312858581543</t>
  </si>
  <si>
    <t>0.9068712062368747</t>
  </si>
  <si>
    <t>0.9511614662497784</t>
  </si>
  <si>
    <t>0.9490531671483622</t>
  </si>
  <si>
    <t>0.9932511532010064</t>
  </si>
  <si>
    <t>1705.1794528961182</t>
  </si>
  <si>
    <t>0.8962948016620333</t>
  </si>
  <si>
    <t>0.9453116687093838</t>
  </si>
  <si>
    <t>0.9576260359943151</t>
  </si>
  <si>
    <t>0.9907184182538497</t>
  </si>
  <si>
    <t>1645.8930969238281</t>
  </si>
  <si>
    <t>0.881499179801726</t>
  </si>
  <si>
    <t>0.9370178730501696</t>
  </si>
  <si>
    <t>0.9509776576611235</t>
  </si>
  <si>
    <t>0.9913243976570051</t>
  </si>
  <si>
    <t>2027.3034572601318</t>
  </si>
  <si>
    <t>0.915131115234684</t>
  </si>
  <si>
    <t>0.9556850786402079</t>
  </si>
  <si>
    <t>0.9815323376943964</t>
  </si>
  <si>
    <t>0.9897643381968868</t>
  </si>
  <si>
    <t>1960.7532024383545</t>
  </si>
  <si>
    <t>0.9159372276870177</t>
  </si>
  <si>
    <t>0.9561244642579101</t>
  </si>
  <si>
    <t>0.993790565748454</t>
  </si>
  <si>
    <t>0.9892834207140663</t>
  </si>
  <si>
    <t>1950.2286911010742</t>
  </si>
  <si>
    <t>0.8464150307523801</t>
  </si>
  <si>
    <t>0.916819909560075</t>
  </si>
  <si>
    <t>0.9031744747417536</t>
  </si>
  <si>
    <t>0.992042417679723</t>
  </si>
  <si>
    <t>1946.9242095947266</t>
  </si>
  <si>
    <t>0.8892941428877923</t>
  </si>
  <si>
    <t>0.941403588462412</t>
  </si>
  <si>
    <t>0.9657502329916123</t>
  </si>
  <si>
    <t>0.9914919216225507</t>
  </si>
  <si>
    <t>1904.4740200042725</t>
  </si>
  <si>
    <t>0.9072626794414833</t>
  </si>
  <si>
    <t>0.9513767445050235</t>
  </si>
  <si>
    <t>0.9721034854876459</t>
  </si>
  <si>
    <t>0.9887412101074106</t>
  </si>
  <si>
    <t>1890.1619911193848</t>
  </si>
  <si>
    <t>0.9123355561898336</t>
  </si>
  <si>
    <t>0.9541584406949843</t>
  </si>
  <si>
    <t>0.9718818887299514</t>
  </si>
  <si>
    <t>0.9895504306505949</t>
  </si>
  <si>
    <t>1955.9521675109863</t>
  </si>
  <si>
    <t>0.8996650553447332</t>
  </si>
  <si>
    <t>0.9471828234282812</t>
  </si>
  <si>
    <t>0.9717002876068505</t>
  </si>
  <si>
    <t>0.991578721040655</t>
  </si>
  <si>
    <t>1910.402774810791</t>
  </si>
  <si>
    <t>0.938786891971589</t>
  </si>
  <si>
    <t>0.9684271085791373</t>
  </si>
  <si>
    <t>0.9956488336834662</t>
  </si>
  <si>
    <t>0.9901174612224886</t>
  </si>
  <si>
    <t>2035.0968837738037</t>
  </si>
  <si>
    <t>0.894847914476847</t>
  </si>
  <si>
    <t>0.9445063190983406</t>
  </si>
  <si>
    <t>0.9617479639197828</t>
  </si>
  <si>
    <t>0.9908635189311483</t>
  </si>
  <si>
    <t>1971.414566040039</t>
  </si>
  <si>
    <t>0.8950957763568027</t>
  </si>
  <si>
    <t>0.9446443683997497</t>
  </si>
  <si>
    <t>0.9687846700729816</t>
  </si>
  <si>
    <t>0.9880927039975897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</si>
</sst>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e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E30BB327-819E-4D82-BF7B-B68166FA8D1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firstBackgroundRefresh="1" connectionId="2" xr16:uid="{B6EED093-1B96-4A34-8D40-72382EDB71F2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5" xr16:uid="{B5CEFCC4-831B-4394-8C22-51298398204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09E8B5A9-1376-483E-898A-426E2169859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6" xr16:uid="{DD54F3E2-60E3-45EC-AC8F-B26AE9BB0A0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0F3C40-6F8F-4F0D-B914-6CE524CA49AA}" name="TimeDfBBoxStudent__3" displayName="TimeDfBBoxStudent__3" ref="A1:F77" tableType="queryTable" totalsRowShown="0">
  <autoFilter ref="A1:F77" xr:uid="{D90F3C40-6F8F-4F0D-B914-6CE524CA49AA}"/>
  <tableColumns count="6">
    <tableColumn id="1" xr3:uid="{7BEF034A-9608-4E52-8158-0E58D90718C4}" uniqueName="1" name="Column1" queryTableFieldId="1" dataDxfId="31"/>
    <tableColumn id="2" xr3:uid="{C614D180-85CC-4F89-A5D2-93AB081F3007}" uniqueName="2" name="Column2" queryTableFieldId="2" dataDxfId="30"/>
    <tableColumn id="3" xr3:uid="{68744E12-61BF-478E-AE98-6668B6B17086}" uniqueName="3" name="Column3" queryTableFieldId="3" dataDxfId="29"/>
    <tableColumn id="4" xr3:uid="{45D95543-406A-480A-918B-590B5291E8A7}" uniqueName="4" name="Column4" queryTableFieldId="4" dataDxfId="28"/>
    <tableColumn id="5" xr3:uid="{F01EAD9C-0A61-4AF2-A91B-6276AE024412}" uniqueName="5" name="Column5" queryTableFieldId="5" dataDxfId="27"/>
    <tableColumn id="6" xr3:uid="{6A97CB33-53FF-4E9C-8F90-F8C5D75B60FF}" uniqueName="6" name="Column6" queryTableFieldId="6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EE3249-FA47-43FA-A5B3-42E2D1F6615D}" name="TimeDfBBoxStudent__5" displayName="TimeDfBBoxStudent__5" ref="A1:F77" tableType="queryTable" totalsRowShown="0">
  <autoFilter ref="A1:F77" xr:uid="{03EE3249-FA47-43FA-A5B3-42E2D1F6615D}"/>
  <tableColumns count="6">
    <tableColumn id="1" xr3:uid="{459A1449-A9CF-4C53-8FFE-F25AB16DEDC2}" uniqueName="1" name="Column1" queryTableFieldId="1" dataDxfId="11"/>
    <tableColumn id="2" xr3:uid="{9D55C287-354E-4C25-A795-F9072E54AD65}" uniqueName="2" name="Column2" queryTableFieldId="2" dataDxfId="10"/>
    <tableColumn id="3" xr3:uid="{4EC9F038-2BD6-4C14-B068-7FBC9312923F}" uniqueName="3" name="Column3" queryTableFieldId="3" dataDxfId="9"/>
    <tableColumn id="4" xr3:uid="{02EDB90E-3333-45CD-A306-49A795397175}" uniqueName="4" name="Column4" queryTableFieldId="4" dataDxfId="8"/>
    <tableColumn id="5" xr3:uid="{5DE2B14C-1AA7-4484-AA6F-0B0F160D4C7E}" uniqueName="5" name="Column5" queryTableFieldId="5" dataDxfId="7"/>
    <tableColumn id="6" xr3:uid="{B896890C-1E86-4711-8F67-8958BE3B5E72}" uniqueName="6" name="Column6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858274-4C8C-4AA2-ABBC-2DCBD572D609}" name="TimeDfBBoxStudent__34" displayName="TimeDfBBoxStudent__34" ref="B4:G81" tableType="queryTable" totalsRowCount="1" headerRowDxfId="20" dataDxfId="19">
  <autoFilter ref="B4:G80" xr:uid="{A2858274-4C8C-4AA2-ABBC-2DCBD572D609}"/>
  <tableColumns count="6">
    <tableColumn id="1" xr3:uid="{6D1D7E73-C180-4CA8-BC40-DDBB302AE215}" uniqueName="1" name="Column1" totalsRowFunction="average" queryTableFieldId="1" dataDxfId="25" totalsRowDxfId="17"/>
    <tableColumn id="2" xr3:uid="{28285B91-2C66-430D-92BE-C4D266E26FAE}" uniqueName="2" name="Column2" queryTableFieldId="2" dataDxfId="24" totalsRowDxfId="16"/>
    <tableColumn id="3" xr3:uid="{E29E1A81-3442-4758-A433-338073177BC1}" uniqueName="3" name="Column3" totalsRowFunction="custom" queryTableFieldId="3" dataDxfId="18" totalsRowDxfId="15">
      <totalsRowFormula>AVERAGE(D6:D80)</totalsRowFormula>
    </tableColumn>
    <tableColumn id="4" xr3:uid="{7146C514-8818-4D3A-9371-0A8A4678971D}" uniqueName="4" name="Column4" totalsRowFunction="average" queryTableFieldId="4" dataDxfId="23" totalsRowDxfId="14"/>
    <tableColumn id="5" xr3:uid="{33452FC8-F206-4430-A6F0-299AD0C7E66A}" uniqueName="5" name="Column5" totalsRowFunction="average" queryTableFieldId="5" dataDxfId="22" totalsRowDxfId="13"/>
    <tableColumn id="6" xr3:uid="{16BBE855-129C-44E9-9044-97D67138E840}" uniqueName="6" name="Column6" totalsRowFunction="average" queryTableFieldId="6" dataDxfId="21" totalsRow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59BF73-9536-4593-9FC6-FE362B8666EF}" name="TimeDfBBoxStudent__56" displayName="TimeDfBBoxStudent__56" ref="J4:O80" tableType="queryTable" totalsRowShown="0">
  <autoFilter ref="J4:O80" xr:uid="{4559BF73-9536-4593-9FC6-FE362B8666EF}"/>
  <tableColumns count="6">
    <tableColumn id="1" xr3:uid="{8C6091AC-2E7E-451B-B9D1-960F4D1D3E47}" uniqueName="1" name="Column1" queryTableFieldId="1" dataDxfId="5"/>
    <tableColumn id="2" xr3:uid="{6E790AE1-7F49-406F-AFDF-6DE196ACB434}" uniqueName="2" name="Column2" queryTableFieldId="2" dataDxfId="4"/>
    <tableColumn id="3" xr3:uid="{36B4F11B-C66C-4F8D-B28E-6BBE0E7A4E5F}" uniqueName="3" name="Column3" queryTableFieldId="3" dataDxfId="3"/>
    <tableColumn id="4" xr3:uid="{1B9F946E-99FA-4554-9792-28CC3A91788B}" uniqueName="4" name="Column4" queryTableFieldId="4" dataDxfId="2"/>
    <tableColumn id="5" xr3:uid="{E9E4227B-0F31-488B-A6BE-76036337646D}" uniqueName="5" name="Column5" queryTableFieldId="5" dataDxfId="1"/>
    <tableColumn id="6" xr3:uid="{2DEDACBD-0FFA-4B59-AA29-C0D5641EEBC6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274B-5457-40FD-AEC0-66EE231B33AC}">
  <dimension ref="A1:F77"/>
  <sheetViews>
    <sheetView topLeftCell="A40" workbookViewId="0">
      <selection sqref="A1:F77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x14ac:dyDescent="0.3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 x14ac:dyDescent="0.3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 x14ac:dyDescent="0.3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6" x14ac:dyDescent="0.3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 spans="1:6" x14ac:dyDescent="0.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 spans="1:6" x14ac:dyDescent="0.3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 spans="1:6" x14ac:dyDescent="0.3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 spans="1:6" x14ac:dyDescent="0.3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</row>
    <row r="17" spans="1:6" x14ac:dyDescent="0.3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</row>
    <row r="18" spans="1:6" x14ac:dyDescent="0.3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</row>
    <row r="19" spans="1:6" x14ac:dyDescent="0.3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</row>
    <row r="20" spans="1:6" x14ac:dyDescent="0.3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</row>
    <row r="21" spans="1:6" x14ac:dyDescent="0.3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</row>
    <row r="22" spans="1:6" x14ac:dyDescent="0.3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</row>
    <row r="23" spans="1:6" x14ac:dyDescent="0.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</row>
    <row r="24" spans="1:6" x14ac:dyDescent="0.3">
      <c r="A24" s="1" t="s">
        <v>138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</row>
    <row r="25" spans="1:6" x14ac:dyDescent="0.3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</row>
    <row r="26" spans="1:6" x14ac:dyDescent="0.3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 spans="1:6" x14ac:dyDescent="0.3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</row>
    <row r="28" spans="1:6" x14ac:dyDescent="0.3">
      <c r="A28" s="1" t="s">
        <v>162</v>
      </c>
      <c r="B28" s="1" t="s">
        <v>163</v>
      </c>
      <c r="C28" s="1" t="s">
        <v>164</v>
      </c>
      <c r="D28" s="1" t="s">
        <v>165</v>
      </c>
      <c r="E28" s="1" t="s">
        <v>166</v>
      </c>
      <c r="F28" s="1" t="s">
        <v>167</v>
      </c>
    </row>
    <row r="29" spans="1:6" x14ac:dyDescent="0.3">
      <c r="A29" s="1" t="s">
        <v>168</v>
      </c>
      <c r="B29" s="1" t="s">
        <v>169</v>
      </c>
      <c r="C29" s="1" t="s">
        <v>170</v>
      </c>
      <c r="D29" s="1" t="s">
        <v>171</v>
      </c>
      <c r="E29" s="1" t="s">
        <v>172</v>
      </c>
      <c r="F29" s="1" t="s">
        <v>173</v>
      </c>
    </row>
    <row r="30" spans="1:6" x14ac:dyDescent="0.3">
      <c r="A30" s="1" t="s">
        <v>174</v>
      </c>
      <c r="B30" s="1" t="s">
        <v>175</v>
      </c>
      <c r="C30" s="1" t="s">
        <v>176</v>
      </c>
      <c r="D30" s="1" t="s">
        <v>177</v>
      </c>
      <c r="E30" s="1" t="s">
        <v>178</v>
      </c>
      <c r="F30" s="1" t="s">
        <v>179</v>
      </c>
    </row>
    <row r="31" spans="1:6" x14ac:dyDescent="0.3">
      <c r="A31" s="1" t="s">
        <v>180</v>
      </c>
      <c r="B31" s="1" t="s">
        <v>181</v>
      </c>
      <c r="C31" s="1" t="s">
        <v>182</v>
      </c>
      <c r="D31" s="1" t="s">
        <v>183</v>
      </c>
      <c r="E31" s="1" t="s">
        <v>184</v>
      </c>
      <c r="F31" s="1" t="s">
        <v>185</v>
      </c>
    </row>
    <row r="32" spans="1:6" x14ac:dyDescent="0.3">
      <c r="A32" s="1" t="s">
        <v>186</v>
      </c>
      <c r="B32" s="1" t="s">
        <v>187</v>
      </c>
      <c r="C32" s="1" t="s">
        <v>188</v>
      </c>
      <c r="D32" s="1" t="s">
        <v>189</v>
      </c>
      <c r="E32" s="1" t="s">
        <v>190</v>
      </c>
      <c r="F32" s="1" t="s">
        <v>191</v>
      </c>
    </row>
    <row r="33" spans="1:6" x14ac:dyDescent="0.3">
      <c r="A33" s="1" t="s">
        <v>192</v>
      </c>
      <c r="B33" s="1" t="s">
        <v>193</v>
      </c>
      <c r="C33" s="1" t="s">
        <v>194</v>
      </c>
      <c r="D33" s="1" t="s">
        <v>195</v>
      </c>
      <c r="E33" s="1" t="s">
        <v>196</v>
      </c>
      <c r="F33" s="1" t="s">
        <v>197</v>
      </c>
    </row>
    <row r="34" spans="1:6" x14ac:dyDescent="0.3">
      <c r="A34" s="1" t="s">
        <v>198</v>
      </c>
      <c r="B34" s="1" t="s">
        <v>199</v>
      </c>
      <c r="C34" s="1" t="s">
        <v>200</v>
      </c>
      <c r="D34" s="1" t="s">
        <v>201</v>
      </c>
      <c r="E34" s="1" t="s">
        <v>202</v>
      </c>
      <c r="F34" s="1" t="s">
        <v>203</v>
      </c>
    </row>
    <row r="35" spans="1:6" x14ac:dyDescent="0.3">
      <c r="A35" s="1" t="s">
        <v>204</v>
      </c>
      <c r="B35" s="1" t="s">
        <v>205</v>
      </c>
      <c r="C35" s="1" t="s">
        <v>206</v>
      </c>
      <c r="D35" s="1" t="s">
        <v>207</v>
      </c>
      <c r="E35" s="1" t="s">
        <v>208</v>
      </c>
      <c r="F35" s="1" t="s">
        <v>209</v>
      </c>
    </row>
    <row r="36" spans="1:6" x14ac:dyDescent="0.3">
      <c r="A36" s="1" t="s">
        <v>210</v>
      </c>
      <c r="B36" s="1" t="s">
        <v>211</v>
      </c>
      <c r="C36" s="1" t="s">
        <v>212</v>
      </c>
      <c r="D36" s="1" t="s">
        <v>213</v>
      </c>
      <c r="E36" s="1" t="s">
        <v>214</v>
      </c>
      <c r="F36" s="1" t="s">
        <v>215</v>
      </c>
    </row>
    <row r="37" spans="1:6" x14ac:dyDescent="0.3">
      <c r="A37" s="1" t="s">
        <v>216</v>
      </c>
      <c r="B37" s="1" t="s">
        <v>217</v>
      </c>
      <c r="C37" s="1" t="s">
        <v>218</v>
      </c>
      <c r="D37" s="1" t="s">
        <v>219</v>
      </c>
      <c r="E37" s="1" t="s">
        <v>220</v>
      </c>
      <c r="F37" s="1" t="s">
        <v>221</v>
      </c>
    </row>
    <row r="38" spans="1:6" x14ac:dyDescent="0.3">
      <c r="A38" s="1" t="s">
        <v>222</v>
      </c>
      <c r="B38" s="1" t="s">
        <v>223</v>
      </c>
      <c r="C38" s="1" t="s">
        <v>224</v>
      </c>
      <c r="D38" s="1" t="s">
        <v>225</v>
      </c>
      <c r="E38" s="1" t="s">
        <v>226</v>
      </c>
      <c r="F38" s="1" t="s">
        <v>227</v>
      </c>
    </row>
    <row r="39" spans="1:6" x14ac:dyDescent="0.3">
      <c r="A39" s="1" t="s">
        <v>228</v>
      </c>
      <c r="B39" s="1" t="s">
        <v>229</v>
      </c>
      <c r="C39" s="1" t="s">
        <v>230</v>
      </c>
      <c r="D39" s="1" t="s">
        <v>231</v>
      </c>
      <c r="E39" s="1" t="s">
        <v>232</v>
      </c>
      <c r="F39" s="1" t="s">
        <v>233</v>
      </c>
    </row>
    <row r="40" spans="1:6" x14ac:dyDescent="0.3">
      <c r="A40" s="1" t="s">
        <v>234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</row>
    <row r="41" spans="1:6" x14ac:dyDescent="0.3">
      <c r="A41" s="1" t="s">
        <v>240</v>
      </c>
      <c r="B41" s="1" t="s">
        <v>241</v>
      </c>
      <c r="C41" s="1" t="s">
        <v>242</v>
      </c>
      <c r="D41" s="1" t="s">
        <v>243</v>
      </c>
      <c r="E41" s="1" t="s">
        <v>244</v>
      </c>
      <c r="F41" s="1" t="s">
        <v>245</v>
      </c>
    </row>
    <row r="42" spans="1:6" x14ac:dyDescent="0.3">
      <c r="A42" s="1" t="s">
        <v>246</v>
      </c>
      <c r="B42" s="1" t="s">
        <v>247</v>
      </c>
      <c r="C42" s="1" t="s">
        <v>248</v>
      </c>
      <c r="D42" s="1" t="s">
        <v>249</v>
      </c>
      <c r="E42" s="1" t="s">
        <v>250</v>
      </c>
      <c r="F42" s="1" t="s">
        <v>251</v>
      </c>
    </row>
    <row r="43" spans="1:6" x14ac:dyDescent="0.3">
      <c r="A43" s="1" t="s">
        <v>252</v>
      </c>
      <c r="B43" s="1" t="s">
        <v>253</v>
      </c>
      <c r="C43" s="1" t="s">
        <v>254</v>
      </c>
      <c r="D43" s="1" t="s">
        <v>255</v>
      </c>
      <c r="E43" s="1" t="s">
        <v>256</v>
      </c>
      <c r="F43" s="1" t="s">
        <v>257</v>
      </c>
    </row>
    <row r="44" spans="1:6" x14ac:dyDescent="0.3">
      <c r="A44" s="1" t="s">
        <v>258</v>
      </c>
      <c r="B44" s="1" t="s">
        <v>259</v>
      </c>
      <c r="C44" s="1" t="s">
        <v>260</v>
      </c>
      <c r="D44" s="1" t="s">
        <v>261</v>
      </c>
      <c r="E44" s="1" t="s">
        <v>262</v>
      </c>
      <c r="F44" s="1" t="s">
        <v>263</v>
      </c>
    </row>
    <row r="45" spans="1:6" x14ac:dyDescent="0.3">
      <c r="A45" s="1" t="s">
        <v>264</v>
      </c>
      <c r="B45" s="1" t="s">
        <v>265</v>
      </c>
      <c r="C45" s="1" t="s">
        <v>266</v>
      </c>
      <c r="D45" s="1" t="s">
        <v>267</v>
      </c>
      <c r="E45" s="1" t="s">
        <v>268</v>
      </c>
      <c r="F45" s="1" t="s">
        <v>269</v>
      </c>
    </row>
    <row r="46" spans="1:6" x14ac:dyDescent="0.3">
      <c r="A46" s="1" t="s">
        <v>270</v>
      </c>
      <c r="B46" s="1" t="s">
        <v>271</v>
      </c>
      <c r="C46" s="1" t="s">
        <v>272</v>
      </c>
      <c r="D46" s="1" t="s">
        <v>273</v>
      </c>
      <c r="E46" s="1" t="s">
        <v>274</v>
      </c>
      <c r="F46" s="1" t="s">
        <v>275</v>
      </c>
    </row>
    <row r="47" spans="1:6" x14ac:dyDescent="0.3">
      <c r="A47" s="1" t="s">
        <v>276</v>
      </c>
      <c r="B47" s="1" t="s">
        <v>277</v>
      </c>
      <c r="C47" s="1" t="s">
        <v>278</v>
      </c>
      <c r="D47" s="1" t="s">
        <v>279</v>
      </c>
      <c r="E47" s="1" t="s">
        <v>280</v>
      </c>
      <c r="F47" s="1" t="s">
        <v>281</v>
      </c>
    </row>
    <row r="48" spans="1:6" x14ac:dyDescent="0.3">
      <c r="A48" s="1" t="s">
        <v>282</v>
      </c>
      <c r="B48" s="1" t="s">
        <v>283</v>
      </c>
      <c r="C48" s="1" t="s">
        <v>284</v>
      </c>
      <c r="D48" s="1" t="s">
        <v>285</v>
      </c>
      <c r="E48" s="1" t="s">
        <v>286</v>
      </c>
      <c r="F48" s="1" t="s">
        <v>287</v>
      </c>
    </row>
    <row r="49" spans="1:6" x14ac:dyDescent="0.3">
      <c r="A49" s="1" t="s">
        <v>288</v>
      </c>
      <c r="B49" s="1" t="s">
        <v>289</v>
      </c>
      <c r="C49" s="1" t="s">
        <v>290</v>
      </c>
      <c r="D49" s="1" t="s">
        <v>291</v>
      </c>
      <c r="E49" s="1" t="s">
        <v>292</v>
      </c>
      <c r="F49" s="1" t="s">
        <v>293</v>
      </c>
    </row>
    <row r="50" spans="1:6" x14ac:dyDescent="0.3">
      <c r="A50" s="1" t="s">
        <v>294</v>
      </c>
      <c r="B50" s="1" t="s">
        <v>295</v>
      </c>
      <c r="C50" s="1" t="s">
        <v>296</v>
      </c>
      <c r="D50" s="1" t="s">
        <v>297</v>
      </c>
      <c r="E50" s="1" t="s">
        <v>298</v>
      </c>
      <c r="F50" s="1" t="s">
        <v>299</v>
      </c>
    </row>
    <row r="51" spans="1:6" x14ac:dyDescent="0.3">
      <c r="A51" s="1" t="s">
        <v>300</v>
      </c>
      <c r="B51" s="1" t="s">
        <v>301</v>
      </c>
      <c r="C51" s="1" t="s">
        <v>302</v>
      </c>
      <c r="D51" s="1" t="s">
        <v>303</v>
      </c>
      <c r="E51" s="1" t="s">
        <v>304</v>
      </c>
      <c r="F51" s="1" t="s">
        <v>305</v>
      </c>
    </row>
    <row r="52" spans="1:6" x14ac:dyDescent="0.3">
      <c r="A52" s="1" t="s">
        <v>306</v>
      </c>
      <c r="B52" s="1" t="s">
        <v>307</v>
      </c>
      <c r="C52" s="1" t="s">
        <v>308</v>
      </c>
      <c r="D52" s="1" t="s">
        <v>309</v>
      </c>
      <c r="E52" s="1" t="s">
        <v>310</v>
      </c>
      <c r="F52" s="1" t="s">
        <v>311</v>
      </c>
    </row>
    <row r="53" spans="1:6" x14ac:dyDescent="0.3">
      <c r="A53" s="1" t="s">
        <v>312</v>
      </c>
      <c r="B53" s="1" t="s">
        <v>313</v>
      </c>
      <c r="C53" s="1" t="s">
        <v>314</v>
      </c>
      <c r="D53" s="1" t="s">
        <v>315</v>
      </c>
      <c r="E53" s="1" t="s">
        <v>316</v>
      </c>
      <c r="F53" s="1" t="s">
        <v>317</v>
      </c>
    </row>
    <row r="54" spans="1:6" x14ac:dyDescent="0.3">
      <c r="A54" s="1" t="s">
        <v>318</v>
      </c>
      <c r="B54" s="1" t="s">
        <v>319</v>
      </c>
      <c r="C54" s="1" t="s">
        <v>320</v>
      </c>
      <c r="D54" s="1" t="s">
        <v>321</v>
      </c>
      <c r="E54" s="1" t="s">
        <v>322</v>
      </c>
      <c r="F54" s="1" t="s">
        <v>323</v>
      </c>
    </row>
    <row r="55" spans="1:6" x14ac:dyDescent="0.3">
      <c r="A55" s="1" t="s">
        <v>324</v>
      </c>
      <c r="B55" s="1" t="s">
        <v>325</v>
      </c>
      <c r="C55" s="1" t="s">
        <v>326</v>
      </c>
      <c r="D55" s="1" t="s">
        <v>327</v>
      </c>
      <c r="E55" s="1" t="s">
        <v>328</v>
      </c>
      <c r="F55" s="1" t="s">
        <v>329</v>
      </c>
    </row>
    <row r="56" spans="1:6" x14ac:dyDescent="0.3">
      <c r="A56" s="1" t="s">
        <v>330</v>
      </c>
      <c r="B56" s="1" t="s">
        <v>331</v>
      </c>
      <c r="C56" s="1" t="s">
        <v>332</v>
      </c>
      <c r="D56" s="1" t="s">
        <v>333</v>
      </c>
      <c r="E56" s="1" t="s">
        <v>334</v>
      </c>
      <c r="F56" s="1" t="s">
        <v>335</v>
      </c>
    </row>
    <row r="57" spans="1:6" x14ac:dyDescent="0.3">
      <c r="A57" s="1" t="s">
        <v>336</v>
      </c>
      <c r="B57" s="1" t="s">
        <v>337</v>
      </c>
      <c r="C57" s="1" t="s">
        <v>338</v>
      </c>
      <c r="D57" s="1" t="s">
        <v>339</v>
      </c>
      <c r="E57" s="1" t="s">
        <v>340</v>
      </c>
      <c r="F57" s="1" t="s">
        <v>341</v>
      </c>
    </row>
    <row r="58" spans="1:6" x14ac:dyDescent="0.3">
      <c r="A58" s="1" t="s">
        <v>342</v>
      </c>
      <c r="B58" s="1" t="s">
        <v>343</v>
      </c>
      <c r="C58" s="1" t="s">
        <v>344</v>
      </c>
      <c r="D58" s="1" t="s">
        <v>345</v>
      </c>
      <c r="E58" s="1" t="s">
        <v>346</v>
      </c>
      <c r="F58" s="1" t="s">
        <v>347</v>
      </c>
    </row>
    <row r="59" spans="1:6" x14ac:dyDescent="0.3">
      <c r="A59" s="1" t="s">
        <v>348</v>
      </c>
      <c r="B59" s="1" t="s">
        <v>349</v>
      </c>
      <c r="C59" s="1" t="s">
        <v>350</v>
      </c>
      <c r="D59" s="1" t="s">
        <v>351</v>
      </c>
      <c r="E59" s="1" t="s">
        <v>352</v>
      </c>
      <c r="F59" s="1" t="s">
        <v>353</v>
      </c>
    </row>
    <row r="60" spans="1:6" x14ac:dyDescent="0.3">
      <c r="A60" s="1" t="s">
        <v>354</v>
      </c>
      <c r="B60" s="1" t="s">
        <v>355</v>
      </c>
      <c r="C60" s="1" t="s">
        <v>356</v>
      </c>
      <c r="D60" s="1" t="s">
        <v>357</v>
      </c>
      <c r="E60" s="1" t="s">
        <v>358</v>
      </c>
      <c r="F60" s="1" t="s">
        <v>359</v>
      </c>
    </row>
    <row r="61" spans="1:6" x14ac:dyDescent="0.3">
      <c r="A61" s="1" t="s">
        <v>360</v>
      </c>
      <c r="B61" s="1" t="s">
        <v>361</v>
      </c>
      <c r="C61" s="1" t="s">
        <v>362</v>
      </c>
      <c r="D61" s="1" t="s">
        <v>363</v>
      </c>
      <c r="E61" s="1" t="s">
        <v>364</v>
      </c>
      <c r="F61" s="1" t="s">
        <v>365</v>
      </c>
    </row>
    <row r="62" spans="1:6" x14ac:dyDescent="0.3">
      <c r="A62" s="1" t="s">
        <v>366</v>
      </c>
      <c r="B62" s="1" t="s">
        <v>367</v>
      </c>
      <c r="C62" s="1" t="s">
        <v>368</v>
      </c>
      <c r="D62" s="1" t="s">
        <v>369</v>
      </c>
      <c r="E62" s="1" t="s">
        <v>370</v>
      </c>
      <c r="F62" s="1" t="s">
        <v>371</v>
      </c>
    </row>
    <row r="63" spans="1:6" x14ac:dyDescent="0.3">
      <c r="A63" s="1" t="s">
        <v>372</v>
      </c>
      <c r="B63" s="1" t="s">
        <v>373</v>
      </c>
      <c r="C63" s="1" t="s">
        <v>374</v>
      </c>
      <c r="D63" s="1" t="s">
        <v>375</v>
      </c>
      <c r="E63" s="1" t="s">
        <v>375</v>
      </c>
      <c r="F63" s="1" t="s">
        <v>376</v>
      </c>
    </row>
    <row r="64" spans="1:6" x14ac:dyDescent="0.3">
      <c r="A64" s="1" t="s">
        <v>377</v>
      </c>
      <c r="B64" s="1" t="s">
        <v>378</v>
      </c>
      <c r="C64" s="1" t="s">
        <v>379</v>
      </c>
      <c r="D64" s="1" t="s">
        <v>380</v>
      </c>
      <c r="E64" s="1" t="s">
        <v>381</v>
      </c>
      <c r="F64" s="1" t="s">
        <v>382</v>
      </c>
    </row>
    <row r="65" spans="1:6" x14ac:dyDescent="0.3">
      <c r="A65" s="1" t="s">
        <v>383</v>
      </c>
      <c r="B65" s="1" t="s">
        <v>384</v>
      </c>
      <c r="C65" s="1" t="s">
        <v>385</v>
      </c>
      <c r="D65" s="1" t="s">
        <v>386</v>
      </c>
      <c r="E65" s="1" t="s">
        <v>387</v>
      </c>
      <c r="F65" s="1" t="s">
        <v>388</v>
      </c>
    </row>
    <row r="66" spans="1:6" x14ac:dyDescent="0.3">
      <c r="A66" s="1" t="s">
        <v>389</v>
      </c>
      <c r="B66" s="1" t="s">
        <v>390</v>
      </c>
      <c r="C66" s="1" t="s">
        <v>391</v>
      </c>
      <c r="D66" s="1" t="s">
        <v>392</v>
      </c>
      <c r="E66" s="1" t="s">
        <v>393</v>
      </c>
      <c r="F66" s="1" t="s">
        <v>394</v>
      </c>
    </row>
    <row r="67" spans="1:6" x14ac:dyDescent="0.3">
      <c r="A67" s="1" t="s">
        <v>395</v>
      </c>
      <c r="B67" s="1" t="s">
        <v>396</v>
      </c>
      <c r="C67" s="1" t="s">
        <v>397</v>
      </c>
      <c r="D67" s="1" t="s">
        <v>398</v>
      </c>
      <c r="E67" s="1" t="s">
        <v>399</v>
      </c>
      <c r="F67" s="1" t="s">
        <v>400</v>
      </c>
    </row>
    <row r="68" spans="1:6" x14ac:dyDescent="0.3">
      <c r="A68" s="1" t="s">
        <v>401</v>
      </c>
      <c r="B68" s="1" t="s">
        <v>402</v>
      </c>
      <c r="C68" s="1" t="s">
        <v>403</v>
      </c>
      <c r="D68" s="1" t="s">
        <v>404</v>
      </c>
      <c r="E68" s="1" t="s">
        <v>405</v>
      </c>
      <c r="F68" s="1" t="s">
        <v>406</v>
      </c>
    </row>
    <row r="69" spans="1:6" x14ac:dyDescent="0.3">
      <c r="A69" s="1" t="s">
        <v>407</v>
      </c>
      <c r="B69" s="1" t="s">
        <v>408</v>
      </c>
      <c r="C69" s="1" t="s">
        <v>409</v>
      </c>
      <c r="D69" s="1" t="s">
        <v>410</v>
      </c>
      <c r="E69" s="1" t="s">
        <v>411</v>
      </c>
      <c r="F69" s="1" t="s">
        <v>412</v>
      </c>
    </row>
    <row r="70" spans="1:6" x14ac:dyDescent="0.3">
      <c r="A70" s="1" t="s">
        <v>413</v>
      </c>
      <c r="B70" s="1" t="s">
        <v>414</v>
      </c>
      <c r="C70" s="1" t="s">
        <v>415</v>
      </c>
      <c r="D70" s="1" t="s">
        <v>416</v>
      </c>
      <c r="E70" s="1" t="s">
        <v>417</v>
      </c>
      <c r="F70" s="1" t="s">
        <v>418</v>
      </c>
    </row>
    <row r="71" spans="1:6" x14ac:dyDescent="0.3">
      <c r="A71" s="1" t="s">
        <v>419</v>
      </c>
      <c r="B71" s="1" t="s">
        <v>420</v>
      </c>
      <c r="C71" s="1" t="s">
        <v>421</v>
      </c>
      <c r="D71" s="1" t="s">
        <v>422</v>
      </c>
      <c r="E71" s="1" t="s">
        <v>423</v>
      </c>
      <c r="F71" s="1" t="s">
        <v>424</v>
      </c>
    </row>
    <row r="72" spans="1:6" x14ac:dyDescent="0.3">
      <c r="A72" s="1" t="s">
        <v>425</v>
      </c>
      <c r="B72" s="1" t="s">
        <v>426</v>
      </c>
      <c r="C72" s="1" t="s">
        <v>427</v>
      </c>
      <c r="D72" s="1" t="s">
        <v>428</v>
      </c>
      <c r="E72" s="1" t="s">
        <v>429</v>
      </c>
      <c r="F72" s="1" t="s">
        <v>430</v>
      </c>
    </row>
    <row r="73" spans="1:6" x14ac:dyDescent="0.3">
      <c r="A73" s="1" t="s">
        <v>431</v>
      </c>
      <c r="B73" s="1" t="s">
        <v>432</v>
      </c>
      <c r="C73" s="1" t="s">
        <v>433</v>
      </c>
      <c r="D73" s="1" t="s">
        <v>434</v>
      </c>
      <c r="E73" s="1" t="s">
        <v>435</v>
      </c>
      <c r="F73" s="1" t="s">
        <v>436</v>
      </c>
    </row>
    <row r="74" spans="1:6" x14ac:dyDescent="0.3">
      <c r="A74" s="1" t="s">
        <v>437</v>
      </c>
      <c r="B74" s="1" t="s">
        <v>438</v>
      </c>
      <c r="C74" s="1" t="s">
        <v>439</v>
      </c>
      <c r="D74" s="1" t="s">
        <v>440</v>
      </c>
      <c r="E74" s="1" t="s">
        <v>441</v>
      </c>
      <c r="F74" s="1" t="s">
        <v>442</v>
      </c>
    </row>
    <row r="75" spans="1:6" x14ac:dyDescent="0.3">
      <c r="A75" s="1" t="s">
        <v>443</v>
      </c>
      <c r="B75" s="1" t="s">
        <v>444</v>
      </c>
      <c r="C75" s="1" t="s">
        <v>445</v>
      </c>
      <c r="D75" s="1" t="s">
        <v>446</v>
      </c>
      <c r="E75" s="1" t="s">
        <v>447</v>
      </c>
      <c r="F75" s="1" t="s">
        <v>448</v>
      </c>
    </row>
    <row r="76" spans="1:6" x14ac:dyDescent="0.3">
      <c r="A76" s="1" t="s">
        <v>449</v>
      </c>
      <c r="B76" s="1" t="s">
        <v>450</v>
      </c>
      <c r="C76" s="1" t="s">
        <v>451</v>
      </c>
      <c r="D76" s="1" t="s">
        <v>452</v>
      </c>
      <c r="E76" s="1" t="s">
        <v>453</v>
      </c>
      <c r="F76" s="1" t="s">
        <v>454</v>
      </c>
    </row>
    <row r="77" spans="1:6" x14ac:dyDescent="0.3">
      <c r="A77" s="1" t="s">
        <v>455</v>
      </c>
      <c r="B77" s="1" t="s">
        <v>456</v>
      </c>
      <c r="C77" s="1" t="s">
        <v>457</v>
      </c>
      <c r="D77" s="1" t="s">
        <v>458</v>
      </c>
      <c r="E77" s="1" t="s">
        <v>459</v>
      </c>
      <c r="F77" s="1" t="s">
        <v>460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0DC6-A2A6-485C-9114-7960705F6896}">
  <dimension ref="A1"/>
  <sheetViews>
    <sheetView workbookViewId="0"/>
  </sheetViews>
  <sheetFormatPr defaultRowHeight="14.4" x14ac:dyDescent="0.3"/>
  <sheetData>
    <row r="1" spans="1:1" x14ac:dyDescent="0.3">
      <c r="A1" t="s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AB82-BE67-433F-BC0A-71C7D4938C91}">
  <dimension ref="A1"/>
  <sheetViews>
    <sheetView workbookViewId="0">
      <selection activeCell="C39" sqref="C3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4552-4422-4CCA-9E70-EA37887307D3}">
  <dimension ref="A1:F77"/>
  <sheetViews>
    <sheetView topLeftCell="A40" workbookViewId="0">
      <selection sqref="A1:F77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465</v>
      </c>
      <c r="B3" s="1" t="s">
        <v>13</v>
      </c>
      <c r="C3" s="1" t="s">
        <v>466</v>
      </c>
      <c r="D3" s="1" t="s">
        <v>467</v>
      </c>
      <c r="E3" s="1" t="s">
        <v>468</v>
      </c>
      <c r="F3" s="1" t="s">
        <v>469</v>
      </c>
    </row>
    <row r="4" spans="1:6" x14ac:dyDescent="0.3">
      <c r="A4" s="1" t="s">
        <v>470</v>
      </c>
      <c r="B4" s="1" t="s">
        <v>19</v>
      </c>
      <c r="C4" s="1" t="s">
        <v>471</v>
      </c>
      <c r="D4" s="1" t="s">
        <v>472</v>
      </c>
      <c r="E4" s="1" t="s">
        <v>473</v>
      </c>
      <c r="F4" s="1" t="s">
        <v>474</v>
      </c>
    </row>
    <row r="5" spans="1:6" x14ac:dyDescent="0.3">
      <c r="A5" s="1" t="s">
        <v>475</v>
      </c>
      <c r="B5" s="1" t="s">
        <v>25</v>
      </c>
      <c r="C5" s="1" t="s">
        <v>476</v>
      </c>
      <c r="D5" s="1" t="s">
        <v>477</v>
      </c>
      <c r="E5" s="1" t="s">
        <v>478</v>
      </c>
      <c r="F5" s="1" t="s">
        <v>479</v>
      </c>
    </row>
    <row r="6" spans="1:6" x14ac:dyDescent="0.3">
      <c r="A6" s="1" t="s">
        <v>480</v>
      </c>
      <c r="B6" s="1" t="s">
        <v>31</v>
      </c>
      <c r="C6" s="1" t="s">
        <v>481</v>
      </c>
      <c r="D6" s="1" t="s">
        <v>482</v>
      </c>
      <c r="E6" s="1" t="s">
        <v>483</v>
      </c>
      <c r="F6" s="1" t="s">
        <v>484</v>
      </c>
    </row>
    <row r="7" spans="1:6" x14ac:dyDescent="0.3">
      <c r="A7" s="1" t="s">
        <v>485</v>
      </c>
      <c r="B7" s="1" t="s">
        <v>37</v>
      </c>
      <c r="C7" s="1" t="s">
        <v>486</v>
      </c>
      <c r="D7" s="1" t="s">
        <v>487</v>
      </c>
      <c r="E7" s="1" t="s">
        <v>488</v>
      </c>
      <c r="F7" s="1" t="s">
        <v>489</v>
      </c>
    </row>
    <row r="8" spans="1:6" x14ac:dyDescent="0.3">
      <c r="A8" s="1" t="s">
        <v>490</v>
      </c>
      <c r="B8" s="1" t="s">
        <v>43</v>
      </c>
      <c r="C8" s="1" t="s">
        <v>491</v>
      </c>
      <c r="D8" s="1" t="s">
        <v>492</v>
      </c>
      <c r="E8" s="1" t="s">
        <v>493</v>
      </c>
      <c r="F8" s="1" t="s">
        <v>494</v>
      </c>
    </row>
    <row r="9" spans="1:6" x14ac:dyDescent="0.3">
      <c r="A9" s="1" t="s">
        <v>495</v>
      </c>
      <c r="B9" s="1" t="s">
        <v>49</v>
      </c>
      <c r="C9" s="1" t="s">
        <v>496</v>
      </c>
      <c r="D9" s="1" t="s">
        <v>497</v>
      </c>
      <c r="E9" s="1" t="s">
        <v>498</v>
      </c>
      <c r="F9" s="1" t="s">
        <v>499</v>
      </c>
    </row>
    <row r="10" spans="1:6" x14ac:dyDescent="0.3">
      <c r="A10" s="1" t="s">
        <v>500</v>
      </c>
      <c r="B10" s="1" t="s">
        <v>55</v>
      </c>
      <c r="C10" s="1" t="s">
        <v>501</v>
      </c>
      <c r="D10" s="1" t="s">
        <v>502</v>
      </c>
      <c r="E10" s="1" t="s">
        <v>503</v>
      </c>
      <c r="F10" s="1" t="s">
        <v>504</v>
      </c>
    </row>
    <row r="11" spans="1:6" x14ac:dyDescent="0.3">
      <c r="A11" s="1" t="s">
        <v>505</v>
      </c>
      <c r="B11" s="1" t="s">
        <v>61</v>
      </c>
      <c r="C11" s="1" t="s">
        <v>506</v>
      </c>
      <c r="D11" s="1" t="s">
        <v>507</v>
      </c>
      <c r="E11" s="1" t="s">
        <v>508</v>
      </c>
      <c r="F11" s="1" t="s">
        <v>509</v>
      </c>
    </row>
    <row r="12" spans="1:6" x14ac:dyDescent="0.3">
      <c r="A12" s="1" t="s">
        <v>510</v>
      </c>
      <c r="B12" s="1" t="s">
        <v>67</v>
      </c>
      <c r="C12" s="1" t="s">
        <v>511</v>
      </c>
      <c r="D12" s="1" t="s">
        <v>512</v>
      </c>
      <c r="E12" s="1" t="s">
        <v>513</v>
      </c>
      <c r="F12" s="1" t="s">
        <v>514</v>
      </c>
    </row>
    <row r="13" spans="1:6" x14ac:dyDescent="0.3">
      <c r="A13" s="1" t="s">
        <v>515</v>
      </c>
      <c r="B13" s="1" t="s">
        <v>73</v>
      </c>
      <c r="C13" s="1" t="s">
        <v>516</v>
      </c>
      <c r="D13" s="1" t="s">
        <v>517</v>
      </c>
      <c r="E13" s="1" t="s">
        <v>518</v>
      </c>
      <c r="F13" s="1" t="s">
        <v>519</v>
      </c>
    </row>
    <row r="14" spans="1:6" x14ac:dyDescent="0.3">
      <c r="A14" s="1" t="s">
        <v>520</v>
      </c>
      <c r="B14" s="1" t="s">
        <v>79</v>
      </c>
      <c r="C14" s="1" t="s">
        <v>521</v>
      </c>
      <c r="D14" s="1" t="s">
        <v>522</v>
      </c>
      <c r="E14" s="1" t="s">
        <v>523</v>
      </c>
      <c r="F14" s="1" t="s">
        <v>524</v>
      </c>
    </row>
    <row r="15" spans="1:6" x14ac:dyDescent="0.3">
      <c r="A15" s="1" t="s">
        <v>525</v>
      </c>
      <c r="B15" s="1" t="s">
        <v>85</v>
      </c>
      <c r="C15" s="1" t="s">
        <v>526</v>
      </c>
      <c r="D15" s="1" t="s">
        <v>527</v>
      </c>
      <c r="E15" s="1" t="s">
        <v>528</v>
      </c>
      <c r="F15" s="1" t="s">
        <v>529</v>
      </c>
    </row>
    <row r="16" spans="1:6" x14ac:dyDescent="0.3">
      <c r="A16" s="1" t="s">
        <v>530</v>
      </c>
      <c r="B16" s="1" t="s">
        <v>91</v>
      </c>
      <c r="C16" s="1" t="s">
        <v>531</v>
      </c>
      <c r="D16" s="1" t="s">
        <v>532</v>
      </c>
      <c r="E16" s="1" t="s">
        <v>533</v>
      </c>
      <c r="F16" s="1" t="s">
        <v>534</v>
      </c>
    </row>
    <row r="17" spans="1:6" x14ac:dyDescent="0.3">
      <c r="A17" s="1" t="s">
        <v>535</v>
      </c>
      <c r="B17" s="1" t="s">
        <v>97</v>
      </c>
      <c r="C17" s="1" t="s">
        <v>536</v>
      </c>
      <c r="D17" s="1" t="s">
        <v>537</v>
      </c>
      <c r="E17" s="1" t="s">
        <v>538</v>
      </c>
      <c r="F17" s="1" t="s">
        <v>539</v>
      </c>
    </row>
    <row r="18" spans="1:6" x14ac:dyDescent="0.3">
      <c r="A18" s="1" t="s">
        <v>540</v>
      </c>
      <c r="B18" s="1" t="s">
        <v>103</v>
      </c>
      <c r="C18" s="1" t="s">
        <v>541</v>
      </c>
      <c r="D18" s="1" t="s">
        <v>542</v>
      </c>
      <c r="E18" s="1" t="s">
        <v>543</v>
      </c>
      <c r="F18" s="1" t="s">
        <v>544</v>
      </c>
    </row>
    <row r="19" spans="1:6" x14ac:dyDescent="0.3">
      <c r="A19" s="1" t="s">
        <v>545</v>
      </c>
      <c r="B19" s="1" t="s">
        <v>109</v>
      </c>
      <c r="C19" s="1" t="s">
        <v>546</v>
      </c>
      <c r="D19" s="1" t="s">
        <v>547</v>
      </c>
      <c r="E19" s="1" t="s">
        <v>548</v>
      </c>
      <c r="F19" s="1" t="s">
        <v>549</v>
      </c>
    </row>
    <row r="20" spans="1:6" x14ac:dyDescent="0.3">
      <c r="A20" s="1" t="s">
        <v>550</v>
      </c>
      <c r="B20" s="1" t="s">
        <v>115</v>
      </c>
      <c r="C20" s="1" t="s">
        <v>551</v>
      </c>
      <c r="D20" s="1" t="s">
        <v>552</v>
      </c>
      <c r="E20" s="1" t="s">
        <v>553</v>
      </c>
      <c r="F20" s="1" t="s">
        <v>554</v>
      </c>
    </row>
    <row r="21" spans="1:6" x14ac:dyDescent="0.3">
      <c r="A21" s="1" t="s">
        <v>555</v>
      </c>
      <c r="B21" s="1" t="s">
        <v>121</v>
      </c>
      <c r="C21" s="1" t="s">
        <v>556</v>
      </c>
      <c r="D21" s="1" t="s">
        <v>557</v>
      </c>
      <c r="E21" s="1" t="s">
        <v>558</v>
      </c>
      <c r="F21" s="1" t="s">
        <v>559</v>
      </c>
    </row>
    <row r="22" spans="1:6" x14ac:dyDescent="0.3">
      <c r="A22" s="1" t="s">
        <v>560</v>
      </c>
      <c r="B22" s="1" t="s">
        <v>127</v>
      </c>
      <c r="C22" s="1" t="s">
        <v>561</v>
      </c>
      <c r="D22" s="1" t="s">
        <v>562</v>
      </c>
      <c r="E22" s="1" t="s">
        <v>563</v>
      </c>
      <c r="F22" s="1" t="s">
        <v>564</v>
      </c>
    </row>
    <row r="23" spans="1:6" x14ac:dyDescent="0.3">
      <c r="A23" s="1" t="s">
        <v>565</v>
      </c>
      <c r="B23" s="1" t="s">
        <v>133</v>
      </c>
      <c r="C23" s="1" t="s">
        <v>566</v>
      </c>
      <c r="D23" s="1" t="s">
        <v>567</v>
      </c>
      <c r="E23" s="1" t="s">
        <v>568</v>
      </c>
      <c r="F23" s="1" t="s">
        <v>569</v>
      </c>
    </row>
    <row r="24" spans="1:6" x14ac:dyDescent="0.3">
      <c r="A24" s="1" t="s">
        <v>570</v>
      </c>
      <c r="B24" s="1" t="s">
        <v>139</v>
      </c>
      <c r="C24" s="1" t="s">
        <v>571</v>
      </c>
      <c r="D24" s="1" t="s">
        <v>572</v>
      </c>
      <c r="E24" s="1" t="s">
        <v>573</v>
      </c>
      <c r="F24" s="1" t="s">
        <v>574</v>
      </c>
    </row>
    <row r="25" spans="1:6" x14ac:dyDescent="0.3">
      <c r="A25" s="1" t="s">
        <v>575</v>
      </c>
      <c r="B25" s="1" t="s">
        <v>145</v>
      </c>
      <c r="C25" s="1" t="s">
        <v>576</v>
      </c>
      <c r="D25" s="1" t="s">
        <v>577</v>
      </c>
      <c r="E25" s="1" t="s">
        <v>578</v>
      </c>
      <c r="F25" s="1" t="s">
        <v>579</v>
      </c>
    </row>
    <row r="26" spans="1:6" x14ac:dyDescent="0.3">
      <c r="A26" s="1" t="s">
        <v>580</v>
      </c>
      <c r="B26" s="1" t="s">
        <v>151</v>
      </c>
      <c r="C26" s="1" t="s">
        <v>581</v>
      </c>
      <c r="D26" s="1" t="s">
        <v>582</v>
      </c>
      <c r="E26" s="1" t="s">
        <v>583</v>
      </c>
      <c r="F26" s="1" t="s">
        <v>584</v>
      </c>
    </row>
    <row r="27" spans="1:6" x14ac:dyDescent="0.3">
      <c r="A27" s="1" t="s">
        <v>585</v>
      </c>
      <c r="B27" s="1" t="s">
        <v>157</v>
      </c>
      <c r="C27" s="1" t="s">
        <v>586</v>
      </c>
      <c r="D27" s="1" t="s">
        <v>587</v>
      </c>
      <c r="E27" s="1" t="s">
        <v>588</v>
      </c>
      <c r="F27" s="1" t="s">
        <v>589</v>
      </c>
    </row>
    <row r="28" spans="1:6" x14ac:dyDescent="0.3">
      <c r="A28" s="1" t="s">
        <v>590</v>
      </c>
      <c r="B28" s="1" t="s">
        <v>163</v>
      </c>
      <c r="C28" s="1" t="s">
        <v>591</v>
      </c>
      <c r="D28" s="1" t="s">
        <v>592</v>
      </c>
      <c r="E28" s="1" t="s">
        <v>593</v>
      </c>
      <c r="F28" s="1" t="s">
        <v>594</v>
      </c>
    </row>
    <row r="29" spans="1:6" x14ac:dyDescent="0.3">
      <c r="A29" s="1" t="s">
        <v>595</v>
      </c>
      <c r="B29" s="1" t="s">
        <v>169</v>
      </c>
      <c r="C29" s="1" t="s">
        <v>596</v>
      </c>
      <c r="D29" s="1" t="s">
        <v>597</v>
      </c>
      <c r="E29" s="1" t="s">
        <v>598</v>
      </c>
      <c r="F29" s="1" t="s">
        <v>599</v>
      </c>
    </row>
    <row r="30" spans="1:6" x14ac:dyDescent="0.3">
      <c r="A30" s="1" t="s">
        <v>600</v>
      </c>
      <c r="B30" s="1" t="s">
        <v>175</v>
      </c>
      <c r="C30" s="1" t="s">
        <v>601</v>
      </c>
      <c r="D30" s="1" t="s">
        <v>602</v>
      </c>
      <c r="E30" s="1" t="s">
        <v>603</v>
      </c>
      <c r="F30" s="1" t="s">
        <v>604</v>
      </c>
    </row>
    <row r="31" spans="1:6" x14ac:dyDescent="0.3">
      <c r="A31" s="1" t="s">
        <v>605</v>
      </c>
      <c r="B31" s="1" t="s">
        <v>181</v>
      </c>
      <c r="C31" s="1" t="s">
        <v>606</v>
      </c>
      <c r="D31" s="1" t="s">
        <v>607</v>
      </c>
      <c r="E31" s="1" t="s">
        <v>608</v>
      </c>
      <c r="F31" s="1" t="s">
        <v>609</v>
      </c>
    </row>
    <row r="32" spans="1:6" x14ac:dyDescent="0.3">
      <c r="A32" s="1" t="s">
        <v>610</v>
      </c>
      <c r="B32" s="1" t="s">
        <v>187</v>
      </c>
      <c r="C32" s="1" t="s">
        <v>611</v>
      </c>
      <c r="D32" s="1" t="s">
        <v>612</v>
      </c>
      <c r="E32" s="1" t="s">
        <v>613</v>
      </c>
      <c r="F32" s="1" t="s">
        <v>614</v>
      </c>
    </row>
    <row r="33" spans="1:6" x14ac:dyDescent="0.3">
      <c r="A33" s="1" t="s">
        <v>615</v>
      </c>
      <c r="B33" s="1" t="s">
        <v>193</v>
      </c>
      <c r="C33" s="1" t="s">
        <v>616</v>
      </c>
      <c r="D33" s="1" t="s">
        <v>617</v>
      </c>
      <c r="E33" s="1" t="s">
        <v>618</v>
      </c>
      <c r="F33" s="1" t="s">
        <v>619</v>
      </c>
    </row>
    <row r="34" spans="1:6" x14ac:dyDescent="0.3">
      <c r="A34" s="1" t="s">
        <v>620</v>
      </c>
      <c r="B34" s="1" t="s">
        <v>199</v>
      </c>
      <c r="C34" s="1" t="s">
        <v>621</v>
      </c>
      <c r="D34" s="1" t="s">
        <v>622</v>
      </c>
      <c r="E34" s="1" t="s">
        <v>623</v>
      </c>
      <c r="F34" s="1" t="s">
        <v>624</v>
      </c>
    </row>
    <row r="35" spans="1:6" x14ac:dyDescent="0.3">
      <c r="A35" s="1" t="s">
        <v>625</v>
      </c>
      <c r="B35" s="1" t="s">
        <v>205</v>
      </c>
      <c r="C35" s="1" t="s">
        <v>626</v>
      </c>
      <c r="D35" s="1" t="s">
        <v>627</v>
      </c>
      <c r="E35" s="1" t="s">
        <v>628</v>
      </c>
      <c r="F35" s="1" t="s">
        <v>629</v>
      </c>
    </row>
    <row r="36" spans="1:6" x14ac:dyDescent="0.3">
      <c r="A36" s="1" t="s">
        <v>630</v>
      </c>
      <c r="B36" s="1" t="s">
        <v>211</v>
      </c>
      <c r="C36" s="1" t="s">
        <v>631</v>
      </c>
      <c r="D36" s="1" t="s">
        <v>632</v>
      </c>
      <c r="E36" s="1" t="s">
        <v>633</v>
      </c>
      <c r="F36" s="1" t="s">
        <v>634</v>
      </c>
    </row>
    <row r="37" spans="1:6" x14ac:dyDescent="0.3">
      <c r="A37" s="1" t="s">
        <v>635</v>
      </c>
      <c r="B37" s="1" t="s">
        <v>217</v>
      </c>
      <c r="C37" s="1" t="s">
        <v>636</v>
      </c>
      <c r="D37" s="1" t="s">
        <v>637</v>
      </c>
      <c r="E37" s="1" t="s">
        <v>638</v>
      </c>
      <c r="F37" s="1" t="s">
        <v>639</v>
      </c>
    </row>
    <row r="38" spans="1:6" x14ac:dyDescent="0.3">
      <c r="A38" s="1" t="s">
        <v>640</v>
      </c>
      <c r="B38" s="1" t="s">
        <v>223</v>
      </c>
      <c r="C38" s="1" t="s">
        <v>641</v>
      </c>
      <c r="D38" s="1" t="s">
        <v>642</v>
      </c>
      <c r="E38" s="1" t="s">
        <v>643</v>
      </c>
      <c r="F38" s="1" t="s">
        <v>644</v>
      </c>
    </row>
    <row r="39" spans="1:6" x14ac:dyDescent="0.3">
      <c r="A39" s="1" t="s">
        <v>645</v>
      </c>
      <c r="B39" s="1" t="s">
        <v>229</v>
      </c>
      <c r="C39" s="1" t="s">
        <v>646</v>
      </c>
      <c r="D39" s="1" t="s">
        <v>647</v>
      </c>
      <c r="E39" s="1" t="s">
        <v>648</v>
      </c>
      <c r="F39" s="1" t="s">
        <v>649</v>
      </c>
    </row>
    <row r="40" spans="1:6" x14ac:dyDescent="0.3">
      <c r="A40" s="1" t="s">
        <v>650</v>
      </c>
      <c r="B40" s="1" t="s">
        <v>235</v>
      </c>
      <c r="C40" s="1" t="s">
        <v>651</v>
      </c>
      <c r="D40" s="1" t="s">
        <v>652</v>
      </c>
      <c r="E40" s="1" t="s">
        <v>653</v>
      </c>
      <c r="F40" s="1" t="s">
        <v>654</v>
      </c>
    </row>
    <row r="41" spans="1:6" x14ac:dyDescent="0.3">
      <c r="A41" s="1" t="s">
        <v>655</v>
      </c>
      <c r="B41" s="1" t="s">
        <v>241</v>
      </c>
      <c r="C41" s="1" t="s">
        <v>656</v>
      </c>
      <c r="D41" s="1" t="s">
        <v>657</v>
      </c>
      <c r="E41" s="1" t="s">
        <v>658</v>
      </c>
      <c r="F41" s="1" t="s">
        <v>659</v>
      </c>
    </row>
    <row r="42" spans="1:6" x14ac:dyDescent="0.3">
      <c r="A42" s="1" t="s">
        <v>660</v>
      </c>
      <c r="B42" s="1" t="s">
        <v>247</v>
      </c>
      <c r="C42" s="1" t="s">
        <v>661</v>
      </c>
      <c r="D42" s="1" t="s">
        <v>662</v>
      </c>
      <c r="E42" s="1" t="s">
        <v>663</v>
      </c>
      <c r="F42" s="1" t="s">
        <v>664</v>
      </c>
    </row>
    <row r="43" spans="1:6" x14ac:dyDescent="0.3">
      <c r="A43" s="1" t="s">
        <v>665</v>
      </c>
      <c r="B43" s="1" t="s">
        <v>253</v>
      </c>
      <c r="C43" s="1" t="s">
        <v>666</v>
      </c>
      <c r="D43" s="1" t="s">
        <v>667</v>
      </c>
      <c r="E43" s="1" t="s">
        <v>668</v>
      </c>
      <c r="F43" s="1" t="s">
        <v>669</v>
      </c>
    </row>
    <row r="44" spans="1:6" x14ac:dyDescent="0.3">
      <c r="A44" s="1" t="s">
        <v>670</v>
      </c>
      <c r="B44" s="1" t="s">
        <v>259</v>
      </c>
      <c r="C44" s="1" t="s">
        <v>671</v>
      </c>
      <c r="D44" s="1" t="s">
        <v>672</v>
      </c>
      <c r="E44" s="1" t="s">
        <v>673</v>
      </c>
      <c r="F44" s="1" t="s">
        <v>674</v>
      </c>
    </row>
    <row r="45" spans="1:6" x14ac:dyDescent="0.3">
      <c r="A45" s="1" t="s">
        <v>675</v>
      </c>
      <c r="B45" s="1" t="s">
        <v>265</v>
      </c>
      <c r="C45" s="1" t="s">
        <v>676</v>
      </c>
      <c r="D45" s="1" t="s">
        <v>677</v>
      </c>
      <c r="E45" s="1" t="s">
        <v>678</v>
      </c>
      <c r="F45" s="1" t="s">
        <v>679</v>
      </c>
    </row>
    <row r="46" spans="1:6" x14ac:dyDescent="0.3">
      <c r="A46" s="1" t="s">
        <v>680</v>
      </c>
      <c r="B46" s="1" t="s">
        <v>271</v>
      </c>
      <c r="C46" s="1" t="s">
        <v>681</v>
      </c>
      <c r="D46" s="1" t="s">
        <v>682</v>
      </c>
      <c r="E46" s="1" t="s">
        <v>683</v>
      </c>
      <c r="F46" s="1" t="s">
        <v>684</v>
      </c>
    </row>
    <row r="47" spans="1:6" x14ac:dyDescent="0.3">
      <c r="A47" s="1" t="s">
        <v>685</v>
      </c>
      <c r="B47" s="1" t="s">
        <v>277</v>
      </c>
      <c r="C47" s="1" t="s">
        <v>686</v>
      </c>
      <c r="D47" s="1" t="s">
        <v>687</v>
      </c>
      <c r="E47" s="1" t="s">
        <v>688</v>
      </c>
      <c r="F47" s="1" t="s">
        <v>689</v>
      </c>
    </row>
    <row r="48" spans="1:6" x14ac:dyDescent="0.3">
      <c r="A48" s="1" t="s">
        <v>690</v>
      </c>
      <c r="B48" s="1" t="s">
        <v>283</v>
      </c>
      <c r="C48" s="1" t="s">
        <v>691</v>
      </c>
      <c r="D48" s="1" t="s">
        <v>692</v>
      </c>
      <c r="E48" s="1" t="s">
        <v>693</v>
      </c>
      <c r="F48" s="1" t="s">
        <v>694</v>
      </c>
    </row>
    <row r="49" spans="1:6" x14ac:dyDescent="0.3">
      <c r="A49" s="1" t="s">
        <v>695</v>
      </c>
      <c r="B49" s="1" t="s">
        <v>289</v>
      </c>
      <c r="C49" s="1" t="s">
        <v>696</v>
      </c>
      <c r="D49" s="1" t="s">
        <v>697</v>
      </c>
      <c r="E49" s="1" t="s">
        <v>698</v>
      </c>
      <c r="F49" s="1" t="s">
        <v>699</v>
      </c>
    </row>
    <row r="50" spans="1:6" x14ac:dyDescent="0.3">
      <c r="A50" s="1" t="s">
        <v>700</v>
      </c>
      <c r="B50" s="1" t="s">
        <v>295</v>
      </c>
      <c r="C50" s="1" t="s">
        <v>701</v>
      </c>
      <c r="D50" s="1" t="s">
        <v>702</v>
      </c>
      <c r="E50" s="1" t="s">
        <v>703</v>
      </c>
      <c r="F50" s="1" t="s">
        <v>704</v>
      </c>
    </row>
    <row r="51" spans="1:6" x14ac:dyDescent="0.3">
      <c r="A51" s="1" t="s">
        <v>705</v>
      </c>
      <c r="B51" s="1" t="s">
        <v>301</v>
      </c>
      <c r="C51" s="1" t="s">
        <v>706</v>
      </c>
      <c r="D51" s="1" t="s">
        <v>707</v>
      </c>
      <c r="E51" s="1" t="s">
        <v>708</v>
      </c>
      <c r="F51" s="1" t="s">
        <v>709</v>
      </c>
    </row>
    <row r="52" spans="1:6" x14ac:dyDescent="0.3">
      <c r="A52" s="1" t="s">
        <v>710</v>
      </c>
      <c r="B52" s="1" t="s">
        <v>307</v>
      </c>
      <c r="C52" s="1" t="s">
        <v>711</v>
      </c>
      <c r="D52" s="1" t="s">
        <v>712</v>
      </c>
      <c r="E52" s="1" t="s">
        <v>713</v>
      </c>
      <c r="F52" s="1" t="s">
        <v>714</v>
      </c>
    </row>
    <row r="53" spans="1:6" x14ac:dyDescent="0.3">
      <c r="A53" s="1" t="s">
        <v>715</v>
      </c>
      <c r="B53" s="1" t="s">
        <v>313</v>
      </c>
      <c r="C53" s="1" t="s">
        <v>716</v>
      </c>
      <c r="D53" s="1" t="s">
        <v>717</v>
      </c>
      <c r="E53" s="1" t="s">
        <v>718</v>
      </c>
      <c r="F53" s="1" t="s">
        <v>719</v>
      </c>
    </row>
    <row r="54" spans="1:6" x14ac:dyDescent="0.3">
      <c r="A54" s="1" t="s">
        <v>720</v>
      </c>
      <c r="B54" s="1" t="s">
        <v>319</v>
      </c>
      <c r="C54" s="1" t="s">
        <v>721</v>
      </c>
      <c r="D54" s="1" t="s">
        <v>722</v>
      </c>
      <c r="E54" s="1" t="s">
        <v>723</v>
      </c>
      <c r="F54" s="1" t="s">
        <v>724</v>
      </c>
    </row>
    <row r="55" spans="1:6" x14ac:dyDescent="0.3">
      <c r="A55" s="1" t="s">
        <v>725</v>
      </c>
      <c r="B55" s="1" t="s">
        <v>325</v>
      </c>
      <c r="C55" s="1" t="s">
        <v>726</v>
      </c>
      <c r="D55" s="1" t="s">
        <v>727</v>
      </c>
      <c r="E55" s="1" t="s">
        <v>728</v>
      </c>
      <c r="F55" s="1" t="s">
        <v>729</v>
      </c>
    </row>
    <row r="56" spans="1:6" x14ac:dyDescent="0.3">
      <c r="A56" s="1" t="s">
        <v>730</v>
      </c>
      <c r="B56" s="1" t="s">
        <v>331</v>
      </c>
      <c r="C56" s="1" t="s">
        <v>731</v>
      </c>
      <c r="D56" s="1" t="s">
        <v>732</v>
      </c>
      <c r="E56" s="1" t="s">
        <v>733</v>
      </c>
      <c r="F56" s="1" t="s">
        <v>734</v>
      </c>
    </row>
    <row r="57" spans="1:6" x14ac:dyDescent="0.3">
      <c r="A57" s="1" t="s">
        <v>735</v>
      </c>
      <c r="B57" s="1" t="s">
        <v>337</v>
      </c>
      <c r="C57" s="1" t="s">
        <v>736</v>
      </c>
      <c r="D57" s="1" t="s">
        <v>737</v>
      </c>
      <c r="E57" s="1" t="s">
        <v>738</v>
      </c>
      <c r="F57" s="1" t="s">
        <v>739</v>
      </c>
    </row>
    <row r="58" spans="1:6" x14ac:dyDescent="0.3">
      <c r="A58" s="1" t="s">
        <v>740</v>
      </c>
      <c r="B58" s="1" t="s">
        <v>343</v>
      </c>
      <c r="C58" s="1" t="s">
        <v>741</v>
      </c>
      <c r="D58" s="1" t="s">
        <v>742</v>
      </c>
      <c r="E58" s="1" t="s">
        <v>743</v>
      </c>
      <c r="F58" s="1" t="s">
        <v>744</v>
      </c>
    </row>
    <row r="59" spans="1:6" x14ac:dyDescent="0.3">
      <c r="A59" s="1" t="s">
        <v>745</v>
      </c>
      <c r="B59" s="1" t="s">
        <v>349</v>
      </c>
      <c r="C59" s="1" t="s">
        <v>746</v>
      </c>
      <c r="D59" s="1" t="s">
        <v>747</v>
      </c>
      <c r="E59" s="1" t="s">
        <v>748</v>
      </c>
      <c r="F59" s="1" t="s">
        <v>749</v>
      </c>
    </row>
    <row r="60" spans="1:6" x14ac:dyDescent="0.3">
      <c r="A60" s="1" t="s">
        <v>750</v>
      </c>
      <c r="B60" s="1" t="s">
        <v>355</v>
      </c>
      <c r="C60" s="1" t="s">
        <v>751</v>
      </c>
      <c r="D60" s="1" t="s">
        <v>752</v>
      </c>
      <c r="E60" s="1" t="s">
        <v>753</v>
      </c>
      <c r="F60" s="1" t="s">
        <v>754</v>
      </c>
    </row>
    <row r="61" spans="1:6" x14ac:dyDescent="0.3">
      <c r="A61" s="1" t="s">
        <v>755</v>
      </c>
      <c r="B61" s="1" t="s">
        <v>361</v>
      </c>
      <c r="C61" s="1" t="s">
        <v>756</v>
      </c>
      <c r="D61" s="1" t="s">
        <v>757</v>
      </c>
      <c r="E61" s="1" t="s">
        <v>758</v>
      </c>
      <c r="F61" s="1" t="s">
        <v>759</v>
      </c>
    </row>
    <row r="62" spans="1:6" x14ac:dyDescent="0.3">
      <c r="A62" s="1" t="s">
        <v>760</v>
      </c>
      <c r="B62" s="1" t="s">
        <v>367</v>
      </c>
      <c r="C62" s="1" t="s">
        <v>761</v>
      </c>
      <c r="D62" s="1" t="s">
        <v>762</v>
      </c>
      <c r="E62" s="1" t="s">
        <v>763</v>
      </c>
      <c r="F62" s="1" t="s">
        <v>764</v>
      </c>
    </row>
    <row r="63" spans="1:6" x14ac:dyDescent="0.3">
      <c r="A63" s="1" t="s">
        <v>765</v>
      </c>
      <c r="B63" s="1" t="s">
        <v>373</v>
      </c>
      <c r="C63" s="1" t="s">
        <v>766</v>
      </c>
      <c r="D63" s="1" t="s">
        <v>767</v>
      </c>
      <c r="E63" s="1" t="s">
        <v>768</v>
      </c>
      <c r="F63" s="1" t="s">
        <v>769</v>
      </c>
    </row>
    <row r="64" spans="1:6" x14ac:dyDescent="0.3">
      <c r="A64" s="1" t="s">
        <v>770</v>
      </c>
      <c r="B64" s="1" t="s">
        <v>378</v>
      </c>
      <c r="C64" s="1" t="s">
        <v>771</v>
      </c>
      <c r="D64" s="1" t="s">
        <v>772</v>
      </c>
      <c r="E64" s="1" t="s">
        <v>773</v>
      </c>
      <c r="F64" s="1" t="s">
        <v>774</v>
      </c>
    </row>
    <row r="65" spans="1:6" x14ac:dyDescent="0.3">
      <c r="A65" s="1" t="s">
        <v>775</v>
      </c>
      <c r="B65" s="1" t="s">
        <v>384</v>
      </c>
      <c r="C65" s="1" t="s">
        <v>776</v>
      </c>
      <c r="D65" s="1" t="s">
        <v>777</v>
      </c>
      <c r="E65" s="1" t="s">
        <v>778</v>
      </c>
      <c r="F65" s="1" t="s">
        <v>779</v>
      </c>
    </row>
    <row r="66" spans="1:6" x14ac:dyDescent="0.3">
      <c r="A66" s="1" t="s">
        <v>780</v>
      </c>
      <c r="B66" s="1" t="s">
        <v>390</v>
      </c>
      <c r="C66" s="1" t="s">
        <v>781</v>
      </c>
      <c r="D66" s="1" t="s">
        <v>782</v>
      </c>
      <c r="E66" s="1" t="s">
        <v>783</v>
      </c>
      <c r="F66" s="1" t="s">
        <v>784</v>
      </c>
    </row>
    <row r="67" spans="1:6" x14ac:dyDescent="0.3">
      <c r="A67" s="1" t="s">
        <v>785</v>
      </c>
      <c r="B67" s="1" t="s">
        <v>396</v>
      </c>
      <c r="C67" s="1" t="s">
        <v>786</v>
      </c>
      <c r="D67" s="1" t="s">
        <v>787</v>
      </c>
      <c r="E67" s="1" t="s">
        <v>788</v>
      </c>
      <c r="F67" s="1" t="s">
        <v>789</v>
      </c>
    </row>
    <row r="68" spans="1:6" x14ac:dyDescent="0.3">
      <c r="A68" s="1" t="s">
        <v>790</v>
      </c>
      <c r="B68" s="1" t="s">
        <v>402</v>
      </c>
      <c r="C68" s="1" t="s">
        <v>791</v>
      </c>
      <c r="D68" s="1" t="s">
        <v>792</v>
      </c>
      <c r="E68" s="1" t="s">
        <v>793</v>
      </c>
      <c r="F68" s="1" t="s">
        <v>794</v>
      </c>
    </row>
    <row r="69" spans="1:6" x14ac:dyDescent="0.3">
      <c r="A69" s="1" t="s">
        <v>795</v>
      </c>
      <c r="B69" s="1" t="s">
        <v>408</v>
      </c>
      <c r="C69" s="1" t="s">
        <v>796</v>
      </c>
      <c r="D69" s="1" t="s">
        <v>797</v>
      </c>
      <c r="E69" s="1" t="s">
        <v>798</v>
      </c>
      <c r="F69" s="1" t="s">
        <v>799</v>
      </c>
    </row>
    <row r="70" spans="1:6" x14ac:dyDescent="0.3">
      <c r="A70" s="1" t="s">
        <v>800</v>
      </c>
      <c r="B70" s="1" t="s">
        <v>414</v>
      </c>
      <c r="C70" s="1" t="s">
        <v>801</v>
      </c>
      <c r="D70" s="1" t="s">
        <v>802</v>
      </c>
      <c r="E70" s="1" t="s">
        <v>803</v>
      </c>
      <c r="F70" s="1" t="s">
        <v>804</v>
      </c>
    </row>
    <row r="71" spans="1:6" x14ac:dyDescent="0.3">
      <c r="A71" s="1" t="s">
        <v>805</v>
      </c>
      <c r="B71" s="1" t="s">
        <v>420</v>
      </c>
      <c r="C71" s="1" t="s">
        <v>806</v>
      </c>
      <c r="D71" s="1" t="s">
        <v>807</v>
      </c>
      <c r="E71" s="1" t="s">
        <v>808</v>
      </c>
      <c r="F71" s="1" t="s">
        <v>809</v>
      </c>
    </row>
    <row r="72" spans="1:6" x14ac:dyDescent="0.3">
      <c r="A72" s="1" t="s">
        <v>810</v>
      </c>
      <c r="B72" s="1" t="s">
        <v>426</v>
      </c>
      <c r="C72" s="1" t="s">
        <v>811</v>
      </c>
      <c r="D72" s="1" t="s">
        <v>812</v>
      </c>
      <c r="E72" s="1" t="s">
        <v>813</v>
      </c>
      <c r="F72" s="1" t="s">
        <v>814</v>
      </c>
    </row>
    <row r="73" spans="1:6" x14ac:dyDescent="0.3">
      <c r="A73" s="1" t="s">
        <v>815</v>
      </c>
      <c r="B73" s="1" t="s">
        <v>432</v>
      </c>
      <c r="C73" s="1" t="s">
        <v>816</v>
      </c>
      <c r="D73" s="1" t="s">
        <v>817</v>
      </c>
      <c r="E73" s="1" t="s">
        <v>818</v>
      </c>
      <c r="F73" s="1" t="s">
        <v>819</v>
      </c>
    </row>
    <row r="74" spans="1:6" x14ac:dyDescent="0.3">
      <c r="A74" s="1" t="s">
        <v>820</v>
      </c>
      <c r="B74" s="1" t="s">
        <v>438</v>
      </c>
      <c r="C74" s="1" t="s">
        <v>821</v>
      </c>
      <c r="D74" s="1" t="s">
        <v>822</v>
      </c>
      <c r="E74" s="1" t="s">
        <v>823</v>
      </c>
      <c r="F74" s="1" t="s">
        <v>824</v>
      </c>
    </row>
    <row r="75" spans="1:6" x14ac:dyDescent="0.3">
      <c r="A75" s="1" t="s">
        <v>825</v>
      </c>
      <c r="B75" s="1" t="s">
        <v>444</v>
      </c>
      <c r="C75" s="1" t="s">
        <v>826</v>
      </c>
      <c r="D75" s="1" t="s">
        <v>827</v>
      </c>
      <c r="E75" s="1" t="s">
        <v>828</v>
      </c>
      <c r="F75" s="1" t="s">
        <v>829</v>
      </c>
    </row>
    <row r="76" spans="1:6" x14ac:dyDescent="0.3">
      <c r="A76" s="1" t="s">
        <v>830</v>
      </c>
      <c r="B76" s="1" t="s">
        <v>450</v>
      </c>
      <c r="C76" s="1" t="s">
        <v>831</v>
      </c>
      <c r="D76" s="1" t="s">
        <v>832</v>
      </c>
      <c r="E76" s="1" t="s">
        <v>833</v>
      </c>
      <c r="F76" s="1" t="s">
        <v>834</v>
      </c>
    </row>
    <row r="77" spans="1:6" x14ac:dyDescent="0.3">
      <c r="A77" s="1" t="s">
        <v>835</v>
      </c>
      <c r="B77" s="1" t="s">
        <v>456</v>
      </c>
      <c r="C77" s="1" t="s">
        <v>836</v>
      </c>
      <c r="D77" s="1" t="s">
        <v>837</v>
      </c>
      <c r="E77" s="1" t="s">
        <v>838</v>
      </c>
      <c r="F77" s="1" t="s">
        <v>839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66A1-573C-402F-998F-EEFEC8A28158}">
  <dimension ref="B1:O83"/>
  <sheetViews>
    <sheetView tabSelected="1" topLeftCell="A63" workbookViewId="0">
      <selection activeCell="O83" sqref="O83"/>
    </sheetView>
  </sheetViews>
  <sheetFormatPr defaultRowHeight="14.4" x14ac:dyDescent="0.3"/>
  <cols>
    <col min="2" max="2" width="9.5546875" bestFit="1" customWidth="1"/>
    <col min="3" max="6" width="9" bestFit="1" customWidth="1"/>
    <col min="7" max="7" width="9" style="2" bestFit="1" customWidth="1"/>
    <col min="10" max="10" width="15.5546875" customWidth="1"/>
  </cols>
  <sheetData>
    <row r="1" spans="2:15" x14ac:dyDescent="0.3">
      <c r="K1" t="s">
        <v>462</v>
      </c>
    </row>
    <row r="2" spans="2:15" x14ac:dyDescent="0.3">
      <c r="E2" t="s">
        <v>463</v>
      </c>
    </row>
    <row r="3" spans="2:15" x14ac:dyDescent="0.3">
      <c r="M3" t="s">
        <v>464</v>
      </c>
    </row>
    <row r="4" spans="2:15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J4" t="s">
        <v>0</v>
      </c>
      <c r="K4" t="s">
        <v>1</v>
      </c>
      <c r="L4" t="s">
        <v>2</v>
      </c>
      <c r="M4" t="s">
        <v>3</v>
      </c>
      <c r="N4" t="s">
        <v>4</v>
      </c>
      <c r="O4" t="s">
        <v>5</v>
      </c>
    </row>
    <row r="5" spans="2:15" x14ac:dyDescent="0.3"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</row>
    <row r="6" spans="2:15" x14ac:dyDescent="0.3">
      <c r="B6" s="3">
        <v>520.59412002563397</v>
      </c>
      <c r="C6" s="3">
        <v>0</v>
      </c>
      <c r="D6" s="3">
        <v>0.92622548093276302</v>
      </c>
      <c r="E6" s="3">
        <v>0.96169995683396703</v>
      </c>
      <c r="F6" s="3">
        <v>0.98804604188924905</v>
      </c>
      <c r="G6" s="3">
        <v>0.99302478927953697</v>
      </c>
      <c r="J6" s="1">
        <v>4413.0349159240704</v>
      </c>
      <c r="K6" s="1">
        <v>0</v>
      </c>
      <c r="L6" s="1">
        <v>0.89178980939060404</v>
      </c>
      <c r="M6" s="1">
        <v>0.94280009857741298</v>
      </c>
      <c r="N6" s="1">
        <v>0.95906058800447602</v>
      </c>
      <c r="O6" s="1">
        <v>0.98860430447946002</v>
      </c>
    </row>
    <row r="7" spans="2:15" x14ac:dyDescent="0.3">
      <c r="B7" s="3">
        <v>133.84175300598099</v>
      </c>
      <c r="C7" s="3">
        <v>1</v>
      </c>
      <c r="D7" s="3">
        <v>0.91356715606307703</v>
      </c>
      <c r="E7" s="3">
        <v>0.954831559653883</v>
      </c>
      <c r="F7" s="3">
        <v>0.96807744389063299</v>
      </c>
      <c r="G7" s="3">
        <v>0.99342156114305802</v>
      </c>
      <c r="J7" s="1">
        <v>2228.3556461334201</v>
      </c>
      <c r="K7" s="1">
        <v>1</v>
      </c>
      <c r="L7" s="1">
        <v>0.92547505667901897</v>
      </c>
      <c r="M7" s="1">
        <v>0.96129529538049696</v>
      </c>
      <c r="N7" s="1">
        <v>0.98266577723638504</v>
      </c>
      <c r="O7" s="1">
        <v>0.99323697360917196</v>
      </c>
    </row>
    <row r="8" spans="2:15" x14ac:dyDescent="0.3">
      <c r="B8" s="3">
        <v>135.772228240966</v>
      </c>
      <c r="C8" s="3">
        <v>2</v>
      </c>
      <c r="D8" s="3">
        <v>0.89354225017174804</v>
      </c>
      <c r="E8" s="3">
        <v>0.94377851890096698</v>
      </c>
      <c r="F8" s="3">
        <v>0.95222496503693399</v>
      </c>
      <c r="G8" s="3">
        <v>0.99257246280658296</v>
      </c>
      <c r="J8" s="1">
        <v>1886.75928115844</v>
      </c>
      <c r="K8" s="1">
        <v>2</v>
      </c>
      <c r="L8" s="1">
        <v>0.89669195159099901</v>
      </c>
      <c r="M8" s="1">
        <v>0.94553251078945999</v>
      </c>
      <c r="N8" s="1">
        <v>0.95461443839161597</v>
      </c>
      <c r="O8" s="1">
        <v>0.99124197785964996</v>
      </c>
    </row>
    <row r="9" spans="2:15" x14ac:dyDescent="0.3">
      <c r="B9" s="3">
        <v>140.26021957397401</v>
      </c>
      <c r="C9" s="3">
        <v>3</v>
      </c>
      <c r="D9" s="3">
        <v>0.911037170974626</v>
      </c>
      <c r="E9" s="3">
        <v>0.95344788140358205</v>
      </c>
      <c r="F9" s="3">
        <v>0.96858036509174505</v>
      </c>
      <c r="G9" s="3">
        <v>0.99130146075132697</v>
      </c>
      <c r="J9" s="1">
        <v>1698.8353729247999</v>
      </c>
      <c r="K9" s="1">
        <v>3</v>
      </c>
      <c r="L9" s="1">
        <v>0.92129243426708296</v>
      </c>
      <c r="M9" s="1">
        <v>0.95903405211557902</v>
      </c>
      <c r="N9" s="1">
        <v>0.98098072985177798</v>
      </c>
      <c r="O9" s="1">
        <v>0.98939622281360196</v>
      </c>
    </row>
    <row r="10" spans="2:15" x14ac:dyDescent="0.3">
      <c r="B10" s="3">
        <v>138.75579833984301</v>
      </c>
      <c r="C10" s="3">
        <v>4</v>
      </c>
      <c r="D10" s="3">
        <v>0.93724575688298695</v>
      </c>
      <c r="E10" s="3">
        <v>0.96760646247692195</v>
      </c>
      <c r="F10" s="3">
        <v>0.99336962106169302</v>
      </c>
      <c r="G10" s="3">
        <v>0.99046478770471602</v>
      </c>
      <c r="J10" s="1">
        <v>1642.5743103027301</v>
      </c>
      <c r="K10" s="1">
        <v>4</v>
      </c>
      <c r="L10" s="1">
        <v>0.92363310961968603</v>
      </c>
      <c r="M10" s="1">
        <v>0.96030069871514501</v>
      </c>
      <c r="N10" s="1">
        <v>0.99125106840684896</v>
      </c>
      <c r="O10" s="1">
        <v>0.99192862716779795</v>
      </c>
    </row>
    <row r="11" spans="2:15" x14ac:dyDescent="0.3">
      <c r="B11" s="3">
        <v>139.47224617004301</v>
      </c>
      <c r="C11" s="3">
        <v>5</v>
      </c>
      <c r="D11" s="3">
        <v>0.88981182584048502</v>
      </c>
      <c r="E11" s="3">
        <v>0.94169357358608397</v>
      </c>
      <c r="F11" s="3">
        <v>0.95751080233838803</v>
      </c>
      <c r="G11" s="3">
        <v>0.99247080129790599</v>
      </c>
      <c r="J11" s="1">
        <v>1621.1738586425699</v>
      </c>
      <c r="K11" s="1">
        <v>5</v>
      </c>
      <c r="L11" s="1">
        <v>0.90452464973271296</v>
      </c>
      <c r="M11" s="1">
        <v>0.94986919687246596</v>
      </c>
      <c r="N11" s="1">
        <v>0.97032256130014005</v>
      </c>
      <c r="O11" s="1">
        <v>0.98939656349878402</v>
      </c>
    </row>
    <row r="12" spans="2:15" x14ac:dyDescent="0.3">
      <c r="B12" s="3">
        <v>139.21999931335401</v>
      </c>
      <c r="C12" s="3">
        <v>6</v>
      </c>
      <c r="D12" s="3">
        <v>0.91127395000634404</v>
      </c>
      <c r="E12" s="3">
        <v>0.95357753398283795</v>
      </c>
      <c r="F12" s="3">
        <v>0.96162150400856905</v>
      </c>
      <c r="G12" s="3">
        <v>0.99289406101937105</v>
      </c>
      <c r="J12" s="1">
        <v>1720.01647949218</v>
      </c>
      <c r="K12" s="1">
        <v>6</v>
      </c>
      <c r="L12" s="1">
        <v>0.90904748770593802</v>
      </c>
      <c r="M12" s="1">
        <v>0.95235712423091201</v>
      </c>
      <c r="N12" s="1">
        <v>0.96874305500792102</v>
      </c>
      <c r="O12" s="1">
        <v>0.98992395667301303</v>
      </c>
    </row>
    <row r="13" spans="2:15" x14ac:dyDescent="0.3">
      <c r="B13" s="3">
        <v>139.16540145874001</v>
      </c>
      <c r="C13" s="3">
        <v>7</v>
      </c>
      <c r="D13" s="3">
        <v>0.90330612912337005</v>
      </c>
      <c r="E13" s="3">
        <v>0.94919688987647699</v>
      </c>
      <c r="F13" s="3">
        <v>0.94393655774503404</v>
      </c>
      <c r="G13" s="3">
        <v>0.993704264597006</v>
      </c>
      <c r="J13" s="1">
        <v>1746.5646266937199</v>
      </c>
      <c r="K13" s="1">
        <v>7</v>
      </c>
      <c r="L13" s="1">
        <v>0.87376730551705395</v>
      </c>
      <c r="M13" s="1">
        <v>0.93263160579690396</v>
      </c>
      <c r="N13" s="1">
        <v>0.94686094590278502</v>
      </c>
      <c r="O13" s="1">
        <v>0.989610058226987</v>
      </c>
    </row>
    <row r="14" spans="2:15" x14ac:dyDescent="0.3">
      <c r="B14" s="3">
        <v>134.20391082763601</v>
      </c>
      <c r="C14" s="3">
        <v>8</v>
      </c>
      <c r="D14" s="3">
        <v>0.89783739441634802</v>
      </c>
      <c r="E14" s="3">
        <v>0.94616893634606103</v>
      </c>
      <c r="F14" s="3">
        <v>0.957921768151347</v>
      </c>
      <c r="G14" s="3">
        <v>0.99263394251341497</v>
      </c>
      <c r="J14" s="1">
        <v>2362.2300624847398</v>
      </c>
      <c r="K14" s="1">
        <v>8</v>
      </c>
      <c r="L14" s="1">
        <v>0.91200126163065698</v>
      </c>
      <c r="M14" s="1">
        <v>0.95397558561530804</v>
      </c>
      <c r="N14" s="1">
        <v>0.97335053859964005</v>
      </c>
      <c r="O14" s="1">
        <v>0.99091477882850099</v>
      </c>
    </row>
    <row r="15" spans="2:15" x14ac:dyDescent="0.3">
      <c r="B15" s="3">
        <v>139.37520980834901</v>
      </c>
      <c r="C15" s="3">
        <v>9</v>
      </c>
      <c r="D15" s="3">
        <v>0.91660991297767602</v>
      </c>
      <c r="E15" s="3">
        <v>0.95649084017687902</v>
      </c>
      <c r="F15" s="3">
        <v>0.97084188253398296</v>
      </c>
      <c r="G15" s="3">
        <v>0.99200916207696799</v>
      </c>
      <c r="J15" s="1">
        <v>1605.45301437377</v>
      </c>
      <c r="K15" s="1">
        <v>9</v>
      </c>
      <c r="L15" s="1">
        <v>0.91711093259329501</v>
      </c>
      <c r="M15" s="1">
        <v>0.95676355186468998</v>
      </c>
      <c r="N15" s="1">
        <v>0.98162205353575704</v>
      </c>
      <c r="O15" s="1">
        <v>0.99132347301052604</v>
      </c>
    </row>
    <row r="16" spans="2:15" x14ac:dyDescent="0.3">
      <c r="B16" s="3">
        <v>135.68115234375</v>
      </c>
      <c r="C16" s="3">
        <v>10</v>
      </c>
      <c r="D16" s="3">
        <v>0.90247938191341004</v>
      </c>
      <c r="E16" s="3">
        <v>0.94874024969011295</v>
      </c>
      <c r="F16" s="3">
        <v>0.94362215880065103</v>
      </c>
      <c r="G16" s="3">
        <v>0.99257787245650997</v>
      </c>
      <c r="J16" s="1">
        <v>1760.910987854</v>
      </c>
      <c r="K16" s="1">
        <v>10</v>
      </c>
      <c r="L16" s="1">
        <v>0.89611811568404798</v>
      </c>
      <c r="M16" s="1">
        <v>0.9452133896846</v>
      </c>
      <c r="N16" s="1">
        <v>0.94369893538004401</v>
      </c>
      <c r="O16" s="1">
        <v>0.99172629079673802</v>
      </c>
    </row>
    <row r="17" spans="2:15" x14ac:dyDescent="0.3">
      <c r="B17" s="3">
        <v>139.71781730651799</v>
      </c>
      <c r="C17" s="3">
        <v>11</v>
      </c>
      <c r="D17" s="3">
        <v>0.878902895350263</v>
      </c>
      <c r="E17" s="3">
        <v>0.93554903505156295</v>
      </c>
      <c r="F17" s="3">
        <v>0.91556304615237105</v>
      </c>
      <c r="G17" s="3">
        <v>0.99434470240918704</v>
      </c>
      <c r="J17" s="1">
        <v>2273.8497257232598</v>
      </c>
      <c r="K17" s="1">
        <v>11</v>
      </c>
      <c r="L17" s="1">
        <v>0.89235010988121999</v>
      </c>
      <c r="M17" s="1">
        <v>0.94311312184956198</v>
      </c>
      <c r="N17" s="1">
        <v>0.95135185637693798</v>
      </c>
      <c r="O17" s="1">
        <v>0.98988381784714397</v>
      </c>
    </row>
    <row r="18" spans="2:15" x14ac:dyDescent="0.3">
      <c r="B18" s="3">
        <v>134.23466682434</v>
      </c>
      <c r="C18" s="3">
        <v>12</v>
      </c>
      <c r="D18" s="3">
        <v>0.91052777265177998</v>
      </c>
      <c r="E18" s="3">
        <v>0.95316884233300903</v>
      </c>
      <c r="F18" s="3">
        <v>0.96860093048821105</v>
      </c>
      <c r="G18" s="3">
        <v>0.99313611367559096</v>
      </c>
      <c r="J18" s="1">
        <v>1718.0559635162299</v>
      </c>
      <c r="K18" s="1">
        <v>12</v>
      </c>
      <c r="L18" s="1">
        <v>0.91671282576785595</v>
      </c>
      <c r="M18" s="1">
        <v>0.95654686862191896</v>
      </c>
      <c r="N18" s="1">
        <v>0.97109432301598897</v>
      </c>
      <c r="O18" s="1">
        <v>0.99113387325209701</v>
      </c>
    </row>
    <row r="19" spans="2:15" x14ac:dyDescent="0.3">
      <c r="B19" s="3">
        <v>140.999794006347</v>
      </c>
      <c r="C19" s="3">
        <v>13</v>
      </c>
      <c r="D19" s="3">
        <v>0.89848692696709698</v>
      </c>
      <c r="E19" s="3">
        <v>0.94652948535438497</v>
      </c>
      <c r="F19" s="3">
        <v>0.95662631341830195</v>
      </c>
      <c r="G19" s="3">
        <v>0.99022457676424103</v>
      </c>
      <c r="J19" s="1">
        <v>1802.0546436309801</v>
      </c>
      <c r="K19" s="1">
        <v>13</v>
      </c>
      <c r="L19" s="1">
        <v>0.91588802529064595</v>
      </c>
      <c r="M19" s="1">
        <v>0.95609765623093002</v>
      </c>
      <c r="N19" s="1">
        <v>0.98699780272945303</v>
      </c>
      <c r="O19" s="1">
        <v>0.99188612984298896</v>
      </c>
    </row>
    <row r="20" spans="2:15" x14ac:dyDescent="0.3">
      <c r="B20" s="3">
        <v>131.37316703796299</v>
      </c>
      <c r="C20" s="3">
        <v>14</v>
      </c>
      <c r="D20" s="3">
        <v>0.92564681624036504</v>
      </c>
      <c r="E20" s="3">
        <v>0.96138794345226697</v>
      </c>
      <c r="F20" s="3">
        <v>0.98253400267504998</v>
      </c>
      <c r="G20" s="3">
        <v>0.99241942153629903</v>
      </c>
      <c r="J20" s="1">
        <v>1810.0206851959199</v>
      </c>
      <c r="K20" s="1">
        <v>14</v>
      </c>
      <c r="L20" s="1">
        <v>0.89570386167055205</v>
      </c>
      <c r="M20" s="1">
        <v>0.94498289504061095</v>
      </c>
      <c r="N20" s="1">
        <v>0.95414243816434097</v>
      </c>
      <c r="O20" s="1">
        <v>0.99172900982374801</v>
      </c>
    </row>
    <row r="21" spans="2:15" x14ac:dyDescent="0.3">
      <c r="B21" s="3">
        <v>139.63651657104401</v>
      </c>
      <c r="C21" s="3">
        <v>15</v>
      </c>
      <c r="D21" s="3">
        <v>0.92127854473528403</v>
      </c>
      <c r="E21" s="3">
        <v>0.95902652664267296</v>
      </c>
      <c r="F21" s="3">
        <v>0.982128659822323</v>
      </c>
      <c r="G21" s="3">
        <v>0.99180691636472695</v>
      </c>
      <c r="J21" s="1">
        <v>2703.23586463928</v>
      </c>
      <c r="K21" s="1">
        <v>15</v>
      </c>
      <c r="L21" s="1">
        <v>0.88048484105831704</v>
      </c>
      <c r="M21" s="1">
        <v>0.93644449754010195</v>
      </c>
      <c r="N21" s="1">
        <v>0.96312802984607804</v>
      </c>
      <c r="O21" s="1">
        <v>0.99123820447317601</v>
      </c>
    </row>
    <row r="22" spans="2:15" x14ac:dyDescent="0.3">
      <c r="B22" s="3">
        <v>139.586448669433</v>
      </c>
      <c r="C22" s="3">
        <v>16</v>
      </c>
      <c r="D22" s="3">
        <v>0.91269482314258399</v>
      </c>
      <c r="E22" s="3">
        <v>0.95435488411372804</v>
      </c>
      <c r="F22" s="3">
        <v>0.964063364955145</v>
      </c>
      <c r="G22" s="3">
        <v>0.991903611303527</v>
      </c>
      <c r="J22" s="1">
        <v>2073.2686519622798</v>
      </c>
      <c r="K22" s="1">
        <v>16</v>
      </c>
      <c r="L22" s="1">
        <v>0.89436050306377901</v>
      </c>
      <c r="M22" s="1">
        <v>0.94423474477779201</v>
      </c>
      <c r="N22" s="1">
        <v>0.96829548690580403</v>
      </c>
      <c r="O22" s="1">
        <v>0.991782025513675</v>
      </c>
    </row>
    <row r="23" spans="2:15" x14ac:dyDescent="0.3">
      <c r="B23" s="3">
        <v>139.05143737792901</v>
      </c>
      <c r="C23" s="3">
        <v>17</v>
      </c>
      <c r="D23" s="3">
        <v>0.90839440095373802</v>
      </c>
      <c r="E23" s="3">
        <v>0.95199860207068199</v>
      </c>
      <c r="F23" s="3">
        <v>0.97717611608343902</v>
      </c>
      <c r="G23" s="3">
        <v>0.99099000074700905</v>
      </c>
      <c r="J23" s="1">
        <v>2063.7149810791002</v>
      </c>
      <c r="K23" s="1">
        <v>17</v>
      </c>
      <c r="L23" s="1">
        <v>0.91857981229708496</v>
      </c>
      <c r="M23" s="1">
        <v>0.95756226184542603</v>
      </c>
      <c r="N23" s="1">
        <v>0.98277270364594904</v>
      </c>
      <c r="O23" s="1">
        <v>0.99086667392731897</v>
      </c>
    </row>
    <row r="24" spans="2:15" x14ac:dyDescent="0.3">
      <c r="B24" s="3">
        <v>139.25027847289999</v>
      </c>
      <c r="C24" s="3">
        <v>18</v>
      </c>
      <c r="D24" s="3">
        <v>0.93317169690382595</v>
      </c>
      <c r="E24" s="3">
        <v>0.96543074616537805</v>
      </c>
      <c r="F24" s="3">
        <v>0.98426672349556499</v>
      </c>
      <c r="G24" s="3">
        <v>0.99183447580534601</v>
      </c>
      <c r="J24" s="1">
        <v>2009.6831321716299</v>
      </c>
      <c r="K24" s="1">
        <v>18</v>
      </c>
      <c r="L24" s="1">
        <v>0.91094857657252104</v>
      </c>
      <c r="M24" s="1">
        <v>0.95339936169962103</v>
      </c>
      <c r="N24" s="1">
        <v>0.97413723948723696</v>
      </c>
      <c r="O24" s="1">
        <v>0.99064094432622796</v>
      </c>
    </row>
    <row r="25" spans="2:15" x14ac:dyDescent="0.3">
      <c r="B25" s="3">
        <v>139.517784118652</v>
      </c>
      <c r="C25" s="3">
        <v>19</v>
      </c>
      <c r="D25" s="3">
        <v>0.92973803188612703</v>
      </c>
      <c r="E25" s="3">
        <v>0.96358989305651999</v>
      </c>
      <c r="F25" s="3">
        <v>0.97366791518153795</v>
      </c>
      <c r="G25" s="3">
        <v>0.99317034727861697</v>
      </c>
      <c r="J25" s="1">
        <v>1788.4948253631501</v>
      </c>
      <c r="K25" s="1">
        <v>19</v>
      </c>
      <c r="L25" s="1">
        <v>0.88636199087742396</v>
      </c>
      <c r="M25" s="1">
        <v>0.939758111289277</v>
      </c>
      <c r="N25" s="1">
        <v>0.95693900416018896</v>
      </c>
      <c r="O25" s="1">
        <v>0.99017823377474801</v>
      </c>
    </row>
    <row r="26" spans="2:15" x14ac:dyDescent="0.3">
      <c r="B26" s="3">
        <v>134.06753540039</v>
      </c>
      <c r="C26" s="3">
        <v>20</v>
      </c>
      <c r="D26" s="3">
        <v>0.90671166530102298</v>
      </c>
      <c r="E26" s="3">
        <v>0.95107370642521905</v>
      </c>
      <c r="F26" s="3">
        <v>0.97068760367903095</v>
      </c>
      <c r="G26" s="3">
        <v>0.99129668097579104</v>
      </c>
      <c r="J26" s="1">
        <v>1763.1151676177899</v>
      </c>
      <c r="K26" s="1">
        <v>20</v>
      </c>
      <c r="L26" s="1">
        <v>0.91663323364213201</v>
      </c>
      <c r="M26" s="1">
        <v>0.95650353709068903</v>
      </c>
      <c r="N26" s="1">
        <v>0.98671993090045296</v>
      </c>
      <c r="O26" s="1">
        <v>0.99177136434793001</v>
      </c>
    </row>
    <row r="27" spans="2:15" x14ac:dyDescent="0.3">
      <c r="B27" s="3">
        <v>139.761924743652</v>
      </c>
      <c r="C27" s="3">
        <v>21</v>
      </c>
      <c r="D27" s="3">
        <v>0.91141448669416303</v>
      </c>
      <c r="E27" s="3">
        <v>0.953654472160537</v>
      </c>
      <c r="F27" s="3">
        <v>0.96395864768364203</v>
      </c>
      <c r="G27" s="3">
        <v>0.99156227929970597</v>
      </c>
      <c r="J27" s="1">
        <v>1702.0099163055399</v>
      </c>
      <c r="K27" s="1">
        <v>21</v>
      </c>
      <c r="L27" s="1">
        <v>0.92273409757143798</v>
      </c>
      <c r="M27" s="1">
        <v>0.95981456690961298</v>
      </c>
      <c r="N27" s="1">
        <v>0.99034813229538798</v>
      </c>
      <c r="O27" s="1">
        <v>0.99077196972381398</v>
      </c>
    </row>
    <row r="28" spans="2:15" x14ac:dyDescent="0.3">
      <c r="B28" s="3">
        <v>138.92340660095201</v>
      </c>
      <c r="C28" s="3">
        <v>22</v>
      </c>
      <c r="D28" s="3">
        <v>0.92433933115908995</v>
      </c>
      <c r="E28" s="3">
        <v>0.96068226241816801</v>
      </c>
      <c r="F28" s="3">
        <v>0.98040845404891896</v>
      </c>
      <c r="G28" s="3">
        <v>0.99169093712523504</v>
      </c>
      <c r="J28" s="1">
        <v>2428.67088317871</v>
      </c>
      <c r="K28" s="1">
        <v>22</v>
      </c>
      <c r="L28" s="1">
        <v>0.894138149281682</v>
      </c>
      <c r="M28" s="1">
        <v>0.94411080799018599</v>
      </c>
      <c r="N28" s="1">
        <v>0.96797477027623102</v>
      </c>
      <c r="O28" s="1">
        <v>0.99066064424357902</v>
      </c>
    </row>
    <row r="29" spans="2:15" x14ac:dyDescent="0.3">
      <c r="B29" s="3">
        <v>139.12129402160599</v>
      </c>
      <c r="C29" s="3">
        <v>23</v>
      </c>
      <c r="D29" s="3">
        <v>0.90852912342381897</v>
      </c>
      <c r="E29" s="3">
        <v>0.95207258015948604</v>
      </c>
      <c r="F29" s="3">
        <v>0.95588894342602204</v>
      </c>
      <c r="G29" s="3">
        <v>0.99192950653029299</v>
      </c>
      <c r="J29" s="1">
        <v>1851.56655311584</v>
      </c>
      <c r="K29" s="1">
        <v>23</v>
      </c>
      <c r="L29" s="1">
        <v>0.80221942819657699</v>
      </c>
      <c r="M29" s="1">
        <v>0.89025721912157196</v>
      </c>
      <c r="N29" s="1">
        <v>0.94776126288207996</v>
      </c>
      <c r="O29" s="1">
        <v>0.97908505630250897</v>
      </c>
    </row>
    <row r="30" spans="2:15" x14ac:dyDescent="0.3">
      <c r="B30" s="3">
        <v>139.09149169921801</v>
      </c>
      <c r="C30" s="3">
        <v>24</v>
      </c>
      <c r="D30" s="3">
        <v>0.91184935342301598</v>
      </c>
      <c r="E30" s="3">
        <v>0.953892472532337</v>
      </c>
      <c r="F30" s="3">
        <v>0.960157969434559</v>
      </c>
      <c r="G30" s="3">
        <v>0.99144036112880396</v>
      </c>
      <c r="J30" s="1">
        <v>2321.6779232025101</v>
      </c>
      <c r="K30" s="1">
        <v>24</v>
      </c>
      <c r="L30" s="1">
        <v>0.91867595403941105</v>
      </c>
      <c r="M30" s="1">
        <v>0.95761449671093402</v>
      </c>
      <c r="N30" s="1">
        <v>0.97718673315918603</v>
      </c>
      <c r="O30" s="1">
        <v>0.99127564662790602</v>
      </c>
    </row>
    <row r="31" spans="2:15" x14ac:dyDescent="0.3">
      <c r="B31" s="3">
        <v>139.06455039977999</v>
      </c>
      <c r="C31" s="3">
        <v>25</v>
      </c>
      <c r="D31" s="3">
        <v>0.90905568639367895</v>
      </c>
      <c r="E31" s="3">
        <v>0.95236162346939102</v>
      </c>
      <c r="F31" s="3">
        <v>0.95989828169872704</v>
      </c>
      <c r="G31" s="3">
        <v>0.99245387577685396</v>
      </c>
      <c r="J31" s="1">
        <v>2227.7488708495998</v>
      </c>
      <c r="K31" s="1">
        <v>25</v>
      </c>
      <c r="L31" s="1">
        <v>0.89511699701549396</v>
      </c>
      <c r="M31" s="1">
        <v>0.94465618579239197</v>
      </c>
      <c r="N31" s="1">
        <v>0.96171815295406005</v>
      </c>
      <c r="O31" s="1">
        <v>0.98975314897536903</v>
      </c>
    </row>
    <row r="32" spans="2:15" x14ac:dyDescent="0.3">
      <c r="B32" s="3">
        <v>139.08839225769</v>
      </c>
      <c r="C32" s="3">
        <v>26</v>
      </c>
      <c r="D32" s="3">
        <v>0.92951288116447695</v>
      </c>
      <c r="E32" s="3">
        <v>0.96346895658297804</v>
      </c>
      <c r="F32" s="3">
        <v>0.97612280372075499</v>
      </c>
      <c r="G32" s="3">
        <v>0.99027767657078303</v>
      </c>
      <c r="J32" s="1">
        <v>2065.3631687164302</v>
      </c>
      <c r="K32" s="1">
        <v>26</v>
      </c>
      <c r="L32" s="1">
        <v>0.89544695976843502</v>
      </c>
      <c r="M32" s="1">
        <v>0.94483990190665201</v>
      </c>
      <c r="N32" s="1">
        <v>0.96700029527659204</v>
      </c>
      <c r="O32" s="1">
        <v>0.99174210275442098</v>
      </c>
    </row>
    <row r="33" spans="2:15" x14ac:dyDescent="0.3">
      <c r="B33" s="3">
        <v>139.37020301818799</v>
      </c>
      <c r="C33" s="3">
        <v>27</v>
      </c>
      <c r="D33" s="3">
        <v>0.88896703902909902</v>
      </c>
      <c r="E33" s="3">
        <v>0.941220276120874</v>
      </c>
      <c r="F33" s="3">
        <v>0.92421624644237099</v>
      </c>
      <c r="G33" s="3">
        <v>0.99391587383825697</v>
      </c>
      <c r="J33" s="1">
        <v>2117.9270744323699</v>
      </c>
      <c r="K33" s="1">
        <v>27</v>
      </c>
      <c r="L33" s="1">
        <v>0.91463734332820801</v>
      </c>
      <c r="M33" s="1">
        <v>0.95541575694778502</v>
      </c>
      <c r="N33" s="1">
        <v>0.97563390394135197</v>
      </c>
      <c r="O33" s="1">
        <v>0.99036955627272105</v>
      </c>
    </row>
    <row r="34" spans="2:15" x14ac:dyDescent="0.3">
      <c r="B34" s="3">
        <v>139.66536521911601</v>
      </c>
      <c r="C34" s="3">
        <v>28</v>
      </c>
      <c r="D34" s="3">
        <v>0.847518259055</v>
      </c>
      <c r="E34" s="3">
        <v>0.917466720451795</v>
      </c>
      <c r="F34" s="3">
        <v>0.96776572709135</v>
      </c>
      <c r="G34" s="3">
        <v>0.98408496222498698</v>
      </c>
      <c r="J34" s="1">
        <v>1790.0376319885199</v>
      </c>
      <c r="K34" s="1">
        <v>28</v>
      </c>
      <c r="L34" s="1">
        <v>0.91119873817034702</v>
      </c>
      <c r="M34" s="1">
        <v>0.95353635388297397</v>
      </c>
      <c r="N34" s="1">
        <v>0.97293823571124605</v>
      </c>
      <c r="O34" s="1">
        <v>0.99183123877917401</v>
      </c>
    </row>
    <row r="35" spans="2:15" x14ac:dyDescent="0.3">
      <c r="B35" s="3">
        <v>139.270067214965</v>
      </c>
      <c r="C35" s="3">
        <v>29</v>
      </c>
      <c r="D35" s="3">
        <v>0.87381112700951102</v>
      </c>
      <c r="E35" s="3">
        <v>0.93265656758486704</v>
      </c>
      <c r="F35" s="3">
        <v>0.90904513812880305</v>
      </c>
      <c r="G35" s="3">
        <v>0.99393766524414995</v>
      </c>
      <c r="J35" s="1">
        <v>1644.4892883300699</v>
      </c>
      <c r="K35" s="1">
        <v>29</v>
      </c>
      <c r="L35" s="1">
        <v>0.75034285821638502</v>
      </c>
      <c r="M35" s="1">
        <v>0.85736672069035802</v>
      </c>
      <c r="N35" s="1">
        <v>0.94888140962185696</v>
      </c>
      <c r="O35" s="1">
        <v>0.96377321503500402</v>
      </c>
    </row>
    <row r="36" spans="2:15" x14ac:dyDescent="0.3">
      <c r="B36" s="3">
        <v>139.38140869140599</v>
      </c>
      <c r="C36" s="3">
        <v>30</v>
      </c>
      <c r="D36" s="3">
        <v>0.90461164372755198</v>
      </c>
      <c r="E36" s="3">
        <v>0.94991716206997301</v>
      </c>
      <c r="F36" s="3">
        <v>0.97677098678211005</v>
      </c>
      <c r="G36" s="3">
        <v>0.99161034036090201</v>
      </c>
      <c r="J36" s="1">
        <v>1816.61486625671</v>
      </c>
      <c r="K36" s="1">
        <v>30</v>
      </c>
      <c r="L36" s="1">
        <v>0.91011319409370395</v>
      </c>
      <c r="M36" s="1">
        <v>0.95294163393863895</v>
      </c>
      <c r="N36" s="1">
        <v>0.97101242551033295</v>
      </c>
      <c r="O36" s="1">
        <v>0.99084546132630202</v>
      </c>
    </row>
    <row r="37" spans="2:15" x14ac:dyDescent="0.3">
      <c r="B37" s="3">
        <v>143.16153526306101</v>
      </c>
      <c r="C37" s="3">
        <v>31</v>
      </c>
      <c r="D37" s="3">
        <v>0.90598139644413</v>
      </c>
      <c r="E37" s="3">
        <v>0.95067181467181405</v>
      </c>
      <c r="F37" s="3">
        <v>0.97385379642032199</v>
      </c>
      <c r="G37" s="3">
        <v>0.992552657211487</v>
      </c>
      <c r="J37" s="1">
        <v>1756.3648223876901</v>
      </c>
      <c r="K37" s="1">
        <v>31</v>
      </c>
      <c r="L37" s="1">
        <v>0.90100435951183699</v>
      </c>
      <c r="M37" s="1">
        <v>0.94792455893494898</v>
      </c>
      <c r="N37" s="1">
        <v>0.96074761228925398</v>
      </c>
      <c r="O37" s="1">
        <v>0.98928688138691101</v>
      </c>
    </row>
    <row r="38" spans="2:15" x14ac:dyDescent="0.3">
      <c r="B38" s="3">
        <v>138.91196250915499</v>
      </c>
      <c r="C38" s="3">
        <v>32</v>
      </c>
      <c r="D38" s="3">
        <v>0.92826798183504999</v>
      </c>
      <c r="E38" s="3">
        <v>0.96279976702372805</v>
      </c>
      <c r="F38" s="3">
        <v>0.976015842746076</v>
      </c>
      <c r="G38" s="3">
        <v>0.99231229637944496</v>
      </c>
      <c r="J38" s="1">
        <v>1726.0754108428901</v>
      </c>
      <c r="K38" s="1">
        <v>32</v>
      </c>
      <c r="L38" s="1">
        <v>0.90546866172743801</v>
      </c>
      <c r="M38" s="1">
        <v>0.95038945527088203</v>
      </c>
      <c r="N38" s="1">
        <v>0.97697606172226703</v>
      </c>
      <c r="O38" s="1">
        <v>0.99028743578237599</v>
      </c>
    </row>
    <row r="39" spans="2:15" x14ac:dyDescent="0.3">
      <c r="B39" s="3">
        <v>139.189720153808</v>
      </c>
      <c r="C39" s="3">
        <v>33</v>
      </c>
      <c r="D39" s="3">
        <v>0.90995023466198199</v>
      </c>
      <c r="E39" s="3">
        <v>0.95285229756054102</v>
      </c>
      <c r="F39" s="3">
        <v>0.97883081923916904</v>
      </c>
      <c r="G39" s="3">
        <v>0.99215687099989303</v>
      </c>
      <c r="J39" s="1">
        <v>1883.9225769042901</v>
      </c>
      <c r="K39" s="1">
        <v>33</v>
      </c>
      <c r="L39" s="1">
        <v>0.87586461163608897</v>
      </c>
      <c r="M39" s="1">
        <v>0.93382497457764702</v>
      </c>
      <c r="N39" s="1">
        <v>0.95633111342533805</v>
      </c>
      <c r="O39" s="1">
        <v>0.98876386455415599</v>
      </c>
    </row>
    <row r="40" spans="2:15" x14ac:dyDescent="0.3">
      <c r="B40" s="3">
        <v>139.32919502258301</v>
      </c>
      <c r="C40" s="3">
        <v>34</v>
      </c>
      <c r="D40" s="3">
        <v>0.92077893339234296</v>
      </c>
      <c r="E40" s="3">
        <v>0.95875576036866295</v>
      </c>
      <c r="F40" s="3">
        <v>0.96183891166452495</v>
      </c>
      <c r="G40" s="3">
        <v>0.99272425953062104</v>
      </c>
      <c r="J40" s="1">
        <v>1992.5417900085399</v>
      </c>
      <c r="K40" s="1">
        <v>34</v>
      </c>
      <c r="L40" s="1">
        <v>0.92907589256681999</v>
      </c>
      <c r="M40" s="1">
        <v>0.96323415387312294</v>
      </c>
      <c r="N40" s="1">
        <v>0.99187691794992805</v>
      </c>
      <c r="O40" s="1">
        <v>0.989236541807898</v>
      </c>
    </row>
    <row r="41" spans="2:15" x14ac:dyDescent="0.3">
      <c r="B41" s="3">
        <v>138.82470130920399</v>
      </c>
      <c r="C41" s="3">
        <v>35</v>
      </c>
      <c r="D41" s="3">
        <v>0.89371033360455598</v>
      </c>
      <c r="E41" s="3">
        <v>0.94387226783880496</v>
      </c>
      <c r="F41" s="3">
        <v>0.96121432759541003</v>
      </c>
      <c r="G41" s="3">
        <v>0.99076213707057703</v>
      </c>
      <c r="J41" s="1">
        <v>1875.4613399505599</v>
      </c>
      <c r="K41" s="1">
        <v>35</v>
      </c>
      <c r="L41" s="1">
        <v>0.91966565669434397</v>
      </c>
      <c r="M41" s="1">
        <v>0.95815190888813795</v>
      </c>
      <c r="N41" s="1">
        <v>0.974995302076482</v>
      </c>
      <c r="O41" s="1">
        <v>0.98833526132658001</v>
      </c>
    </row>
    <row r="42" spans="2:15" x14ac:dyDescent="0.3">
      <c r="B42" s="3">
        <v>135.84041595458899</v>
      </c>
      <c r="C42" s="3">
        <v>36</v>
      </c>
      <c r="D42" s="3">
        <v>0.90457765977083304</v>
      </c>
      <c r="E42" s="3">
        <v>0.949898425123474</v>
      </c>
      <c r="F42" s="3">
        <v>0.95514276504673801</v>
      </c>
      <c r="G42" s="3">
        <v>0.99185183161690305</v>
      </c>
      <c r="J42" s="1">
        <v>1839.9181365966699</v>
      </c>
      <c r="K42" s="1">
        <v>36</v>
      </c>
      <c r="L42" s="1">
        <v>0.90422800212826604</v>
      </c>
      <c r="M42" s="1">
        <v>0.94970560365423995</v>
      </c>
      <c r="N42" s="1">
        <v>0.97347623237975001</v>
      </c>
      <c r="O42" s="1">
        <v>0.99006053109626102</v>
      </c>
    </row>
    <row r="43" spans="2:15" x14ac:dyDescent="0.3">
      <c r="B43" s="3">
        <v>128.600120544433</v>
      </c>
      <c r="C43" s="3">
        <v>37</v>
      </c>
      <c r="D43" s="3">
        <v>0.87768988624886601</v>
      </c>
      <c r="E43" s="3">
        <v>0.93486138757690296</v>
      </c>
      <c r="F43" s="3">
        <v>0.94283112254999002</v>
      </c>
      <c r="G43" s="3">
        <v>0.98983845837747098</v>
      </c>
      <c r="J43" s="1">
        <v>1675.4252910614</v>
      </c>
      <c r="K43" s="1">
        <v>37</v>
      </c>
      <c r="L43" s="1">
        <v>0.87589908262820204</v>
      </c>
      <c r="M43" s="1">
        <v>0.93384456630901003</v>
      </c>
      <c r="N43" s="1">
        <v>0.92153964567170399</v>
      </c>
      <c r="O43" s="1">
        <v>0.99151661800273405</v>
      </c>
    </row>
    <row r="44" spans="2:15" x14ac:dyDescent="0.3">
      <c r="B44" s="3">
        <v>141.12663269042901</v>
      </c>
      <c r="C44" s="3">
        <v>38</v>
      </c>
      <c r="D44" s="3">
        <v>0.91536619343528403</v>
      </c>
      <c r="E44" s="3">
        <v>0.955813250304412</v>
      </c>
      <c r="F44" s="3">
        <v>0.970960832821398</v>
      </c>
      <c r="G44" s="3">
        <v>0.99211738162604302</v>
      </c>
      <c r="J44" s="1">
        <v>2093.0123329162502</v>
      </c>
      <c r="K44" s="1">
        <v>38</v>
      </c>
      <c r="L44" s="1">
        <v>0.75664817578957499</v>
      </c>
      <c r="M44" s="1">
        <v>0.86146809158240001</v>
      </c>
      <c r="N44" s="1">
        <v>0.96344450012765104</v>
      </c>
      <c r="O44" s="1">
        <v>0.96934300220933101</v>
      </c>
    </row>
    <row r="45" spans="2:15" x14ac:dyDescent="0.3">
      <c r="B45" s="3">
        <v>134.50431823730401</v>
      </c>
      <c r="C45" s="3">
        <v>39</v>
      </c>
      <c r="D45" s="3">
        <v>0.899563381187517</v>
      </c>
      <c r="E45" s="3">
        <v>0.94712647137380801</v>
      </c>
      <c r="F45" s="3">
        <v>0.95007509490637598</v>
      </c>
      <c r="G45" s="3">
        <v>0.991878411967553</v>
      </c>
      <c r="J45" s="1">
        <v>1607.04469680786</v>
      </c>
      <c r="K45" s="1">
        <v>39</v>
      </c>
      <c r="L45" s="1">
        <v>0.89584283624581196</v>
      </c>
      <c r="M45" s="1">
        <v>0.945060232967178</v>
      </c>
      <c r="N45" s="1">
        <v>0.96386867490269001</v>
      </c>
      <c r="O45" s="1">
        <v>0.99035464468892798</v>
      </c>
    </row>
    <row r="46" spans="2:15" x14ac:dyDescent="0.3">
      <c r="B46" s="3">
        <v>133.606433868408</v>
      </c>
      <c r="C46" s="3">
        <v>40</v>
      </c>
      <c r="D46" s="3">
        <v>0.91109768378650502</v>
      </c>
      <c r="E46" s="3">
        <v>0.95348101932845697</v>
      </c>
      <c r="F46" s="3">
        <v>0.95860104768847298</v>
      </c>
      <c r="G46" s="3">
        <v>0.99339030004233797</v>
      </c>
      <c r="J46" s="1">
        <v>2048.6576557159401</v>
      </c>
      <c r="K46" s="1">
        <v>40</v>
      </c>
      <c r="L46" s="1">
        <v>0.92739191768317897</v>
      </c>
      <c r="M46" s="1">
        <v>0.96232832479441999</v>
      </c>
      <c r="N46" s="1">
        <v>0.97859112998555198</v>
      </c>
      <c r="O46" s="1">
        <v>0.99169966978596402</v>
      </c>
    </row>
    <row r="47" spans="2:15" x14ac:dyDescent="0.3">
      <c r="B47" s="3">
        <v>138.59987258911099</v>
      </c>
      <c r="C47" s="3">
        <v>41</v>
      </c>
      <c r="D47" s="3">
        <v>0.92657500086585998</v>
      </c>
      <c r="E47" s="3">
        <v>0.96188832560313497</v>
      </c>
      <c r="F47" s="3">
        <v>0.98184253745722105</v>
      </c>
      <c r="G47" s="3">
        <v>0.99308098788294796</v>
      </c>
      <c r="J47" s="1">
        <v>2432.0719242095902</v>
      </c>
      <c r="K47" s="1">
        <v>41</v>
      </c>
      <c r="L47" s="1">
        <v>0.92240423896776202</v>
      </c>
      <c r="M47" s="1">
        <v>0.959636085137898</v>
      </c>
      <c r="N47" s="1">
        <v>0.985369352552801</v>
      </c>
      <c r="O47" s="1">
        <v>0.99153249147781997</v>
      </c>
    </row>
    <row r="48" spans="2:15" x14ac:dyDescent="0.3">
      <c r="B48" s="3">
        <v>139.2662525177</v>
      </c>
      <c r="C48" s="3">
        <v>42</v>
      </c>
      <c r="D48" s="3">
        <v>0.89533784275219996</v>
      </c>
      <c r="E48" s="3">
        <v>0.94477915499443499</v>
      </c>
      <c r="F48" s="3">
        <v>0.95634759639869804</v>
      </c>
      <c r="G48" s="3">
        <v>0.99153666284633502</v>
      </c>
      <c r="J48" s="1">
        <v>2006.0858726501399</v>
      </c>
      <c r="K48" s="1">
        <v>42</v>
      </c>
      <c r="L48" s="1">
        <v>0.933933766721884</v>
      </c>
      <c r="M48" s="1">
        <v>0.96583841990095498</v>
      </c>
      <c r="N48" s="1">
        <v>0.98604507609438496</v>
      </c>
      <c r="O48" s="1">
        <v>0.99167885851429305</v>
      </c>
    </row>
    <row r="49" spans="2:15" x14ac:dyDescent="0.3">
      <c r="B49" s="3">
        <v>139.84251022338799</v>
      </c>
      <c r="C49" s="3">
        <v>43</v>
      </c>
      <c r="D49" s="3">
        <v>0.90719820588776701</v>
      </c>
      <c r="E49" s="3">
        <v>0.95134129540089596</v>
      </c>
      <c r="F49" s="3">
        <v>0.96096298397390401</v>
      </c>
      <c r="G49" s="3">
        <v>0.99285500555698003</v>
      </c>
      <c r="J49" s="1">
        <v>1890.2013301849299</v>
      </c>
      <c r="K49" s="1">
        <v>43</v>
      </c>
      <c r="L49" s="1">
        <v>0.91022077634945198</v>
      </c>
      <c r="M49" s="1">
        <v>0.95300060351028004</v>
      </c>
      <c r="N49" s="1">
        <v>0.96468441930138704</v>
      </c>
      <c r="O49" s="1">
        <v>0.99230423148871605</v>
      </c>
    </row>
    <row r="50" spans="2:15" x14ac:dyDescent="0.3">
      <c r="B50" s="3">
        <v>136.05833053588799</v>
      </c>
      <c r="C50" s="3">
        <v>44</v>
      </c>
      <c r="D50" s="3">
        <v>0.87853005996617295</v>
      </c>
      <c r="E50" s="3">
        <v>0.93533777147222497</v>
      </c>
      <c r="F50" s="3">
        <v>0.95731966132743496</v>
      </c>
      <c r="G50" s="3">
        <v>0.99162817371357004</v>
      </c>
      <c r="J50" s="1">
        <v>1929.7254085540701</v>
      </c>
      <c r="K50" s="1">
        <v>44</v>
      </c>
      <c r="L50" s="1">
        <v>0.88973548671356295</v>
      </c>
      <c r="M50" s="1">
        <v>0.94165082147121104</v>
      </c>
      <c r="N50" s="1">
        <v>0.96026859283916399</v>
      </c>
      <c r="O50" s="1">
        <v>0.98956515545425405</v>
      </c>
    </row>
    <row r="51" spans="2:15" x14ac:dyDescent="0.3">
      <c r="B51" s="3">
        <v>134.135484695434</v>
      </c>
      <c r="C51" s="3">
        <v>45</v>
      </c>
      <c r="D51" s="3">
        <v>0.91734221083044498</v>
      </c>
      <c r="E51" s="3">
        <v>0.95688939162625797</v>
      </c>
      <c r="F51" s="3">
        <v>0.96488051558561705</v>
      </c>
      <c r="G51" s="3">
        <v>0.99296255215531903</v>
      </c>
      <c r="J51" s="1">
        <v>1870.2521324157699</v>
      </c>
      <c r="K51" s="1">
        <v>45</v>
      </c>
      <c r="L51" s="1">
        <v>0.89757788516619896</v>
      </c>
      <c r="M51" s="1">
        <v>0.946024816354333</v>
      </c>
      <c r="N51" s="1">
        <v>0.94927260441019901</v>
      </c>
      <c r="O51" s="1">
        <v>0.99193871904451802</v>
      </c>
    </row>
    <row r="52" spans="2:15" x14ac:dyDescent="0.3">
      <c r="B52" s="3">
        <v>138.58532905578599</v>
      </c>
      <c r="C52" s="3">
        <v>46</v>
      </c>
      <c r="D52" s="3">
        <v>0.90410406133542198</v>
      </c>
      <c r="E52" s="3">
        <v>0.94963723852501902</v>
      </c>
      <c r="F52" s="3">
        <v>0.97329687739561499</v>
      </c>
      <c r="G52" s="3">
        <v>0.99035089038138902</v>
      </c>
      <c r="J52" s="1">
        <v>2331.8662643432599</v>
      </c>
      <c r="K52" s="1">
        <v>46</v>
      </c>
      <c r="L52" s="1">
        <v>0.90335663250551901</v>
      </c>
      <c r="M52" s="1">
        <v>0.949224771730107</v>
      </c>
      <c r="N52" s="1">
        <v>0.97122945909259795</v>
      </c>
      <c r="O52" s="1">
        <v>0.98919172470969396</v>
      </c>
    </row>
    <row r="53" spans="2:15" x14ac:dyDescent="0.3">
      <c r="B53" s="3">
        <v>134.002685546875</v>
      </c>
      <c r="C53" s="3">
        <v>47</v>
      </c>
      <c r="D53" s="3">
        <v>0.93081234502937904</v>
      </c>
      <c r="E53" s="3">
        <v>0.96416655655391104</v>
      </c>
      <c r="F53" s="3">
        <v>0.99080894833321997</v>
      </c>
      <c r="G53" s="3">
        <v>0.99183986144417802</v>
      </c>
      <c r="J53" s="1">
        <v>2023.6749649047799</v>
      </c>
      <c r="K53" s="1">
        <v>47</v>
      </c>
      <c r="L53" s="1">
        <v>0.89169928818351896</v>
      </c>
      <c r="M53" s="1">
        <v>0.94274950966415205</v>
      </c>
      <c r="N53" s="1">
        <v>0.97852133517478801</v>
      </c>
      <c r="O53" s="1">
        <v>0.98841388583563605</v>
      </c>
    </row>
    <row r="54" spans="2:15" x14ac:dyDescent="0.3">
      <c r="B54" s="3">
        <v>128.87597084045399</v>
      </c>
      <c r="C54" s="3">
        <v>48</v>
      </c>
      <c r="D54" s="3">
        <v>0.929073655815289</v>
      </c>
      <c r="E54" s="3">
        <v>0.96323295174816204</v>
      </c>
      <c r="F54" s="3">
        <v>0.99257351875378297</v>
      </c>
      <c r="G54" s="3">
        <v>0.991392612206899</v>
      </c>
      <c r="J54" s="1">
        <v>1875.94103813171</v>
      </c>
      <c r="K54" s="1">
        <v>48</v>
      </c>
      <c r="L54" s="1">
        <v>0.865743320601019</v>
      </c>
      <c r="M54" s="1">
        <v>0.92804118448847905</v>
      </c>
      <c r="N54" s="1">
        <v>0.95134605535638705</v>
      </c>
      <c r="O54" s="1">
        <v>0.99073697429382601</v>
      </c>
    </row>
    <row r="55" spans="2:15" x14ac:dyDescent="0.3">
      <c r="B55" s="3">
        <v>138.96775245666501</v>
      </c>
      <c r="C55" s="3">
        <v>49</v>
      </c>
      <c r="D55" s="3">
        <v>0.88403571631689704</v>
      </c>
      <c r="E55" s="3">
        <v>0.93844899930570203</v>
      </c>
      <c r="F55" s="3">
        <v>0.94140854819172803</v>
      </c>
      <c r="G55" s="3">
        <v>0.99196030851150396</v>
      </c>
      <c r="J55" s="1">
        <v>2111.5171909332198</v>
      </c>
      <c r="K55" s="1">
        <v>49</v>
      </c>
      <c r="L55" s="1">
        <v>0.90901869932152901</v>
      </c>
      <c r="M55" s="1">
        <v>0.95234132556647699</v>
      </c>
      <c r="N55" s="1">
        <v>0.98344337663453596</v>
      </c>
      <c r="O55" s="1">
        <v>0.98742152895589697</v>
      </c>
    </row>
    <row r="56" spans="2:15" x14ac:dyDescent="0.3">
      <c r="B56" s="3">
        <v>140.68627357482899</v>
      </c>
      <c r="C56" s="3">
        <v>50</v>
      </c>
      <c r="D56" s="3">
        <v>0.92435341220695899</v>
      </c>
      <c r="E56" s="3">
        <v>0.96068986740523599</v>
      </c>
      <c r="F56" s="3">
        <v>0.97369170475041</v>
      </c>
      <c r="G56" s="3">
        <v>0.991263952484424</v>
      </c>
      <c r="J56" s="1">
        <v>1856.8696975708001</v>
      </c>
      <c r="K56" s="1">
        <v>50</v>
      </c>
      <c r="L56" s="1">
        <v>0.91469967758627502</v>
      </c>
      <c r="M56" s="1">
        <v>0.95544976404797999</v>
      </c>
      <c r="N56" s="1">
        <v>0.975117115893814</v>
      </c>
      <c r="O56" s="1">
        <v>0.99163787249769997</v>
      </c>
    </row>
    <row r="57" spans="2:15" x14ac:dyDescent="0.3">
      <c r="B57" s="3">
        <v>129.17590141296299</v>
      </c>
      <c r="C57" s="3">
        <v>51</v>
      </c>
      <c r="D57" s="3">
        <v>0.92374510501957996</v>
      </c>
      <c r="E57" s="3">
        <v>0.96036122728450302</v>
      </c>
      <c r="F57" s="3">
        <v>0.98803520054154603</v>
      </c>
      <c r="G57" s="3">
        <v>0.99115967824453199</v>
      </c>
      <c r="J57" s="1">
        <v>1745.4466819763099</v>
      </c>
      <c r="K57" s="1">
        <v>51</v>
      </c>
      <c r="L57" s="1">
        <v>0.92382759361351696</v>
      </c>
      <c r="M57" s="1">
        <v>0.96040580422104804</v>
      </c>
      <c r="N57" s="1">
        <v>0.97437775629795198</v>
      </c>
      <c r="O57" s="1">
        <v>0.99209083208899795</v>
      </c>
    </row>
    <row r="58" spans="2:15" x14ac:dyDescent="0.3">
      <c r="B58" s="3">
        <v>139.37497138977</v>
      </c>
      <c r="C58" s="3">
        <v>52</v>
      </c>
      <c r="D58" s="3">
        <v>0.88795585653373399</v>
      </c>
      <c r="E58" s="3">
        <v>0.94065319743652398</v>
      </c>
      <c r="F58" s="3">
        <v>0.96188623470341394</v>
      </c>
      <c r="G58" s="3">
        <v>0.99199110982873995</v>
      </c>
      <c r="J58" s="1">
        <v>1825.03199577331</v>
      </c>
      <c r="K58" s="1">
        <v>52</v>
      </c>
      <c r="L58" s="1">
        <v>0.90530545728055201</v>
      </c>
      <c r="M58" s="1">
        <v>0.95029954784541204</v>
      </c>
      <c r="N58" s="1">
        <v>0.970995114809447</v>
      </c>
      <c r="O58" s="1">
        <v>0.98938014785143102</v>
      </c>
    </row>
    <row r="59" spans="2:15" x14ac:dyDescent="0.3">
      <c r="B59" s="3">
        <v>139.08290863037101</v>
      </c>
      <c r="C59" s="3">
        <v>53</v>
      </c>
      <c r="D59" s="3">
        <v>0.90580603619525102</v>
      </c>
      <c r="E59" s="3">
        <v>0.95057526211177401</v>
      </c>
      <c r="F59" s="3">
        <v>0.95036006381969496</v>
      </c>
      <c r="G59" s="3">
        <v>0.99247444014628805</v>
      </c>
      <c r="J59" s="1">
        <v>1762.17103004455</v>
      </c>
      <c r="K59" s="1">
        <v>53</v>
      </c>
      <c r="L59" s="1">
        <v>0.93539438057614599</v>
      </c>
      <c r="M59" s="1">
        <v>0.966618886531735</v>
      </c>
      <c r="N59" s="1">
        <v>0.988577191912558</v>
      </c>
      <c r="O59" s="1">
        <v>0.99210143872858303</v>
      </c>
    </row>
    <row r="60" spans="2:15" x14ac:dyDescent="0.3">
      <c r="B60" s="3">
        <v>139.834880828857</v>
      </c>
      <c r="C60" s="3">
        <v>54</v>
      </c>
      <c r="D60" s="3">
        <v>0.90811368590816799</v>
      </c>
      <c r="E60" s="3">
        <v>0.95184442375188005</v>
      </c>
      <c r="F60" s="3">
        <v>0.97219925815915198</v>
      </c>
      <c r="G60" s="3">
        <v>0.98942195815499401</v>
      </c>
      <c r="J60" s="1">
        <v>1755.7709217071499</v>
      </c>
      <c r="K60" s="1">
        <v>54</v>
      </c>
      <c r="L60" s="1">
        <v>0.90446246770357397</v>
      </c>
      <c r="M60" s="1">
        <v>0.94983490936861203</v>
      </c>
      <c r="N60" s="1">
        <v>0.96997917259223199</v>
      </c>
      <c r="O60" s="1">
        <v>0.99159735415103401</v>
      </c>
    </row>
    <row r="61" spans="2:15" x14ac:dyDescent="0.3">
      <c r="B61" s="3">
        <v>138.81874084472599</v>
      </c>
      <c r="C61" s="3">
        <v>55</v>
      </c>
      <c r="D61" s="3">
        <v>0.90428746050416198</v>
      </c>
      <c r="E61" s="3">
        <v>0.94973839744210797</v>
      </c>
      <c r="F61" s="3">
        <v>0.964400790364764</v>
      </c>
      <c r="G61" s="3">
        <v>0.99124979629983301</v>
      </c>
      <c r="J61" s="1">
        <v>1839.2117023467999</v>
      </c>
      <c r="K61" s="1">
        <v>55</v>
      </c>
      <c r="L61" s="1">
        <v>0.89014749262536796</v>
      </c>
      <c r="M61" s="1">
        <v>0.94188151570010603</v>
      </c>
      <c r="N61" s="1">
        <v>0.98385028365248695</v>
      </c>
      <c r="O61" s="1">
        <v>0.98987415347881202</v>
      </c>
    </row>
    <row r="62" spans="2:15" x14ac:dyDescent="0.3">
      <c r="B62" s="3">
        <v>136.717081069946</v>
      </c>
      <c r="C62" s="3">
        <v>56</v>
      </c>
      <c r="D62" s="3">
        <v>0.865456451384786</v>
      </c>
      <c r="E62" s="3">
        <v>0.92787633905077904</v>
      </c>
      <c r="F62" s="3">
        <v>0.91099921183991595</v>
      </c>
      <c r="G62" s="3">
        <v>0.99356903891967496</v>
      </c>
      <c r="J62" s="1">
        <v>1647.9370594024599</v>
      </c>
      <c r="K62" s="1">
        <v>56</v>
      </c>
      <c r="L62" s="1">
        <v>0.90550208797952403</v>
      </c>
      <c r="M62" s="1">
        <v>0.95040786750295503</v>
      </c>
      <c r="N62" s="1">
        <v>0.96508789841431897</v>
      </c>
      <c r="O62" s="1">
        <v>0.99106373022647198</v>
      </c>
    </row>
    <row r="63" spans="2:15" x14ac:dyDescent="0.3">
      <c r="B63" s="3">
        <v>139.22214508056601</v>
      </c>
      <c r="C63" s="3">
        <v>57</v>
      </c>
      <c r="D63" s="3">
        <v>0.90854457255545396</v>
      </c>
      <c r="E63" s="3">
        <v>0.95208106283727401</v>
      </c>
      <c r="F63" s="3">
        <v>0.95404904961644499</v>
      </c>
      <c r="G63" s="3">
        <v>0.99276734467580696</v>
      </c>
      <c r="J63" s="1">
        <v>1896.9805240631099</v>
      </c>
      <c r="K63" s="1">
        <v>57</v>
      </c>
      <c r="L63" s="1">
        <v>0.90786376293028004</v>
      </c>
      <c r="M63" s="1">
        <v>0.95170711931327401</v>
      </c>
      <c r="N63" s="1">
        <v>0.96020686171991099</v>
      </c>
      <c r="O63" s="1">
        <v>0.99107377871561497</v>
      </c>
    </row>
    <row r="64" spans="2:15" x14ac:dyDescent="0.3">
      <c r="B64" s="3">
        <v>138.550281524658</v>
      </c>
      <c r="C64" s="3">
        <v>58</v>
      </c>
      <c r="D64" s="3">
        <v>0.89562657809103297</v>
      </c>
      <c r="E64" s="3">
        <v>0.94493988261439399</v>
      </c>
      <c r="F64" s="3">
        <v>0.93843596364022197</v>
      </c>
      <c r="G64" s="3">
        <v>0.99255189807001898</v>
      </c>
      <c r="J64" s="1">
        <v>1735.4660034179601</v>
      </c>
      <c r="K64" s="1">
        <v>58</v>
      </c>
      <c r="L64" s="1">
        <v>0.88883059483779603</v>
      </c>
      <c r="M64" s="1">
        <v>0.94114379263760795</v>
      </c>
      <c r="N64" s="1">
        <v>0.96741650804637402</v>
      </c>
      <c r="O64" s="1">
        <v>0.98904711274217605</v>
      </c>
    </row>
    <row r="65" spans="2:15" x14ac:dyDescent="0.3">
      <c r="B65" s="3">
        <v>134.05704498291001</v>
      </c>
      <c r="C65" s="3">
        <v>59</v>
      </c>
      <c r="D65" s="3">
        <v>0.92857087333359201</v>
      </c>
      <c r="E65" s="3">
        <v>0.96296266439877298</v>
      </c>
      <c r="F65" s="3">
        <v>0.98558616535894294</v>
      </c>
      <c r="G65" s="3">
        <v>0.99197518150733299</v>
      </c>
      <c r="J65" s="1">
        <v>1969.21849250793</v>
      </c>
      <c r="K65" s="1">
        <v>59</v>
      </c>
      <c r="L65" s="1">
        <v>0.90258584376231399</v>
      </c>
      <c r="M65" s="1">
        <v>0.94879907439810796</v>
      </c>
      <c r="N65" s="1">
        <v>0.97191393475604804</v>
      </c>
      <c r="O65" s="1">
        <v>0.98848653728688396</v>
      </c>
    </row>
    <row r="66" spans="2:15" x14ac:dyDescent="0.3">
      <c r="B66" s="3">
        <v>138.401508331298</v>
      </c>
      <c r="C66" s="3">
        <v>60</v>
      </c>
      <c r="D66" s="3">
        <v>0.92129104094514302</v>
      </c>
      <c r="E66" s="3">
        <v>0.95903329720616504</v>
      </c>
      <c r="F66" s="3">
        <v>0.95903329720616504</v>
      </c>
      <c r="G66" s="3">
        <v>0.99405599140341006</v>
      </c>
      <c r="J66" s="1">
        <v>1780.6074619293199</v>
      </c>
      <c r="K66" s="1">
        <v>60</v>
      </c>
      <c r="L66" s="1">
        <v>0.897606882560673</v>
      </c>
      <c r="M66" s="1">
        <v>0.94604092218449598</v>
      </c>
      <c r="N66" s="1">
        <v>0.970795875869775</v>
      </c>
      <c r="O66" s="1">
        <v>0.99155169129309495</v>
      </c>
    </row>
    <row r="67" spans="2:15" x14ac:dyDescent="0.3">
      <c r="B67" s="3">
        <v>139.41550254821701</v>
      </c>
      <c r="C67" s="3">
        <v>61</v>
      </c>
      <c r="D67" s="3">
        <v>0.88577992943300199</v>
      </c>
      <c r="E67" s="3">
        <v>0.93943085893307798</v>
      </c>
      <c r="F67" s="3">
        <v>0.96149992206461898</v>
      </c>
      <c r="G67" s="3">
        <v>0.99199172262447799</v>
      </c>
      <c r="J67" s="1">
        <v>1570.6963539123501</v>
      </c>
      <c r="K67" s="1">
        <v>61</v>
      </c>
      <c r="L67" s="1">
        <v>0.88986547470666599</v>
      </c>
      <c r="M67" s="1">
        <v>0.94172361643337099</v>
      </c>
      <c r="N67" s="1">
        <v>0.97081164720776403</v>
      </c>
      <c r="O67" s="1">
        <v>0.98735626440614599</v>
      </c>
    </row>
    <row r="68" spans="2:15" x14ac:dyDescent="0.3">
      <c r="B68" s="3">
        <v>133.52155685424799</v>
      </c>
      <c r="C68" s="3">
        <v>62</v>
      </c>
      <c r="D68" s="3">
        <v>0.91763422780668402</v>
      </c>
      <c r="E68" s="3">
        <v>0.95704823631171698</v>
      </c>
      <c r="F68" s="3">
        <v>0.96739113077082695</v>
      </c>
      <c r="G68" s="3">
        <v>0.99264513166416402</v>
      </c>
      <c r="J68" s="1">
        <v>1714.43128585815</v>
      </c>
      <c r="K68" s="1">
        <v>62</v>
      </c>
      <c r="L68" s="1">
        <v>0.90687120623687401</v>
      </c>
      <c r="M68" s="1">
        <v>0.95116146624977804</v>
      </c>
      <c r="N68" s="1">
        <v>0.94905316714836196</v>
      </c>
      <c r="O68" s="1">
        <v>0.99325115320100599</v>
      </c>
    </row>
    <row r="69" spans="2:15" x14ac:dyDescent="0.3">
      <c r="B69" s="3">
        <v>139.65392112731899</v>
      </c>
      <c r="C69" s="3">
        <v>63</v>
      </c>
      <c r="D69" s="3">
        <v>0.84292097776031005</v>
      </c>
      <c r="E69" s="3">
        <v>0.914766273684405</v>
      </c>
      <c r="F69" s="3">
        <v>0.88696496480297704</v>
      </c>
      <c r="G69" s="3">
        <v>0.99379950818535301</v>
      </c>
      <c r="J69" s="1">
        <v>1705.17945289611</v>
      </c>
      <c r="K69" s="1">
        <v>63</v>
      </c>
      <c r="L69" s="1">
        <v>0.89629480166203301</v>
      </c>
      <c r="M69" s="1">
        <v>0.94531166870938299</v>
      </c>
      <c r="N69" s="1">
        <v>0.95762603599431495</v>
      </c>
      <c r="O69" s="1">
        <v>0.99071841825384899</v>
      </c>
    </row>
    <row r="70" spans="2:15" x14ac:dyDescent="0.3">
      <c r="B70" s="3">
        <v>139.44363594055099</v>
      </c>
      <c r="C70" s="3">
        <v>64</v>
      </c>
      <c r="D70" s="3">
        <v>0.92138670917917298</v>
      </c>
      <c r="E70" s="3">
        <v>0.95908512823302905</v>
      </c>
      <c r="F70" s="3">
        <v>0.97450090179737503</v>
      </c>
      <c r="G70" s="3">
        <v>0.990770745631261</v>
      </c>
      <c r="J70" s="1">
        <v>1645.8930969238199</v>
      </c>
      <c r="K70" s="1">
        <v>64</v>
      </c>
      <c r="L70" s="1">
        <v>0.88149917980172598</v>
      </c>
      <c r="M70" s="1">
        <v>0.93701787305016904</v>
      </c>
      <c r="N70" s="1">
        <v>0.95097765766112297</v>
      </c>
      <c r="O70" s="1">
        <v>0.99132439765700497</v>
      </c>
    </row>
    <row r="71" spans="2:15" x14ac:dyDescent="0.3">
      <c r="B71" s="3">
        <v>137.12954521179199</v>
      </c>
      <c r="C71" s="3">
        <v>65</v>
      </c>
      <c r="D71" s="3">
        <v>0.89017682212038896</v>
      </c>
      <c r="E71" s="3">
        <v>0.94189793431261504</v>
      </c>
      <c r="F71" s="3">
        <v>0.94560115642171005</v>
      </c>
      <c r="G71" s="3">
        <v>0.99234261394244005</v>
      </c>
      <c r="J71" s="1">
        <v>2027.30345726013</v>
      </c>
      <c r="K71" s="1">
        <v>65</v>
      </c>
      <c r="L71" s="1">
        <v>0.91513111523468404</v>
      </c>
      <c r="M71" s="1">
        <v>0.95568507864020702</v>
      </c>
      <c r="N71" s="1">
        <v>0.98153233769439596</v>
      </c>
      <c r="O71" s="1">
        <v>0.98976433819688603</v>
      </c>
    </row>
    <row r="72" spans="2:15" x14ac:dyDescent="0.3">
      <c r="B72" s="3">
        <v>138.91410827636699</v>
      </c>
      <c r="C72" s="3">
        <v>66</v>
      </c>
      <c r="D72" s="3">
        <v>0.924176689183004</v>
      </c>
      <c r="E72" s="3">
        <v>0.96059441357789699</v>
      </c>
      <c r="F72" s="3">
        <v>0.97614973365430102</v>
      </c>
      <c r="G72" s="3">
        <v>0.99384534973162597</v>
      </c>
      <c r="J72" s="1">
        <v>1960.7532024383499</v>
      </c>
      <c r="K72" s="1">
        <v>66</v>
      </c>
      <c r="L72" s="1">
        <v>0.91593722768701702</v>
      </c>
      <c r="M72" s="1">
        <v>0.95612446425790998</v>
      </c>
      <c r="N72" s="1">
        <v>0.99379056574845404</v>
      </c>
      <c r="O72" s="1">
        <v>0.98928342071406605</v>
      </c>
    </row>
    <row r="73" spans="2:15" x14ac:dyDescent="0.3">
      <c r="B73" s="3">
        <v>139.903306961059</v>
      </c>
      <c r="C73" s="3">
        <v>67</v>
      </c>
      <c r="D73" s="3">
        <v>0.92850897645138697</v>
      </c>
      <c r="E73" s="3">
        <v>0.96292937993985195</v>
      </c>
      <c r="F73" s="3">
        <v>0.98305973833621296</v>
      </c>
      <c r="G73" s="3">
        <v>0.99171222620747201</v>
      </c>
      <c r="J73" s="1">
        <v>1950.2286911010699</v>
      </c>
      <c r="K73" s="1">
        <v>67</v>
      </c>
      <c r="L73" s="1">
        <v>0.84641503075238</v>
      </c>
      <c r="M73" s="1">
        <v>0.91681990956007497</v>
      </c>
      <c r="N73" s="1">
        <v>0.90317447474175305</v>
      </c>
      <c r="O73" s="1">
        <v>0.99204241767972301</v>
      </c>
    </row>
    <row r="74" spans="2:15" x14ac:dyDescent="0.3">
      <c r="B74" s="3">
        <v>139.90521430969201</v>
      </c>
      <c r="C74" s="3">
        <v>68</v>
      </c>
      <c r="D74" s="3">
        <v>0.91414952670546601</v>
      </c>
      <c r="E74" s="3">
        <v>0.95514954704594301</v>
      </c>
      <c r="F74" s="3">
        <v>0.96961772537086299</v>
      </c>
      <c r="G74" s="3">
        <v>0.99169868514631598</v>
      </c>
      <c r="J74" s="1">
        <v>1946.92420959472</v>
      </c>
      <c r="K74" s="1">
        <v>68</v>
      </c>
      <c r="L74" s="1">
        <v>0.88929414288779196</v>
      </c>
      <c r="M74" s="1">
        <v>0.94140358846241201</v>
      </c>
      <c r="N74" s="1">
        <v>0.965750232991612</v>
      </c>
      <c r="O74" s="1">
        <v>0.99149192162254995</v>
      </c>
    </row>
    <row r="75" spans="2:15" x14ac:dyDescent="0.3">
      <c r="B75" s="3">
        <v>133.79263877868601</v>
      </c>
      <c r="C75" s="3">
        <v>69</v>
      </c>
      <c r="D75" s="3">
        <v>0.841372827922375</v>
      </c>
      <c r="E75" s="3">
        <v>0.91385385421560394</v>
      </c>
      <c r="F75" s="3">
        <v>0.93322077370902401</v>
      </c>
      <c r="G75" s="3">
        <v>0.98741529628617197</v>
      </c>
      <c r="J75" s="1">
        <v>1904.47402000427</v>
      </c>
      <c r="K75" s="1">
        <v>69</v>
      </c>
      <c r="L75" s="1">
        <v>0.90726267944148298</v>
      </c>
      <c r="M75" s="1">
        <v>0.95137674450502296</v>
      </c>
      <c r="N75" s="1">
        <v>0.97210348548764502</v>
      </c>
      <c r="O75" s="1">
        <v>0.98874121010741001</v>
      </c>
    </row>
    <row r="76" spans="2:15" x14ac:dyDescent="0.3">
      <c r="B76" s="3">
        <v>129.176616668701</v>
      </c>
      <c r="C76" s="3">
        <v>70</v>
      </c>
      <c r="D76" s="3">
        <v>0.88878774538698502</v>
      </c>
      <c r="E76" s="3">
        <v>0.94111977119470902</v>
      </c>
      <c r="F76" s="3">
        <v>0.93088573170159805</v>
      </c>
      <c r="G76" s="3">
        <v>0.99341635039223797</v>
      </c>
      <c r="J76" s="1">
        <v>1890.16199111938</v>
      </c>
      <c r="K76" s="1">
        <v>70</v>
      </c>
      <c r="L76" s="1">
        <v>0.91233555618983297</v>
      </c>
      <c r="M76" s="1">
        <v>0.95415844069498401</v>
      </c>
      <c r="N76" s="1">
        <v>0.97188188872995096</v>
      </c>
      <c r="O76" s="1">
        <v>0.989550430650594</v>
      </c>
    </row>
    <row r="77" spans="2:15" x14ac:dyDescent="0.3">
      <c r="B77" s="3">
        <v>139.408111572265</v>
      </c>
      <c r="C77" s="3">
        <v>71</v>
      </c>
      <c r="D77" s="3">
        <v>0.90074899210883297</v>
      </c>
      <c r="E77" s="3">
        <v>0.94778321161646295</v>
      </c>
      <c r="F77" s="3">
        <v>0.96000529461476503</v>
      </c>
      <c r="G77" s="3">
        <v>0.99320154509382197</v>
      </c>
      <c r="J77" s="1">
        <v>1955.95216751098</v>
      </c>
      <c r="K77" s="1">
        <v>71</v>
      </c>
      <c r="L77" s="1">
        <v>0.89966505534473296</v>
      </c>
      <c r="M77" s="1">
        <v>0.94718282342828097</v>
      </c>
      <c r="N77" s="1">
        <v>0.97170028760685001</v>
      </c>
      <c r="O77" s="1">
        <v>0.99157872104065503</v>
      </c>
    </row>
    <row r="78" spans="2:15" x14ac:dyDescent="0.3">
      <c r="B78" s="3">
        <v>139.40286636352499</v>
      </c>
      <c r="C78" s="3">
        <v>72</v>
      </c>
      <c r="D78" s="3">
        <v>0.92213671041810097</v>
      </c>
      <c r="E78" s="3">
        <v>0.95949128427760899</v>
      </c>
      <c r="F78" s="3">
        <v>0.96640645803259795</v>
      </c>
      <c r="G78" s="3">
        <v>0.99243710466181601</v>
      </c>
      <c r="J78" s="1">
        <v>1910.4027748107901</v>
      </c>
      <c r="K78" s="1">
        <v>72</v>
      </c>
      <c r="L78" s="1">
        <v>0.93878689197158904</v>
      </c>
      <c r="M78" s="1">
        <v>0.96842710857913705</v>
      </c>
      <c r="N78" s="1">
        <v>0.99564883368346602</v>
      </c>
      <c r="O78" s="1">
        <v>0.990117461222488</v>
      </c>
    </row>
    <row r="79" spans="2:15" x14ac:dyDescent="0.3">
      <c r="B79" s="3">
        <v>139.96720314025799</v>
      </c>
      <c r="C79" s="3">
        <v>73</v>
      </c>
      <c r="D79" s="3">
        <v>0.93138115138085398</v>
      </c>
      <c r="E79" s="3">
        <v>0.96447161733452402</v>
      </c>
      <c r="F79" s="3">
        <v>0.97929664899688795</v>
      </c>
      <c r="G79" s="3">
        <v>0.99285306199588497</v>
      </c>
      <c r="J79" s="1">
        <v>2035.0968837738001</v>
      </c>
      <c r="K79" s="1">
        <v>73</v>
      </c>
      <c r="L79" s="1">
        <v>0.89484791447684697</v>
      </c>
      <c r="M79" s="1">
        <v>0.94450631909834004</v>
      </c>
      <c r="N79" s="1">
        <v>0.96174796391978201</v>
      </c>
      <c r="O79" s="1">
        <v>0.99086351893114799</v>
      </c>
    </row>
    <row r="80" spans="2:15" x14ac:dyDescent="0.3">
      <c r="B80" s="3">
        <v>139.53089714050199</v>
      </c>
      <c r="C80" s="3">
        <v>74</v>
      </c>
      <c r="D80" s="3">
        <v>0.89154557195696704</v>
      </c>
      <c r="E80" s="3">
        <v>0.94266359232845298</v>
      </c>
      <c r="F80" s="3">
        <v>0.94418584666504302</v>
      </c>
      <c r="G80" s="3">
        <v>0.99092893433406604</v>
      </c>
      <c r="J80" s="1">
        <v>1971.41456604003</v>
      </c>
      <c r="K80" s="1">
        <v>74</v>
      </c>
      <c r="L80" s="1">
        <v>0.89509577635680204</v>
      </c>
      <c r="M80" s="1">
        <v>0.94464436839974897</v>
      </c>
      <c r="N80" s="1">
        <v>0.96878467007298097</v>
      </c>
      <c r="O80" s="1">
        <v>0.98809270399758897</v>
      </c>
    </row>
    <row r="81" spans="2:15" x14ac:dyDescent="0.3">
      <c r="B81" s="3">
        <f>SUBTOTAL(101,TimeDfBBoxStudent__34[Column1])</f>
        <v>142.81375567118289</v>
      </c>
      <c r="C81" s="3"/>
      <c r="D81" s="3">
        <f>AVERAGE(D6:D80)</f>
        <v>0.90603399504229643</v>
      </c>
      <c r="E81" s="3">
        <f>SUBTOTAL(101,TimeDfBBoxStudent__34[Column4])</f>
        <v>0.95058173376118982</v>
      </c>
      <c r="F81" s="3">
        <f>SUBTOTAL(101,TimeDfBBoxStudent__34[Column5])</f>
        <v>0.96188759599988805</v>
      </c>
      <c r="G81" s="3">
        <f>SUBTOTAL(101,TimeDfBBoxStudent__34[Column6])</f>
        <v>0.99199781087680416</v>
      </c>
      <c r="J81" s="3">
        <f>AVERAGE(J6:J80)</f>
        <v>1941.7452303568487</v>
      </c>
      <c r="K81" s="3"/>
      <c r="L81" s="3">
        <f>AVERAGE(L6:L80)</f>
        <v>0.89859209599417078</v>
      </c>
      <c r="M81" s="3">
        <f>AVERAGE(M6:M80)</f>
        <v>0.94628722522688047</v>
      </c>
      <c r="N81" s="3">
        <f>AVERAGE(N6:N80)</f>
        <v>0.96845511004157836</v>
      </c>
      <c r="O81" s="3">
        <f>AVERAGE(O6:O80)</f>
        <v>0.9897636078838904</v>
      </c>
    </row>
    <row r="82" spans="2:15" x14ac:dyDescent="0.3">
      <c r="B82" s="3"/>
      <c r="C82" s="3"/>
      <c r="D82" s="3"/>
      <c r="E82" s="3"/>
      <c r="F82" s="3"/>
      <c r="G82" s="3"/>
    </row>
    <row r="83" spans="2:15" x14ac:dyDescent="0.3">
      <c r="B83" s="2">
        <f>STDEVA(B6:B80)</f>
        <v>44.319256103426468</v>
      </c>
      <c r="C83" s="1"/>
      <c r="D83" s="3">
        <f>STDEVA(D6:D80)</f>
        <v>2.0308779705765456E-2</v>
      </c>
      <c r="E83" s="3">
        <f>STDEVA(E6:E80)</f>
        <v>1.1324463969107523E-2</v>
      </c>
      <c r="F83" s="3">
        <f>STDEVA(F6:F80)</f>
        <v>2.0065629432628958E-2</v>
      </c>
      <c r="G83" s="3">
        <f>STDEVA(G6:G80)</f>
        <v>1.4935858219746658E-3</v>
      </c>
      <c r="J83" s="2">
        <f>STDEVA(J6:J80)</f>
        <v>364.62017413351703</v>
      </c>
      <c r="L83" s="3">
        <f>STDEVA(L6:L80)</f>
        <v>3.1459660124214903E-2</v>
      </c>
      <c r="M83" s="3">
        <f>STDEVA(M6:M80)</f>
        <v>1.8397562958598446E-2</v>
      </c>
      <c r="N83" s="3">
        <f>STDEVA(N6:N80)</f>
        <v>1.5580049440857308E-2</v>
      </c>
      <c r="O83" s="3">
        <f>STDEVA(O6:O80)</f>
        <v>4.308778067657045E-3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843286-7FF5-4D6F-B10D-0875BF418F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TimeDfBBoxStudent (3)</vt:lpstr>
      <vt:lpstr>TimeDfBBoxStudent (2)</vt:lpstr>
      <vt:lpstr>TimeDfBBoxStudent</vt:lpstr>
      <vt:lpstr>TimeDfBBoxStudent (5)</vt:lpstr>
      <vt:lpstr>Foglio1</vt:lpstr>
      <vt:lpstr>'TimeDfBBoxStudent (2)'!DatiEsterni_1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2025-07-03T15:57:40Z</dcterms:created>
  <dcterms:modified xsi:type="dcterms:W3CDTF">2025-07-03T17:14:10Z</dcterms:modified>
</cp:coreProperties>
</file>